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jaffe/Desktop/Past Data Analytics Classes/Math 2300/"/>
    </mc:Choice>
  </mc:AlternateContent>
  <xr:revisionPtr revIDLastSave="0" documentId="8_{12E2F252-B1BF-5B4B-8D26-5A563CFEFAA9}" xr6:coauthVersionLast="47" xr6:coauthVersionMax="47" xr10:uidLastSave="{00000000-0000-0000-0000-000000000000}"/>
  <bookViews>
    <workbookView xWindow="1100" yWindow="900" windowWidth="28040" windowHeight="17180" xr2:uid="{72C3CC9A-DB20-C540-8E0C-A2317A57F938}"/>
  </bookViews>
  <sheets>
    <sheet name="ML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45" i="1" l="1"/>
  <c r="W545" i="1"/>
  <c r="S545" i="1"/>
  <c r="O545" i="1"/>
  <c r="AB544" i="1"/>
  <c r="AC544" i="1"/>
  <c r="AD544" i="1"/>
  <c r="AA544" i="1"/>
  <c r="X544" i="1"/>
  <c r="Y544" i="1"/>
  <c r="Z544" i="1"/>
  <c r="W544" i="1"/>
  <c r="T544" i="1"/>
  <c r="U544" i="1"/>
  <c r="V544" i="1"/>
  <c r="S544" i="1"/>
  <c r="P544" i="1"/>
  <c r="Q544" i="1"/>
  <c r="R544" i="1"/>
  <c r="O544" i="1"/>
  <c r="AE543" i="1"/>
  <c r="AA543" i="1"/>
  <c r="W543" i="1"/>
  <c r="S543" i="1"/>
  <c r="O543" i="1"/>
  <c r="AE540" i="1"/>
  <c r="AC540" i="1"/>
  <c r="AD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O540" i="1"/>
  <c r="AE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2" i="1"/>
</calcChain>
</file>

<file path=xl/sharedStrings.xml><?xml version="1.0" encoding="utf-8"?>
<sst xmlns="http://schemas.openxmlformats.org/spreadsheetml/2006/main" count="20507" uniqueCount="299">
  <si>
    <t>game_year</t>
  </si>
  <si>
    <t>game_date</t>
  </si>
  <si>
    <t>player_name</t>
  </si>
  <si>
    <t>pitcher</t>
  </si>
  <si>
    <t>batter</t>
  </si>
  <si>
    <t>balls</t>
  </si>
  <si>
    <t>strikes</t>
  </si>
  <si>
    <t>inning</t>
  </si>
  <si>
    <t>inning_topbot</t>
  </si>
  <si>
    <t>at_bat_number</t>
  </si>
  <si>
    <t>pitch_number</t>
  </si>
  <si>
    <t>events</t>
  </si>
  <si>
    <t>pitch_type</t>
  </si>
  <si>
    <t>pitch_name</t>
  </si>
  <si>
    <t>release_speed</t>
  </si>
  <si>
    <t>release_pos_x</t>
  </si>
  <si>
    <t>release_pos_z</t>
  </si>
  <si>
    <t>description</t>
  </si>
  <si>
    <t>spin_dir</t>
  </si>
  <si>
    <t>spin_rate_deprecated</t>
  </si>
  <si>
    <t>break_angle_deprecated</t>
  </si>
  <si>
    <t>break_length_deprecated</t>
  </si>
  <si>
    <t>zone</t>
  </si>
  <si>
    <t>des</t>
  </si>
  <si>
    <t>game_type</t>
  </si>
  <si>
    <t>stand</t>
  </si>
  <si>
    <t>p_throws</t>
  </si>
  <si>
    <t>home_team</t>
  </si>
  <si>
    <t>away_team</t>
  </si>
  <si>
    <t>type</t>
  </si>
  <si>
    <t>hit_location</t>
  </si>
  <si>
    <t>bb_type</t>
  </si>
  <si>
    <t>pfx_x</t>
  </si>
  <si>
    <t>pfx_z</t>
  </si>
  <si>
    <t>plate_x</t>
  </si>
  <si>
    <t>plate_z</t>
  </si>
  <si>
    <t>on_3b</t>
  </si>
  <si>
    <t>on_2b</t>
  </si>
  <si>
    <t>on_1b</t>
  </si>
  <si>
    <t>outs_when_up</t>
  </si>
  <si>
    <t>hc_x</t>
  </si>
  <si>
    <t>hc_y</t>
  </si>
  <si>
    <t>tfs_deprecated</t>
  </si>
  <si>
    <t>tfs_zulu_deprecated</t>
  </si>
  <si>
    <t>fielder_2...45</t>
  </si>
  <si>
    <t>fielder_2...46</t>
  </si>
  <si>
    <t>umpire</t>
  </si>
  <si>
    <t>sv_id</t>
  </si>
  <si>
    <t>vx0</t>
  </si>
  <si>
    <t>vy0</t>
  </si>
  <si>
    <t>vz0</t>
  </si>
  <si>
    <t>ax</t>
  </si>
  <si>
    <t>ay</t>
  </si>
  <si>
    <t>az</t>
  </si>
  <si>
    <t>sz_top</t>
  </si>
  <si>
    <t>sz_bot</t>
  </si>
  <si>
    <t>hit_distance_sc</t>
  </si>
  <si>
    <t>launch_speed</t>
  </si>
  <si>
    <t>launch_angle</t>
  </si>
  <si>
    <t>effective_speed</t>
  </si>
  <si>
    <t>release_spin_rate</t>
  </si>
  <si>
    <t>release_extension</t>
  </si>
  <si>
    <t>game_pk</t>
  </si>
  <si>
    <t>fielder_2...64</t>
  </si>
  <si>
    <t>fielder_2...65</t>
  </si>
  <si>
    <t>fielder_3</t>
  </si>
  <si>
    <t>fielder_4</t>
  </si>
  <si>
    <t>fielder_5</t>
  </si>
  <si>
    <t>fielder_6</t>
  </si>
  <si>
    <t>fielder_7</t>
  </si>
  <si>
    <t>fielder_8</t>
  </si>
  <si>
    <t>fielder_9</t>
  </si>
  <si>
    <t>release_pos_y</t>
  </si>
  <si>
    <t>estimated_ba_using_speedangle</t>
  </si>
  <si>
    <t>estimated_woba_using_speedangle</t>
  </si>
  <si>
    <t>woba_value</t>
  </si>
  <si>
    <t>woba_denom</t>
  </si>
  <si>
    <t>babip_value</t>
  </si>
  <si>
    <t>iso_value</t>
  </si>
  <si>
    <t>launch_speed_angle</t>
  </si>
  <si>
    <t>home_score</t>
  </si>
  <si>
    <t>away_score</t>
  </si>
  <si>
    <t>bat_score</t>
  </si>
  <si>
    <t>fld_score</t>
  </si>
  <si>
    <t>post_away_score</t>
  </si>
  <si>
    <t>post_home_score</t>
  </si>
  <si>
    <t>post_bat_score</t>
  </si>
  <si>
    <t>post_fld_score</t>
  </si>
  <si>
    <t>if_fielding_alignment</t>
  </si>
  <si>
    <t>of_fielding_alignment</t>
  </si>
  <si>
    <t>spin_axis</t>
  </si>
  <si>
    <t>delta_home_win_exp</t>
  </si>
  <si>
    <t>delta_run_exp</t>
  </si>
  <si>
    <t>bat_speed</t>
  </si>
  <si>
    <t>swing_length</t>
  </si>
  <si>
    <t>Snell, Blake</t>
  </si>
  <si>
    <t>Top</t>
  </si>
  <si>
    <t>NA</t>
  </si>
  <si>
    <t>FF</t>
  </si>
  <si>
    <t>4-Seam Fastball</t>
  </si>
  <si>
    <t>ball</t>
  </si>
  <si>
    <t>Ball</t>
  </si>
  <si>
    <t>F</t>
  </si>
  <si>
    <t>L</t>
  </si>
  <si>
    <t>LAD</t>
  </si>
  <si>
    <t>CIN</t>
  </si>
  <si>
    <t>B</t>
  </si>
  <si>
    <t>Standard</t>
  </si>
  <si>
    <t>called_strike</t>
  </si>
  <si>
    <t>Called Strike</t>
  </si>
  <si>
    <t>S</t>
  </si>
  <si>
    <t>CU</t>
  </si>
  <si>
    <t>Curveball</t>
  </si>
  <si>
    <t>swinging_strike</t>
  </si>
  <si>
    <t>Swinging Strike</t>
  </si>
  <si>
    <t>Strategic</t>
  </si>
  <si>
    <t>strikeout</t>
  </si>
  <si>
    <t>swinging_strike_blocked</t>
  </si>
  <si>
    <t>TJ Friedl strikes out swinging.</t>
  </si>
  <si>
    <t>field_out</t>
  </si>
  <si>
    <t>hit_into_play</t>
  </si>
  <si>
    <t>Noelvi Marte flies out to left fielder Enrique Hern‚àö¬∞ndez.</t>
  </si>
  <si>
    <t>R</t>
  </si>
  <si>
    <t>X</t>
  </si>
  <si>
    <t>fly_ball</t>
  </si>
  <si>
    <t>Miguel Andujar flies out to second baseman Tommy Edman.</t>
  </si>
  <si>
    <t>Austin Hays grounds out, third baseman Max Muncy to first baseman Freddie Freeman.</t>
  </si>
  <si>
    <t>ground_ball</t>
  </si>
  <si>
    <t>Spencer Steer flies out to left fielder Enrique Hern‚àö¬∞ndez.</t>
  </si>
  <si>
    <t>foul</t>
  </si>
  <si>
    <t>Foul</t>
  </si>
  <si>
    <t>Elly De La Cruz called out on strikes.</t>
  </si>
  <si>
    <t>CH</t>
  </si>
  <si>
    <t>Changeup</t>
  </si>
  <si>
    <t>Tyler Stephenson strikes out swinging.</t>
  </si>
  <si>
    <t>Ke'Bryan Hayes grounds out, shortstop Mookie Betts to first baseman Freddie Freeman.</t>
  </si>
  <si>
    <t>double</t>
  </si>
  <si>
    <t>Matt McLain doubles (1) on a sharp ground ball to left fielder Enrique Hern‚àö¬∞ndez.</t>
  </si>
  <si>
    <t>SL</t>
  </si>
  <si>
    <t>Slider</t>
  </si>
  <si>
    <t>blocked_ball</t>
  </si>
  <si>
    <t>Ball In Dirt</t>
  </si>
  <si>
    <t>walk</t>
  </si>
  <si>
    <t>TJ Friedl walks.</t>
  </si>
  <si>
    <t>Noelvi Marte strikes out swinging.</t>
  </si>
  <si>
    <t>foul_tip</t>
  </si>
  <si>
    <t>Miguel Andujar strikes out on a foul tip.</t>
  </si>
  <si>
    <t>Austin Hays strikes out swinging.</t>
  </si>
  <si>
    <t>Spencer Steer grounds out softly, pitcher Blake Snell to first baseman Freddie Freeman.</t>
  </si>
  <si>
    <t>Elly De La Cruz strikes out swinging.</t>
  </si>
  <si>
    <t>Tyler Stephenson flies out to center fielder Andy Pages.</t>
  </si>
  <si>
    <t>Ke'Bryan Hayes grounds out sharply, second baseman Tommy Edman to first baseman Freddie Freeman.</t>
  </si>
  <si>
    <t>Matt McLain strikes out swinging.</t>
  </si>
  <si>
    <t>TJ Friedl grounds out softly, pitcher Blake Snell to first baseman Freddie Freeman.</t>
  </si>
  <si>
    <t>Miguel Andujar grounds out sharply, shortstop Mookie Betts to first baseman Freddie Freeman.</t>
  </si>
  <si>
    <t>single</t>
  </si>
  <si>
    <t>Austin Hays singles on a sharp ground ball to left fielder Enrique Hern‚àö¬∞ndez.</t>
  </si>
  <si>
    <t>Spencer Steer singles on a line drive to right fielder Teoscar Hern‚àö¬∞ndez, deflected by first baseman Freddie Freeman. Austin Hays to 3rd.</t>
  </si>
  <si>
    <t>line_drive</t>
  </si>
  <si>
    <t>force_out</t>
  </si>
  <si>
    <t>Dodgers challenged (play at 1st), call on the field was upheld: Elly De La Cruz grounds into a force out, shortstop Mookie Betts to second baseman Miguel Rojas. Austin Hays scores. Spencer Steer out at 2nd. Elly De La Cruz to 1st.</t>
  </si>
  <si>
    <t>Tyler Stephenson doubles (1) on a sharp line drive to left fielder Enrique Hern‚àö¬∞ndez. Elly De La Cruz scores.</t>
  </si>
  <si>
    <t>Ke'Bryan Hayes grounds out, second baseman Miguel Rojas to first baseman Freddie Freeman.</t>
  </si>
  <si>
    <t>Bot</t>
  </si>
  <si>
    <t>D</t>
  </si>
  <si>
    <t>PHI</t>
  </si>
  <si>
    <t>Trea Turner called out on strikes.</t>
  </si>
  <si>
    <t>Kyle Schwarber flies out to left fielder Enrique Hern‚àö¬∞ndez.</t>
  </si>
  <si>
    <t>Infield shade</t>
  </si>
  <si>
    <t>Bryce Harper walks.</t>
  </si>
  <si>
    <t>Alec Bohm grounds out, second baseman Tommy Edman to first baseman Freddie Freeman.</t>
  </si>
  <si>
    <t>J.T. Realmuto grounds out, shortstop Mookie Betts to first baseman Freddie Freeman.</t>
  </si>
  <si>
    <t>Nick Castellanos strikes out swinging.</t>
  </si>
  <si>
    <t>Foul Tip</t>
  </si>
  <si>
    <t>Edmundo Sosa strikes out on a foul tip.</t>
  </si>
  <si>
    <t>Brandon Marsh walks.</t>
  </si>
  <si>
    <t>Otto Kemp strikes out on a foul tip.</t>
  </si>
  <si>
    <t>Trea Turner strikes out swinging.</t>
  </si>
  <si>
    <t>Kyle Schwarber strikes out swinging.</t>
  </si>
  <si>
    <t>Bryce Harper grounds out, second baseman Tommy Edman to first baseman Freddie Freeman.</t>
  </si>
  <si>
    <t>Alec Bohm called out on strikes.</t>
  </si>
  <si>
    <t>J.T. Realmuto flies out to right fielder Teoscar Hern‚àö¬∞ndez.</t>
  </si>
  <si>
    <t>Nick Castellanos grounds out, third baseman Miguel Rojas to first baseman Freddie Freeman.</t>
  </si>
  <si>
    <t>Edmundo Sosa singles on a line drive to center fielder Andy Pages.</t>
  </si>
  <si>
    <t>Brandon Marsh grounds out softly to first baseman Freddie Freeman.</t>
  </si>
  <si>
    <t>Otto Kemp strikes out swinging.</t>
  </si>
  <si>
    <t>Trea Turner walks.</t>
  </si>
  <si>
    <t>Kyle Schwarber walks.</t>
  </si>
  <si>
    <t>Bryce Harper strikes out swinging.</t>
  </si>
  <si>
    <t>Alec Bohm grounds into a force out, fielded by third baseman Miguel Rojas. Trea Turner out at 3rd.</t>
  </si>
  <si>
    <t>MIL</t>
  </si>
  <si>
    <t>Jackson Chourio grounds out, third baseman Max Muncy to first baseman Freddie Freeman.</t>
  </si>
  <si>
    <t>Christian Yelich strikes out swinging.</t>
  </si>
  <si>
    <t>William Contreras strikes out swinging.</t>
  </si>
  <si>
    <t>Brice Turang flies out to left fielder Enrique Hern‚àö¬∞ndez in foul territory.</t>
  </si>
  <si>
    <t>Andrew Vaughn grounds out, shortstop Mookie Betts to first baseman Freddie Freeman.</t>
  </si>
  <si>
    <t>Sal Frelick flies out to center fielder Andy Pages.</t>
  </si>
  <si>
    <t>Caleb Durbin singles on a line drive to center fielder Andy Pages.</t>
  </si>
  <si>
    <t>Isaac Collins strikes out swinging.</t>
  </si>
  <si>
    <t>Joey Ortiz grounds out, shortstop Mookie Betts to first baseman Freddie Freeman.</t>
  </si>
  <si>
    <t>Jackson Chourio called out on strikes.</t>
  </si>
  <si>
    <t>Christian Yelich strikes out on a foul tip.</t>
  </si>
  <si>
    <t>William Contreras grounds out softly, pitcher Blake Snell to first baseman Freddie Freeman.</t>
  </si>
  <si>
    <t>Brice Turang strikes out swinging.</t>
  </si>
  <si>
    <t>Sal Frelick grounds out, shortstop Mookie Betts to first baseman Freddie Freeman.</t>
  </si>
  <si>
    <t>Caleb Durbin called out on strikes.</t>
  </si>
  <si>
    <t>Joey Ortiz grounds out, third baseman Max Muncy to first baseman Freddie Freeman.</t>
  </si>
  <si>
    <t>Jackson Chourio strikes out swinging.</t>
  </si>
  <si>
    <t>Christian Yelich grounds out, second baseman Tommy Edman to first baseman Freddie Freeman.</t>
  </si>
  <si>
    <t>William Contreras grounds out, third baseman Max Muncy to first baseman Freddie Freeman.</t>
  </si>
  <si>
    <t>Brice Turang grounds out to first baseman Freddie Freeman.</t>
  </si>
  <si>
    <t>Andrew Vaughn grounds out, third baseman Max Muncy to first baseman Freddie Freeman.</t>
  </si>
  <si>
    <t>Sal Frelick called out on strikes.</t>
  </si>
  <si>
    <t>W</t>
  </si>
  <si>
    <t>TOR</t>
  </si>
  <si>
    <t>George Springer grounds out, shortstop Mookie Betts to first baseman Freddie Freeman.</t>
  </si>
  <si>
    <t>Davis Schneider pops out to shortstop Mookie Betts.</t>
  </si>
  <si>
    <t>popup</t>
  </si>
  <si>
    <t>Vladimir Guerrero Jr. walks.</t>
  </si>
  <si>
    <t>Bo Bichette singles on a ground ball to right fielder Teoscar Hern‚àö¬∞ndez. Vladimir Guerrero Jr. to 3rd.</t>
  </si>
  <si>
    <t>Alejandro Kirk walks. Bo Bichette to 2nd.</t>
  </si>
  <si>
    <t>Daulton Varsho flies out to center fielder Andy Pages.</t>
  </si>
  <si>
    <t>Ernie Clement singles on a line drive to left fielder Enrique Hern‚àö¬∞ndez.</t>
  </si>
  <si>
    <t>Myles Straw strikes out on a foul tip.</t>
  </si>
  <si>
    <t>Andr‚àö¬©s Gim‚àö¬©nez strikes out on a foul tip.</t>
  </si>
  <si>
    <t>George Springer singles on a soft ground ball to first baseman Freddie Freeman. Ernie Clement out at 3rd, first baseman Freddie Freeman to pitcher Blake Snell to third baseman Max Muncy.</t>
  </si>
  <si>
    <t>Davis Schneider strikes out swinging.</t>
  </si>
  <si>
    <t>Vladimir Guerrero Jr. singles on a ground ball to left fielder Enrique Hern‚àö¬∞ndez.</t>
  </si>
  <si>
    <t>grounded_into_double_play</t>
  </si>
  <si>
    <t>Bo Bichette grounds into a double play, first baseman Freddie Freeman to shortstop Mookie Betts to first baseman Freddie Freeman. Vladimir Guerrero Jr. out at 2nd. Bo Bichette out at 1st.</t>
  </si>
  <si>
    <t>Alejandro Kirk singles on a line drive to right fielder Teoscar Hern‚àö¬∞ndez.</t>
  </si>
  <si>
    <t>home_run</t>
  </si>
  <si>
    <t>Daulton Varsho homers (3) on a fly ball to center field. Alejandro Kirk scores.</t>
  </si>
  <si>
    <t>Ernie Clement flies out to center fielder Andy Pages.</t>
  </si>
  <si>
    <t>Myles Straw lines out to left fielder Enrique Hern‚àö¬∞ndez.</t>
  </si>
  <si>
    <t>Andr‚àö¬©s Gim‚àö¬©nez called out on strikes.</t>
  </si>
  <si>
    <t>George Springer singles on a line drive to left fielder Enrique Hern‚àö¬∞ndez.</t>
  </si>
  <si>
    <t>Davis Schneider grounds into a double play, third baseman Max Muncy to second baseman Tommy Edman to first baseman Freddie Freeman. George Springer out at 2nd. Davis Schneider out at 1st.</t>
  </si>
  <si>
    <t>Vladimir Guerrero Jr. grounds out, second baseman Tommy Edman to first baseman Freddie Freeman.</t>
  </si>
  <si>
    <t>Bo Bichette walks.</t>
  </si>
  <si>
    <t>Alejandro Kirk singles on a ground ball to right fielder Teoscar Hern‚àö¬∞ndez. Isiah Kiner-Falefa to 2nd.</t>
  </si>
  <si>
    <t>hit_by_pitch</t>
  </si>
  <si>
    <t>Daulton Varsho hit by pitch. Isiah Kiner-Falefa to 3rd. Alejandro Kirk to 2nd.</t>
  </si>
  <si>
    <t>Davis Schneider homers (1) on a fly ball to left field.</t>
  </si>
  <si>
    <t>Vladimir Guerrero Jr. homers (8) on a fly ball to left field.</t>
  </si>
  <si>
    <t>Bo Bichette strikes out swinging.</t>
  </si>
  <si>
    <t>Alejandro Kirk singles on a line drive to center fielder Enrique Hern‚àö¬∞ndez.</t>
  </si>
  <si>
    <t>Blue Jays challenged (play at 1st), call on the field was overturned: Daulton Varsho grounds into a force out, second baseman Tommy Edman to shortstop Mookie Betts. Alejandro Kirk out at 2nd. Daulton Varsho to 1st.</t>
  </si>
  <si>
    <t>truncated_pa</t>
  </si>
  <si>
    <t>Blue Jays challenged (tag play), call on the field was upheld: Daulton Varsho caught stealing 2nd base, catcher Will Smith to second baseman Tommy Edman.</t>
  </si>
  <si>
    <t>Ernie Clement grounds out, shortstop Mookie Betts to first baseman Freddie Freeman.</t>
  </si>
  <si>
    <t>Addison Barger singles on a ground ball to right fielder Teoscar Hern‚àö¬∞ndez.</t>
  </si>
  <si>
    <t>Isiah Kiner-Falefa flies out to right fielder Teoscar Hern‚àö¬∞ndez in foul territory.</t>
  </si>
  <si>
    <t>Andr‚àö¬©s Gim‚àö¬©nez strikes out swinging.</t>
  </si>
  <si>
    <t>Bo Bichette grounds into a force out, shortstop Mookie Betts to second baseman Tommy Edman. Vladimir Guerrero Jr. out at 2nd. Bo Bichette to 1st.</t>
  </si>
  <si>
    <t>Swinging Strike (Blocked)</t>
  </si>
  <si>
    <t>Alejandro Kirk strikes out swinging.</t>
  </si>
  <si>
    <t>triple</t>
  </si>
  <si>
    <t>Daulton Varsho triples (1) on a line drive to right fielder Teoscar Hern‚àö¬∞ndez.</t>
  </si>
  <si>
    <t>sac_fly</t>
  </si>
  <si>
    <t>Ernie Clement out on a sacrifice fly to center fielder Enrique Hern‚àö¬∞ndez. Daulton Varsho scores.</t>
  </si>
  <si>
    <t>Addison Barger walks.</t>
  </si>
  <si>
    <t>Isiah Kiner-Falefa strikes out swinging.</t>
  </si>
  <si>
    <t>Davis Schneider walks.</t>
  </si>
  <si>
    <t>Vladimir Guerrero Jr. grounds into a double play, pitcher Blake Snell to second baseman Tommy Edman to first baseman Freddie Freeman. Davis Schneider out at 2nd. Vladimir Guerrero Jr. out at 1st.</t>
  </si>
  <si>
    <t>Bo Bichette lines out to left fielder Alex Call.</t>
  </si>
  <si>
    <t>Alejandro Kirk grounds out, third baseman Max Muncy to first baseman Freddie Freeman.</t>
  </si>
  <si>
    <t>Daulton Varsho lines out to right fielder Teoscar Hern‚àö¬∞ndez.</t>
  </si>
  <si>
    <t>Ernie Clement grounds out to first baseman Freddie Freeman.</t>
  </si>
  <si>
    <t>Addison Barger singles on a ground ball to left fielder Alex Call.</t>
  </si>
  <si>
    <t>foul_bunt</t>
  </si>
  <si>
    <t>Foul Bunt</t>
  </si>
  <si>
    <t>Isiah Kiner-Falefa grounds out, shortstop Mookie Betts to first baseman Freddie Freeman.</t>
  </si>
  <si>
    <t>Andr‚àö¬©s Gim‚àö¬©nez walks.</t>
  </si>
  <si>
    <t>Andr‚àö¬©s Gim‚àö¬©nez lines out to third baseman Max Muncy.</t>
  </si>
  <si>
    <t>George Springer strikes out swinging.</t>
  </si>
  <si>
    <t>Vladimir Guerrero Jr. flies out sharply to center fielder Tommy Edman.</t>
  </si>
  <si>
    <t>Bo Bichette singles on a line drive to left fielder Enrique Hern‚àö¬∞ndez.</t>
  </si>
  <si>
    <t>Addison Barger walks. Isiah Kiner-Falefa to 2nd.</t>
  </si>
  <si>
    <t>4-seam -&gt; 4-seam</t>
  </si>
  <si>
    <t>4-seam -&gt; curve</t>
  </si>
  <si>
    <t>4-seam -&gt; changeup</t>
  </si>
  <si>
    <t>4-seam -&gt; slider</t>
  </si>
  <si>
    <t>curve -&gt; curve</t>
  </si>
  <si>
    <t>curve -&gt; 4-seam</t>
  </si>
  <si>
    <t>curve -&gt; changeup</t>
  </si>
  <si>
    <t>curve -&gt; slider</t>
  </si>
  <si>
    <t>changeup -&gt; changeup</t>
  </si>
  <si>
    <t>changeup -&gt; 4-seam</t>
  </si>
  <si>
    <t>changeup -&gt; curve</t>
  </si>
  <si>
    <t>changeup -&gt; slider</t>
  </si>
  <si>
    <t>slider -&gt; slider</t>
  </si>
  <si>
    <t>slider -&gt; 4-seam</t>
  </si>
  <si>
    <t>slider -&gt; curve</t>
  </si>
  <si>
    <t>slider -&gt; changeup</t>
  </si>
  <si>
    <t>Totals</t>
  </si>
  <si>
    <t>Total Proportions</t>
  </si>
  <si>
    <t>Curve</t>
  </si>
  <si>
    <t>4-seam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</si>
</sst>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13BA-6423-524B-BE53-367F62023FCC}">
  <dimension ref="A1:DG546"/>
  <sheetViews>
    <sheetView tabSelected="1" topLeftCell="S517" workbookViewId="0">
      <selection activeCell="X524" sqref="X524"/>
    </sheetView>
  </sheetViews>
  <sheetFormatPr baseColWidth="10" defaultRowHeight="16" x14ac:dyDescent="0.2"/>
  <cols>
    <col min="14" max="14" width="14.1640625" bestFit="1" customWidth="1"/>
    <col min="15" max="15" width="15.5" bestFit="1" customWidth="1"/>
    <col min="16" max="16" width="14" bestFit="1" customWidth="1"/>
    <col min="17" max="17" width="17.5" bestFit="1" customWidth="1"/>
    <col min="18" max="18" width="14" bestFit="1" customWidth="1"/>
    <col min="19" max="20" width="14" customWidth="1"/>
    <col min="21" max="21" width="15.83203125" bestFit="1" customWidth="1"/>
    <col min="22" max="22" width="14" customWidth="1"/>
    <col min="23" max="23" width="19.33203125" bestFit="1" customWidth="1"/>
    <col min="24" max="24" width="17.5" bestFit="1" customWidth="1"/>
    <col min="25" max="26" width="15.83203125" bestFit="1" customWidth="1"/>
    <col min="27" max="30" width="15.83203125" customWidth="1"/>
  </cols>
  <sheetData>
    <row r="1" spans="1:1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287</v>
      </c>
      <c r="X1" t="s">
        <v>288</v>
      </c>
      <c r="Y1" t="s">
        <v>289</v>
      </c>
      <c r="Z1" t="s">
        <v>290</v>
      </c>
      <c r="AA1" t="s">
        <v>291</v>
      </c>
      <c r="AB1" t="s">
        <v>292</v>
      </c>
      <c r="AC1" t="s">
        <v>293</v>
      </c>
      <c r="AD1" t="s">
        <v>294</v>
      </c>
      <c r="AE1" t="s">
        <v>14</v>
      </c>
      <c r="AF1" t="s">
        <v>15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  <c r="BG1" t="s">
        <v>42</v>
      </c>
      <c r="BH1" t="s">
        <v>43</v>
      </c>
      <c r="BI1" t="s">
        <v>44</v>
      </c>
      <c r="BJ1" t="s">
        <v>45</v>
      </c>
      <c r="BK1" t="s">
        <v>46</v>
      </c>
      <c r="BL1" t="s">
        <v>47</v>
      </c>
      <c r="BM1" t="s">
        <v>48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</row>
    <row r="2" spans="1:111" x14ac:dyDescent="0.2">
      <c r="A2">
        <v>2025</v>
      </c>
      <c r="B2" s="1">
        <v>45930</v>
      </c>
      <c r="C2" t="s">
        <v>95</v>
      </c>
      <c r="D2">
        <v>605483</v>
      </c>
      <c r="E2">
        <v>670770</v>
      </c>
      <c r="F2">
        <v>0</v>
      </c>
      <c r="G2">
        <v>0</v>
      </c>
      <c r="H2">
        <v>1</v>
      </c>
      <c r="I2" t="s">
        <v>96</v>
      </c>
      <c r="J2">
        <v>1</v>
      </c>
      <c r="K2">
        <v>1</v>
      </c>
      <c r="L2" t="s">
        <v>97</v>
      </c>
      <c r="M2" t="s">
        <v>98</v>
      </c>
      <c r="N2" t="s">
        <v>99</v>
      </c>
      <c r="O2">
        <f>IF(AND(N2="4-Seam Fastball",N3="4-Seam Fastball"),1,0)</f>
        <v>1</v>
      </c>
      <c r="P2">
        <f>IF(AND(N2="4-Seam Fastball",N3="Curveball"),1,0)</f>
        <v>0</v>
      </c>
      <c r="Q2">
        <f>IF(AND(N2="4-Seam Fastball",N3="Changeup"),1,0)</f>
        <v>0</v>
      </c>
      <c r="R2">
        <f>IF(AND(N2="4-Seam Fastball",N3="Slider"),1,0)</f>
        <v>0</v>
      </c>
      <c r="S2">
        <f>IF(AND(N2="Curveball",N3="Curveball"),1,0)</f>
        <v>0</v>
      </c>
      <c r="T2">
        <f>IF(AND(N2="Curveball",N3="4-Seam Fastball"),1,0)</f>
        <v>0</v>
      </c>
      <c r="U2">
        <f>IF(AND(N2="Curveball",N3="Changeup"),1,0)</f>
        <v>0</v>
      </c>
      <c r="V2">
        <f>IF(AND(N2="Curveball",N3="Slider"),1,0)</f>
        <v>0</v>
      </c>
      <c r="W2">
        <f>IF(AND(N2="Changeup",N3="Changeup"),1,0)</f>
        <v>0</v>
      </c>
      <c r="X2">
        <f>IF(AND(N2="Changeup",N3="4-Seam Fastball"),1,0)</f>
        <v>0</v>
      </c>
      <c r="Y2">
        <f>IF(AND(N2="Changeup",N3="Curveball"),1,0)</f>
        <v>0</v>
      </c>
      <c r="Z2">
        <f>IF(AND(N2="Changeup",N3="Slider"),1,0)</f>
        <v>0</v>
      </c>
      <c r="AA2">
        <f>IF(AND(N2="Slider",N3="Slider"),1,0)</f>
        <v>0</v>
      </c>
      <c r="AB2">
        <f>IF(AND(N2="Slider",N3="4-Seam Fastball"),1,0)</f>
        <v>0</v>
      </c>
      <c r="AC2">
        <f>IF(AND(N2="Slider",N3="Curveball"),1,0)</f>
        <v>0</v>
      </c>
      <c r="AD2">
        <f>IF(AND(N2="Slider",N3="Changeup"),1,0)</f>
        <v>0</v>
      </c>
      <c r="AE2">
        <v>96.4</v>
      </c>
      <c r="AF2">
        <v>1.84</v>
      </c>
      <c r="AG2">
        <v>6.63</v>
      </c>
      <c r="AH2" t="s">
        <v>100</v>
      </c>
      <c r="AI2" t="s">
        <v>97</v>
      </c>
      <c r="AJ2" t="s">
        <v>97</v>
      </c>
      <c r="AK2" t="s">
        <v>97</v>
      </c>
      <c r="AL2" t="s">
        <v>97</v>
      </c>
      <c r="AM2">
        <v>12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105</v>
      </c>
      <c r="AT2" t="s">
        <v>106</v>
      </c>
      <c r="AU2" t="s">
        <v>97</v>
      </c>
      <c r="AV2" t="s">
        <v>97</v>
      </c>
      <c r="AW2">
        <v>0.43</v>
      </c>
      <c r="AX2">
        <v>1.58</v>
      </c>
      <c r="AY2">
        <v>0.22</v>
      </c>
      <c r="AZ2">
        <v>3.85</v>
      </c>
      <c r="BA2" t="s">
        <v>97</v>
      </c>
      <c r="BB2" t="s">
        <v>97</v>
      </c>
      <c r="BC2" t="s">
        <v>97</v>
      </c>
      <c r="BD2">
        <v>0</v>
      </c>
      <c r="BE2" t="s">
        <v>97</v>
      </c>
      <c r="BF2" t="s">
        <v>97</v>
      </c>
      <c r="BG2" t="s">
        <v>97</v>
      </c>
      <c r="BH2" t="s">
        <v>97</v>
      </c>
      <c r="BI2">
        <v>666163</v>
      </c>
      <c r="BJ2">
        <v>666163</v>
      </c>
      <c r="BK2" t="s">
        <v>97</v>
      </c>
      <c r="BL2" t="s">
        <v>97</v>
      </c>
      <c r="BM2">
        <v>-5.2913978979999996</v>
      </c>
      <c r="BN2">
        <v>-140.3234147</v>
      </c>
      <c r="BO2">
        <v>-5.4735268780000004</v>
      </c>
      <c r="BP2">
        <v>6.8150735229999997</v>
      </c>
      <c r="BQ2">
        <v>29.619987739999999</v>
      </c>
      <c r="BR2">
        <v>-10.161349749999999</v>
      </c>
      <c r="BS2">
        <v>3.29</v>
      </c>
      <c r="BT2">
        <v>1.54</v>
      </c>
      <c r="BU2" t="s">
        <v>97</v>
      </c>
      <c r="BV2" t="s">
        <v>97</v>
      </c>
      <c r="BW2" t="s">
        <v>97</v>
      </c>
      <c r="BX2">
        <v>97.2</v>
      </c>
      <c r="BY2">
        <v>2505</v>
      </c>
      <c r="BZ2">
        <v>6.6</v>
      </c>
      <c r="CA2">
        <v>813069</v>
      </c>
      <c r="CB2">
        <v>666163</v>
      </c>
      <c r="CC2">
        <v>666163</v>
      </c>
      <c r="CD2">
        <v>518692</v>
      </c>
      <c r="CE2">
        <v>669242</v>
      </c>
      <c r="CF2">
        <v>571970</v>
      </c>
      <c r="CG2">
        <v>605141</v>
      </c>
      <c r="CH2">
        <v>571771</v>
      </c>
      <c r="CI2">
        <v>681624</v>
      </c>
      <c r="CJ2">
        <v>606192</v>
      </c>
      <c r="CK2">
        <v>53.95</v>
      </c>
      <c r="CL2" t="s">
        <v>97</v>
      </c>
      <c r="CM2" t="s">
        <v>97</v>
      </c>
      <c r="CN2" t="s">
        <v>97</v>
      </c>
      <c r="CO2" t="s">
        <v>97</v>
      </c>
      <c r="CP2" t="s">
        <v>97</v>
      </c>
      <c r="CQ2" t="s">
        <v>97</v>
      </c>
      <c r="CR2" t="s">
        <v>97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 t="s">
        <v>107</v>
      </c>
      <c r="DB2" t="s">
        <v>107</v>
      </c>
      <c r="DC2">
        <v>159</v>
      </c>
      <c r="DD2">
        <v>0</v>
      </c>
      <c r="DE2">
        <v>4.1000000000000002E-2</v>
      </c>
      <c r="DF2" t="s">
        <v>97</v>
      </c>
      <c r="DG2" t="s">
        <v>97</v>
      </c>
    </row>
    <row r="3" spans="1:111" x14ac:dyDescent="0.2">
      <c r="A3">
        <v>2025</v>
      </c>
      <c r="B3" s="1">
        <v>45930</v>
      </c>
      <c r="C3" t="s">
        <v>95</v>
      </c>
      <c r="D3">
        <v>605483</v>
      </c>
      <c r="E3">
        <v>670770</v>
      </c>
      <c r="F3">
        <v>1</v>
      </c>
      <c r="G3">
        <v>0</v>
      </c>
      <c r="H3">
        <v>1</v>
      </c>
      <c r="I3" t="s">
        <v>96</v>
      </c>
      <c r="J3">
        <v>1</v>
      </c>
      <c r="K3">
        <v>2</v>
      </c>
      <c r="L3" t="s">
        <v>97</v>
      </c>
      <c r="M3" t="s">
        <v>98</v>
      </c>
      <c r="N3" t="s">
        <v>99</v>
      </c>
      <c r="O3">
        <f t="shared" ref="O3:O66" si="0">IF(AND(N3="4-Seam Fastball",N4="4-Seam Fastball"),1,0)</f>
        <v>0</v>
      </c>
      <c r="P3">
        <f t="shared" ref="P3:P66" si="1">IF(AND(N3="4-Seam Fastball",N4="Curveball"),1,0)</f>
        <v>1</v>
      </c>
      <c r="Q3">
        <f t="shared" ref="Q3:Q66" si="2">IF(AND(N3="4-Seam Fastball",N4="Changeup"),1,0)</f>
        <v>0</v>
      </c>
      <c r="R3">
        <f t="shared" ref="R3:R66" si="3">IF(AND(N3="4-Seam Fastball",N4="Slider"),1,0)</f>
        <v>0</v>
      </c>
      <c r="S3">
        <f t="shared" ref="S3:S66" si="4">IF(AND(N3="Curveball",N4="Curveball"),1,0)</f>
        <v>0</v>
      </c>
      <c r="T3">
        <f t="shared" ref="T3:T66" si="5">IF(AND(N3="Curveball",N4="4-Seam Fastball"),1,0)</f>
        <v>0</v>
      </c>
      <c r="U3">
        <f t="shared" ref="U3:U66" si="6">IF(AND(N3="Curveball",N4="Changeup"),1,0)</f>
        <v>0</v>
      </c>
      <c r="V3">
        <f t="shared" ref="V3:V66" si="7">IF(AND(N3="Curveball",N4="Slider"),1,0)</f>
        <v>0</v>
      </c>
      <c r="W3">
        <f t="shared" ref="W3:W66" si="8">IF(AND(N3="Changeup",N4="Changeup"),1,0)</f>
        <v>0</v>
      </c>
      <c r="X3">
        <f t="shared" ref="X3:X66" si="9">IF(AND(N3="Changeup",N4="4-Seam Fastball"),1,0)</f>
        <v>0</v>
      </c>
      <c r="Y3">
        <f t="shared" ref="Y3:Y66" si="10">IF(AND(N3="Changeup",N4="Curveball"),1,0)</f>
        <v>0</v>
      </c>
      <c r="Z3">
        <f t="shared" ref="Z3:Z66" si="11">IF(AND(N3="Changeup",N4="Slider"),1,0)</f>
        <v>0</v>
      </c>
      <c r="AA3">
        <f t="shared" ref="AA3:AA66" si="12">IF(AND(N3="Slider",N4="Slider"),1,0)</f>
        <v>0</v>
      </c>
      <c r="AB3">
        <f t="shared" ref="AB3:AB66" si="13">IF(AND(N3="Slider",N4="4-Seam Fastball"),1,0)</f>
        <v>0</v>
      </c>
      <c r="AC3">
        <f t="shared" ref="AC3:AC66" si="14">IF(AND(N3="Slider",N4="Curveball"),1,0)</f>
        <v>0</v>
      </c>
      <c r="AD3">
        <f t="shared" ref="AD3:AD66" si="15">IF(AND(N3="Slider",N4="Changeup"),1,0)</f>
        <v>0</v>
      </c>
      <c r="AE3">
        <v>95.5</v>
      </c>
      <c r="AF3">
        <v>2</v>
      </c>
      <c r="AG3">
        <v>6.59</v>
      </c>
      <c r="AH3" t="s">
        <v>108</v>
      </c>
      <c r="AI3" t="s">
        <v>97</v>
      </c>
      <c r="AJ3" t="s">
        <v>97</v>
      </c>
      <c r="AK3" t="s">
        <v>97</v>
      </c>
      <c r="AL3" t="s">
        <v>97</v>
      </c>
      <c r="AM3">
        <v>1</v>
      </c>
      <c r="AN3" t="s">
        <v>109</v>
      </c>
      <c r="AO3" t="s">
        <v>102</v>
      </c>
      <c r="AP3" t="s">
        <v>103</v>
      </c>
      <c r="AQ3" t="s">
        <v>103</v>
      </c>
      <c r="AR3" t="s">
        <v>104</v>
      </c>
      <c r="AS3" t="s">
        <v>105</v>
      </c>
      <c r="AT3" t="s">
        <v>110</v>
      </c>
      <c r="AU3" t="s">
        <v>97</v>
      </c>
      <c r="AV3" t="s">
        <v>97</v>
      </c>
      <c r="AW3">
        <v>0.3</v>
      </c>
      <c r="AX3">
        <v>1.54</v>
      </c>
      <c r="AY3">
        <v>-0.44</v>
      </c>
      <c r="AZ3">
        <v>3.08</v>
      </c>
      <c r="BA3" t="s">
        <v>97</v>
      </c>
      <c r="BB3" t="s">
        <v>97</v>
      </c>
      <c r="BC3" t="s">
        <v>97</v>
      </c>
      <c r="BD3">
        <v>0</v>
      </c>
      <c r="BE3" t="s">
        <v>97</v>
      </c>
      <c r="BF3" t="s">
        <v>97</v>
      </c>
      <c r="BG3" t="s">
        <v>97</v>
      </c>
      <c r="BH3" t="s">
        <v>97</v>
      </c>
      <c r="BI3">
        <v>666163</v>
      </c>
      <c r="BJ3">
        <v>666163</v>
      </c>
      <c r="BK3" t="s">
        <v>97</v>
      </c>
      <c r="BL3" t="s">
        <v>97</v>
      </c>
      <c r="BM3">
        <v>-7.155841283</v>
      </c>
      <c r="BN3">
        <v>-138.86523990000001</v>
      </c>
      <c r="BO3">
        <v>-7.1486835150000001</v>
      </c>
      <c r="BP3">
        <v>5.4385911910000004</v>
      </c>
      <c r="BQ3">
        <v>29.623253779999999</v>
      </c>
      <c r="BR3">
        <v>-10.79395826</v>
      </c>
      <c r="BS3">
        <v>3.32</v>
      </c>
      <c r="BT3">
        <v>1.65</v>
      </c>
      <c r="BU3" t="s">
        <v>97</v>
      </c>
      <c r="BV3" t="s">
        <v>97</v>
      </c>
      <c r="BW3" t="s">
        <v>97</v>
      </c>
      <c r="BX3">
        <v>96.4</v>
      </c>
      <c r="BY3">
        <v>2553</v>
      </c>
      <c r="BZ3">
        <v>6.7</v>
      </c>
      <c r="CA3">
        <v>813069</v>
      </c>
      <c r="CB3">
        <v>666163</v>
      </c>
      <c r="CC3">
        <v>666163</v>
      </c>
      <c r="CD3">
        <v>518692</v>
      </c>
      <c r="CE3">
        <v>669242</v>
      </c>
      <c r="CF3">
        <v>571970</v>
      </c>
      <c r="CG3">
        <v>605141</v>
      </c>
      <c r="CH3">
        <v>571771</v>
      </c>
      <c r="CI3">
        <v>681624</v>
      </c>
      <c r="CJ3">
        <v>606192</v>
      </c>
      <c r="CK3">
        <v>53.76</v>
      </c>
      <c r="CL3" t="s">
        <v>97</v>
      </c>
      <c r="CM3" t="s">
        <v>97</v>
      </c>
      <c r="CN3" t="s">
        <v>97</v>
      </c>
      <c r="CO3" t="s">
        <v>97</v>
      </c>
      <c r="CP3" t="s">
        <v>97</v>
      </c>
      <c r="CQ3" t="s">
        <v>97</v>
      </c>
      <c r="CR3" t="s">
        <v>97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 t="s">
        <v>107</v>
      </c>
      <c r="DB3" t="s">
        <v>107</v>
      </c>
      <c r="DC3">
        <v>160</v>
      </c>
      <c r="DD3">
        <v>0</v>
      </c>
      <c r="DE3">
        <v>-0.05</v>
      </c>
      <c r="DF3" t="s">
        <v>97</v>
      </c>
      <c r="DG3" t="s">
        <v>97</v>
      </c>
    </row>
    <row r="4" spans="1:111" x14ac:dyDescent="0.2">
      <c r="A4">
        <v>2025</v>
      </c>
      <c r="B4" s="1">
        <v>45930</v>
      </c>
      <c r="C4" t="s">
        <v>95</v>
      </c>
      <c r="D4">
        <v>605483</v>
      </c>
      <c r="E4">
        <v>670770</v>
      </c>
      <c r="F4">
        <v>1</v>
      </c>
      <c r="G4">
        <v>1</v>
      </c>
      <c r="H4">
        <v>1</v>
      </c>
      <c r="I4" t="s">
        <v>96</v>
      </c>
      <c r="J4">
        <v>1</v>
      </c>
      <c r="K4">
        <v>3</v>
      </c>
      <c r="L4" t="s">
        <v>97</v>
      </c>
      <c r="M4" t="s">
        <v>111</v>
      </c>
      <c r="N4" t="s">
        <v>112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1</v>
      </c>
      <c r="T4">
        <f t="shared" si="5"/>
        <v>0</v>
      </c>
      <c r="U4">
        <f t="shared" si="6"/>
        <v>0</v>
      </c>
      <c r="V4">
        <f t="shared" si="7"/>
        <v>0</v>
      </c>
      <c r="W4">
        <f t="shared" si="8"/>
        <v>0</v>
      </c>
      <c r="X4">
        <f t="shared" si="9"/>
        <v>0</v>
      </c>
      <c r="Y4">
        <f t="shared" si="10"/>
        <v>0</v>
      </c>
      <c r="Z4">
        <f t="shared" si="11"/>
        <v>0</v>
      </c>
      <c r="AA4">
        <f t="shared" si="12"/>
        <v>0</v>
      </c>
      <c r="AB4">
        <f t="shared" si="13"/>
        <v>0</v>
      </c>
      <c r="AC4">
        <f t="shared" si="14"/>
        <v>0</v>
      </c>
      <c r="AD4">
        <f t="shared" si="15"/>
        <v>0</v>
      </c>
      <c r="AE4">
        <v>81.8</v>
      </c>
      <c r="AF4">
        <v>2.0499999999999998</v>
      </c>
      <c r="AG4">
        <v>6.61</v>
      </c>
      <c r="AH4" t="s">
        <v>113</v>
      </c>
      <c r="AI4" t="s">
        <v>97</v>
      </c>
      <c r="AJ4" t="s">
        <v>97</v>
      </c>
      <c r="AK4" t="s">
        <v>97</v>
      </c>
      <c r="AL4" t="s">
        <v>97</v>
      </c>
      <c r="AM4">
        <v>4</v>
      </c>
      <c r="AN4" t="s">
        <v>114</v>
      </c>
      <c r="AO4" t="s">
        <v>102</v>
      </c>
      <c r="AP4" t="s">
        <v>103</v>
      </c>
      <c r="AQ4" t="s">
        <v>103</v>
      </c>
      <c r="AR4" t="s">
        <v>104</v>
      </c>
      <c r="AS4" t="s">
        <v>105</v>
      </c>
      <c r="AT4" t="s">
        <v>110</v>
      </c>
      <c r="AU4" t="s">
        <v>97</v>
      </c>
      <c r="AV4" t="s">
        <v>97</v>
      </c>
      <c r="AW4">
        <v>-1.1399999999999999</v>
      </c>
      <c r="AX4">
        <v>-0.4</v>
      </c>
      <c r="AY4">
        <v>-0.43</v>
      </c>
      <c r="AZ4">
        <v>2.15</v>
      </c>
      <c r="BA4" t="s">
        <v>97</v>
      </c>
      <c r="BB4" t="s">
        <v>97</v>
      </c>
      <c r="BC4" t="s">
        <v>97</v>
      </c>
      <c r="BD4">
        <v>0</v>
      </c>
      <c r="BE4" t="s">
        <v>97</v>
      </c>
      <c r="BF4" t="s">
        <v>97</v>
      </c>
      <c r="BG4" t="s">
        <v>97</v>
      </c>
      <c r="BH4" t="s">
        <v>97</v>
      </c>
      <c r="BI4">
        <v>666163</v>
      </c>
      <c r="BJ4">
        <v>666163</v>
      </c>
      <c r="BK4" t="s">
        <v>97</v>
      </c>
      <c r="BL4" t="s">
        <v>97</v>
      </c>
      <c r="BM4">
        <v>-3.3969595680000002</v>
      </c>
      <c r="BN4">
        <v>-119.1868715</v>
      </c>
      <c r="BO4">
        <v>-2.7769558559999998</v>
      </c>
      <c r="BP4">
        <v>-10.318944439999999</v>
      </c>
      <c r="BQ4">
        <v>21.84690063</v>
      </c>
      <c r="BR4">
        <v>-35.659248239999997</v>
      </c>
      <c r="BS4">
        <v>3.2</v>
      </c>
      <c r="BT4">
        <v>1.48</v>
      </c>
      <c r="BU4" t="s">
        <v>97</v>
      </c>
      <c r="BV4" t="s">
        <v>97</v>
      </c>
      <c r="BW4" t="s">
        <v>97</v>
      </c>
      <c r="BX4">
        <v>82.4</v>
      </c>
      <c r="BY4">
        <v>2574</v>
      </c>
      <c r="BZ4">
        <v>6.5</v>
      </c>
      <c r="CA4">
        <v>813069</v>
      </c>
      <c r="CB4">
        <v>666163</v>
      </c>
      <c r="CC4">
        <v>666163</v>
      </c>
      <c r="CD4">
        <v>518692</v>
      </c>
      <c r="CE4">
        <v>669242</v>
      </c>
      <c r="CF4">
        <v>571970</v>
      </c>
      <c r="CG4">
        <v>605141</v>
      </c>
      <c r="CH4">
        <v>571771</v>
      </c>
      <c r="CI4">
        <v>681624</v>
      </c>
      <c r="CJ4">
        <v>606192</v>
      </c>
      <c r="CK4">
        <v>53.98</v>
      </c>
      <c r="CL4" t="s">
        <v>97</v>
      </c>
      <c r="CM4" t="s">
        <v>97</v>
      </c>
      <c r="CN4" t="s">
        <v>97</v>
      </c>
      <c r="CO4" t="s">
        <v>97</v>
      </c>
      <c r="CP4" t="s">
        <v>97</v>
      </c>
      <c r="CQ4" t="s">
        <v>97</v>
      </c>
      <c r="CR4" t="s">
        <v>97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 t="s">
        <v>107</v>
      </c>
      <c r="DB4" t="s">
        <v>107</v>
      </c>
      <c r="DC4">
        <v>318</v>
      </c>
      <c r="DD4">
        <v>0</v>
      </c>
      <c r="DE4">
        <v>-6.0999999999999999E-2</v>
      </c>
      <c r="DF4">
        <v>72.3</v>
      </c>
      <c r="DG4">
        <v>7.9</v>
      </c>
    </row>
    <row r="5" spans="1:111" x14ac:dyDescent="0.2">
      <c r="A5">
        <v>2025</v>
      </c>
      <c r="B5" s="1">
        <v>45930</v>
      </c>
      <c r="C5" t="s">
        <v>95</v>
      </c>
      <c r="D5">
        <v>605483</v>
      </c>
      <c r="E5">
        <v>670770</v>
      </c>
      <c r="F5">
        <v>1</v>
      </c>
      <c r="G5">
        <v>2</v>
      </c>
      <c r="H5">
        <v>1</v>
      </c>
      <c r="I5" t="s">
        <v>96</v>
      </c>
      <c r="J5">
        <v>1</v>
      </c>
      <c r="K5">
        <v>4</v>
      </c>
      <c r="L5" t="s">
        <v>97</v>
      </c>
      <c r="M5" t="s">
        <v>111</v>
      </c>
      <c r="N5" t="s">
        <v>112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1</v>
      </c>
      <c r="T5">
        <f t="shared" si="5"/>
        <v>0</v>
      </c>
      <c r="U5">
        <f t="shared" si="6"/>
        <v>0</v>
      </c>
      <c r="V5">
        <f t="shared" si="7"/>
        <v>0</v>
      </c>
      <c r="W5">
        <f t="shared" si="8"/>
        <v>0</v>
      </c>
      <c r="X5">
        <f t="shared" si="9"/>
        <v>0</v>
      </c>
      <c r="Y5">
        <f t="shared" si="10"/>
        <v>0</v>
      </c>
      <c r="Z5">
        <f t="shared" si="11"/>
        <v>0</v>
      </c>
      <c r="AA5">
        <f t="shared" si="12"/>
        <v>0</v>
      </c>
      <c r="AB5">
        <f t="shared" si="13"/>
        <v>0</v>
      </c>
      <c r="AC5">
        <f t="shared" si="14"/>
        <v>0</v>
      </c>
      <c r="AD5">
        <f t="shared" si="15"/>
        <v>0</v>
      </c>
      <c r="AE5">
        <v>84</v>
      </c>
      <c r="AF5">
        <v>1.68</v>
      </c>
      <c r="AG5">
        <v>6.58</v>
      </c>
      <c r="AH5" t="s">
        <v>100</v>
      </c>
      <c r="AI5" t="s">
        <v>97</v>
      </c>
      <c r="AJ5" t="s">
        <v>97</v>
      </c>
      <c r="AK5" t="s">
        <v>97</v>
      </c>
      <c r="AL5" t="s">
        <v>97</v>
      </c>
      <c r="AM5">
        <v>13</v>
      </c>
      <c r="AN5" t="s">
        <v>101</v>
      </c>
      <c r="AO5" t="s">
        <v>102</v>
      </c>
      <c r="AP5" t="s">
        <v>103</v>
      </c>
      <c r="AQ5" t="s">
        <v>103</v>
      </c>
      <c r="AR5" t="s">
        <v>104</v>
      </c>
      <c r="AS5" t="s">
        <v>105</v>
      </c>
      <c r="AT5" t="s">
        <v>106</v>
      </c>
      <c r="AU5" t="s">
        <v>97</v>
      </c>
      <c r="AV5" t="s">
        <v>97</v>
      </c>
      <c r="AW5">
        <v>-1.3</v>
      </c>
      <c r="AX5">
        <v>-0.68</v>
      </c>
      <c r="AY5">
        <v>-2.68</v>
      </c>
      <c r="AZ5">
        <v>-1.87</v>
      </c>
      <c r="BA5" t="s">
        <v>97</v>
      </c>
      <c r="BB5" t="s">
        <v>97</v>
      </c>
      <c r="BC5" t="s">
        <v>97</v>
      </c>
      <c r="BD5">
        <v>0</v>
      </c>
      <c r="BE5" t="s">
        <v>97</v>
      </c>
      <c r="BF5" t="s">
        <v>97</v>
      </c>
      <c r="BG5" t="s">
        <v>97</v>
      </c>
      <c r="BH5" t="s">
        <v>97</v>
      </c>
      <c r="BI5">
        <v>666163</v>
      </c>
      <c r="BJ5">
        <v>666163</v>
      </c>
      <c r="BK5" t="s">
        <v>97</v>
      </c>
      <c r="BL5" t="s">
        <v>97</v>
      </c>
      <c r="BM5">
        <v>-7.5506885520000004</v>
      </c>
      <c r="BN5">
        <v>-121.6676319</v>
      </c>
      <c r="BO5">
        <v>-11.71637649</v>
      </c>
      <c r="BP5">
        <v>-11.05457468</v>
      </c>
      <c r="BQ5">
        <v>27.564153829999999</v>
      </c>
      <c r="BR5">
        <v>-36.37781734</v>
      </c>
      <c r="BS5">
        <v>3.05</v>
      </c>
      <c r="BT5">
        <v>1.48</v>
      </c>
      <c r="BU5" t="s">
        <v>97</v>
      </c>
      <c r="BV5" t="s">
        <v>97</v>
      </c>
      <c r="BW5" t="s">
        <v>97</v>
      </c>
      <c r="BX5">
        <v>83.8</v>
      </c>
      <c r="BY5">
        <v>2508</v>
      </c>
      <c r="BZ5">
        <v>6.8</v>
      </c>
      <c r="CA5">
        <v>813069</v>
      </c>
      <c r="CB5">
        <v>666163</v>
      </c>
      <c r="CC5">
        <v>666163</v>
      </c>
      <c r="CD5">
        <v>518692</v>
      </c>
      <c r="CE5">
        <v>669242</v>
      </c>
      <c r="CF5">
        <v>571970</v>
      </c>
      <c r="CG5">
        <v>605141</v>
      </c>
      <c r="CH5">
        <v>571771</v>
      </c>
      <c r="CI5">
        <v>681624</v>
      </c>
      <c r="CJ5">
        <v>606192</v>
      </c>
      <c r="CK5">
        <v>53.72</v>
      </c>
      <c r="CL5" t="s">
        <v>97</v>
      </c>
      <c r="CM5" t="s">
        <v>97</v>
      </c>
      <c r="CN5" t="s">
        <v>97</v>
      </c>
      <c r="CO5" t="s">
        <v>97</v>
      </c>
      <c r="CP5" t="s">
        <v>97</v>
      </c>
      <c r="CQ5" t="s">
        <v>97</v>
      </c>
      <c r="CR5" t="s">
        <v>97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 t="s">
        <v>115</v>
      </c>
      <c r="DB5" t="s">
        <v>107</v>
      </c>
      <c r="DC5">
        <v>340</v>
      </c>
      <c r="DD5">
        <v>0</v>
      </c>
      <c r="DE5">
        <v>4.2999999999999997E-2</v>
      </c>
      <c r="DF5" t="s">
        <v>97</v>
      </c>
      <c r="DG5" t="s">
        <v>97</v>
      </c>
    </row>
    <row r="6" spans="1:111" x14ac:dyDescent="0.2">
      <c r="A6">
        <v>2025</v>
      </c>
      <c r="B6" s="1">
        <v>45930</v>
      </c>
      <c r="C6" t="s">
        <v>95</v>
      </c>
      <c r="D6">
        <v>605483</v>
      </c>
      <c r="E6">
        <v>670770</v>
      </c>
      <c r="F6">
        <v>2</v>
      </c>
      <c r="G6">
        <v>2</v>
      </c>
      <c r="H6">
        <v>1</v>
      </c>
      <c r="I6" t="s">
        <v>96</v>
      </c>
      <c r="J6">
        <v>1</v>
      </c>
      <c r="K6">
        <v>5</v>
      </c>
      <c r="L6" t="s">
        <v>116</v>
      </c>
      <c r="M6" t="s">
        <v>111</v>
      </c>
      <c r="N6" t="s">
        <v>112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0</v>
      </c>
      <c r="T6">
        <f t="shared" si="5"/>
        <v>1</v>
      </c>
      <c r="U6">
        <f t="shared" si="6"/>
        <v>0</v>
      </c>
      <c r="V6">
        <f t="shared" si="7"/>
        <v>0</v>
      </c>
      <c r="W6">
        <f t="shared" si="8"/>
        <v>0</v>
      </c>
      <c r="X6">
        <f t="shared" si="9"/>
        <v>0</v>
      </c>
      <c r="Y6">
        <f t="shared" si="10"/>
        <v>0</v>
      </c>
      <c r="Z6">
        <f t="shared" si="11"/>
        <v>0</v>
      </c>
      <c r="AA6">
        <f t="shared" si="12"/>
        <v>0</v>
      </c>
      <c r="AB6">
        <f t="shared" si="13"/>
        <v>0</v>
      </c>
      <c r="AC6">
        <f t="shared" si="14"/>
        <v>0</v>
      </c>
      <c r="AD6">
        <f t="shared" si="15"/>
        <v>0</v>
      </c>
      <c r="AE6">
        <v>82.3</v>
      </c>
      <c r="AF6">
        <v>1.73</v>
      </c>
      <c r="AG6">
        <v>6.59</v>
      </c>
      <c r="AH6" t="s">
        <v>117</v>
      </c>
      <c r="AI6" t="s">
        <v>97</v>
      </c>
      <c r="AJ6" t="s">
        <v>97</v>
      </c>
      <c r="AK6" t="s">
        <v>97</v>
      </c>
      <c r="AL6" t="s">
        <v>97</v>
      </c>
      <c r="AM6">
        <v>13</v>
      </c>
      <c r="AN6" t="s">
        <v>118</v>
      </c>
      <c r="AO6" t="s">
        <v>102</v>
      </c>
      <c r="AP6" t="s">
        <v>103</v>
      </c>
      <c r="AQ6" t="s">
        <v>103</v>
      </c>
      <c r="AR6" t="s">
        <v>104</v>
      </c>
      <c r="AS6" t="s">
        <v>105</v>
      </c>
      <c r="AT6" t="s">
        <v>110</v>
      </c>
      <c r="AU6">
        <v>2</v>
      </c>
      <c r="AV6" t="s">
        <v>97</v>
      </c>
      <c r="AW6">
        <v>-0.95</v>
      </c>
      <c r="AX6">
        <v>-0.46</v>
      </c>
      <c r="AY6">
        <v>-1.05</v>
      </c>
      <c r="AZ6">
        <v>-0.15</v>
      </c>
      <c r="BA6" t="s">
        <v>97</v>
      </c>
      <c r="BB6" t="s">
        <v>97</v>
      </c>
      <c r="BC6" t="s">
        <v>97</v>
      </c>
      <c r="BD6">
        <v>0</v>
      </c>
      <c r="BE6" t="s">
        <v>97</v>
      </c>
      <c r="BF6" t="s">
        <v>97</v>
      </c>
      <c r="BG6" t="s">
        <v>97</v>
      </c>
      <c r="BH6" t="s">
        <v>97</v>
      </c>
      <c r="BI6">
        <v>666163</v>
      </c>
      <c r="BJ6">
        <v>666163</v>
      </c>
      <c r="BK6" t="s">
        <v>97</v>
      </c>
      <c r="BL6" t="s">
        <v>97</v>
      </c>
      <c r="BM6">
        <v>-4.476475014</v>
      </c>
      <c r="BN6">
        <v>-119.6774116</v>
      </c>
      <c r="BO6">
        <v>-7.8663021559999997</v>
      </c>
      <c r="BP6">
        <v>-8.2125576880000004</v>
      </c>
      <c r="BQ6">
        <v>24.202509719999998</v>
      </c>
      <c r="BR6">
        <v>-35.176967179999998</v>
      </c>
      <c r="BS6">
        <v>3.2</v>
      </c>
      <c r="BT6">
        <v>1.48</v>
      </c>
      <c r="BU6" t="s">
        <v>97</v>
      </c>
      <c r="BV6" t="s">
        <v>97</v>
      </c>
      <c r="BW6" t="s">
        <v>97</v>
      </c>
      <c r="BX6">
        <v>82.5</v>
      </c>
      <c r="BY6">
        <v>2607</v>
      </c>
      <c r="BZ6">
        <v>6.6</v>
      </c>
      <c r="CA6">
        <v>813069</v>
      </c>
      <c r="CB6">
        <v>666163</v>
      </c>
      <c r="CC6">
        <v>666163</v>
      </c>
      <c r="CD6">
        <v>518692</v>
      </c>
      <c r="CE6">
        <v>669242</v>
      </c>
      <c r="CF6">
        <v>571970</v>
      </c>
      <c r="CG6">
        <v>605141</v>
      </c>
      <c r="CH6">
        <v>571771</v>
      </c>
      <c r="CI6">
        <v>681624</v>
      </c>
      <c r="CJ6">
        <v>606192</v>
      </c>
      <c r="CK6">
        <v>53.91</v>
      </c>
      <c r="CL6" t="s">
        <v>97</v>
      </c>
      <c r="CM6">
        <v>0</v>
      </c>
      <c r="CN6">
        <v>0</v>
      </c>
      <c r="CO6">
        <v>1</v>
      </c>
      <c r="CP6">
        <v>0</v>
      </c>
      <c r="CQ6">
        <v>0</v>
      </c>
      <c r="CR6" t="s">
        <v>97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 t="s">
        <v>115</v>
      </c>
      <c r="DB6" t="s">
        <v>107</v>
      </c>
      <c r="DC6">
        <v>326</v>
      </c>
      <c r="DD6">
        <v>2.1999999999999999E-2</v>
      </c>
      <c r="DE6">
        <v>-0.23200000000000001</v>
      </c>
      <c r="DF6">
        <v>53.9</v>
      </c>
      <c r="DG6">
        <v>7.7</v>
      </c>
    </row>
    <row r="7" spans="1:111" x14ac:dyDescent="0.2">
      <c r="A7">
        <v>2025</v>
      </c>
      <c r="B7" s="1">
        <v>45930</v>
      </c>
      <c r="C7" t="s">
        <v>95</v>
      </c>
      <c r="D7">
        <v>605483</v>
      </c>
      <c r="E7">
        <v>682622</v>
      </c>
      <c r="F7">
        <v>0</v>
      </c>
      <c r="G7">
        <v>0</v>
      </c>
      <c r="H7">
        <v>1</v>
      </c>
      <c r="I7" t="s">
        <v>96</v>
      </c>
      <c r="J7">
        <v>2</v>
      </c>
      <c r="K7">
        <v>1</v>
      </c>
      <c r="L7" t="s">
        <v>119</v>
      </c>
      <c r="M7" t="s">
        <v>98</v>
      </c>
      <c r="N7" t="s">
        <v>99</v>
      </c>
      <c r="O7">
        <f t="shared" si="0"/>
        <v>1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0</v>
      </c>
      <c r="U7">
        <f t="shared" si="6"/>
        <v>0</v>
      </c>
      <c r="V7">
        <f t="shared" si="7"/>
        <v>0</v>
      </c>
      <c r="W7">
        <f t="shared" si="8"/>
        <v>0</v>
      </c>
      <c r="X7">
        <f t="shared" si="9"/>
        <v>0</v>
      </c>
      <c r="Y7">
        <f t="shared" si="10"/>
        <v>0</v>
      </c>
      <c r="Z7">
        <f t="shared" si="11"/>
        <v>0</v>
      </c>
      <c r="AA7">
        <f t="shared" si="12"/>
        <v>0</v>
      </c>
      <c r="AB7">
        <f t="shared" si="13"/>
        <v>0</v>
      </c>
      <c r="AC7">
        <f t="shared" si="14"/>
        <v>0</v>
      </c>
      <c r="AD7">
        <f t="shared" si="15"/>
        <v>0</v>
      </c>
      <c r="AE7">
        <v>96.7</v>
      </c>
      <c r="AF7">
        <v>1.81</v>
      </c>
      <c r="AG7">
        <v>6.57</v>
      </c>
      <c r="AH7" t="s">
        <v>120</v>
      </c>
      <c r="AI7" t="s">
        <v>97</v>
      </c>
      <c r="AJ7" t="s">
        <v>97</v>
      </c>
      <c r="AK7" t="s">
        <v>97</v>
      </c>
      <c r="AL7" t="s">
        <v>97</v>
      </c>
      <c r="AM7">
        <v>1</v>
      </c>
      <c r="AN7" t="s">
        <v>121</v>
      </c>
      <c r="AO7" t="s">
        <v>102</v>
      </c>
      <c r="AP7" t="s">
        <v>122</v>
      </c>
      <c r="AQ7" t="s">
        <v>103</v>
      </c>
      <c r="AR7" t="s">
        <v>104</v>
      </c>
      <c r="AS7" t="s">
        <v>105</v>
      </c>
      <c r="AT7" t="s">
        <v>123</v>
      </c>
      <c r="AU7">
        <v>7</v>
      </c>
      <c r="AV7" t="s">
        <v>124</v>
      </c>
      <c r="AW7">
        <v>0.27</v>
      </c>
      <c r="AX7">
        <v>1.57</v>
      </c>
      <c r="AY7">
        <v>-0.72</v>
      </c>
      <c r="AZ7">
        <v>3.04</v>
      </c>
      <c r="BA7" t="s">
        <v>97</v>
      </c>
      <c r="BB7" t="s">
        <v>97</v>
      </c>
      <c r="BC7" t="s">
        <v>97</v>
      </c>
      <c r="BD7">
        <v>1</v>
      </c>
      <c r="BE7">
        <v>59.67</v>
      </c>
      <c r="BF7">
        <v>83.64</v>
      </c>
      <c r="BG7" t="s">
        <v>97</v>
      </c>
      <c r="BH7" t="s">
        <v>97</v>
      </c>
      <c r="BI7">
        <v>666163</v>
      </c>
      <c r="BJ7">
        <v>666163</v>
      </c>
      <c r="BK7" t="s">
        <v>97</v>
      </c>
      <c r="BL7" t="s">
        <v>97</v>
      </c>
      <c r="BM7">
        <v>-7.4274414200000001</v>
      </c>
      <c r="BN7">
        <v>-140.52919220000001</v>
      </c>
      <c r="BO7">
        <v>-7.4629231640000002</v>
      </c>
      <c r="BP7">
        <v>5.311567599</v>
      </c>
      <c r="BQ7">
        <v>33.615358120000003</v>
      </c>
      <c r="BR7">
        <v>-9.8326203640000003</v>
      </c>
      <c r="BS7">
        <v>3.44</v>
      </c>
      <c r="BT7">
        <v>1.67</v>
      </c>
      <c r="BU7">
        <v>328</v>
      </c>
      <c r="BV7">
        <v>88.4</v>
      </c>
      <c r="BW7">
        <v>31</v>
      </c>
      <c r="BX7">
        <v>97.3</v>
      </c>
      <c r="BY7">
        <v>2538</v>
      </c>
      <c r="BZ7">
        <v>6.8</v>
      </c>
      <c r="CA7">
        <v>813069</v>
      </c>
      <c r="CB7">
        <v>666163</v>
      </c>
      <c r="CC7">
        <v>666163</v>
      </c>
      <c r="CD7">
        <v>518692</v>
      </c>
      <c r="CE7">
        <v>669242</v>
      </c>
      <c r="CF7">
        <v>571970</v>
      </c>
      <c r="CG7">
        <v>605141</v>
      </c>
      <c r="CH7">
        <v>571771</v>
      </c>
      <c r="CI7">
        <v>681624</v>
      </c>
      <c r="CJ7">
        <v>606192</v>
      </c>
      <c r="CK7">
        <v>53.7</v>
      </c>
      <c r="CL7">
        <v>3.4000000000000002E-2</v>
      </c>
      <c r="CM7">
        <v>3.2000000000000001E-2</v>
      </c>
      <c r="CN7">
        <v>0</v>
      </c>
      <c r="CO7">
        <v>1</v>
      </c>
      <c r="CP7">
        <v>0</v>
      </c>
      <c r="CQ7">
        <v>0</v>
      </c>
      <c r="CR7">
        <v>3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 t="s">
        <v>107</v>
      </c>
      <c r="DB7" t="s">
        <v>107</v>
      </c>
      <c r="DC7">
        <v>158</v>
      </c>
      <c r="DD7">
        <v>1.4999999999999999E-2</v>
      </c>
      <c r="DE7">
        <v>-0.254</v>
      </c>
      <c r="DF7">
        <v>71.599999999999994</v>
      </c>
      <c r="DG7">
        <v>6.9</v>
      </c>
    </row>
    <row r="8" spans="1:111" x14ac:dyDescent="0.2">
      <c r="A8">
        <v>2025</v>
      </c>
      <c r="B8" s="1">
        <v>45930</v>
      </c>
      <c r="C8" t="s">
        <v>95</v>
      </c>
      <c r="D8">
        <v>605483</v>
      </c>
      <c r="E8">
        <v>609280</v>
      </c>
      <c r="F8">
        <v>0</v>
      </c>
      <c r="G8">
        <v>0</v>
      </c>
      <c r="H8">
        <v>1</v>
      </c>
      <c r="I8" t="s">
        <v>96</v>
      </c>
      <c r="J8">
        <v>3</v>
      </c>
      <c r="K8">
        <v>1</v>
      </c>
      <c r="L8" t="s">
        <v>119</v>
      </c>
      <c r="M8" t="s">
        <v>98</v>
      </c>
      <c r="N8" t="s">
        <v>99</v>
      </c>
      <c r="O8">
        <f t="shared" si="0"/>
        <v>0</v>
      </c>
      <c r="P8">
        <f t="shared" si="1"/>
        <v>1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  <c r="U8">
        <f t="shared" si="6"/>
        <v>0</v>
      </c>
      <c r="V8">
        <f t="shared" si="7"/>
        <v>0</v>
      </c>
      <c r="W8">
        <f t="shared" si="8"/>
        <v>0</v>
      </c>
      <c r="X8">
        <f t="shared" si="9"/>
        <v>0</v>
      </c>
      <c r="Y8">
        <f t="shared" si="10"/>
        <v>0</v>
      </c>
      <c r="Z8">
        <f t="shared" si="11"/>
        <v>0</v>
      </c>
      <c r="AA8">
        <f t="shared" si="12"/>
        <v>0</v>
      </c>
      <c r="AB8">
        <f t="shared" si="13"/>
        <v>0</v>
      </c>
      <c r="AC8">
        <f t="shared" si="14"/>
        <v>0</v>
      </c>
      <c r="AD8">
        <f t="shared" si="15"/>
        <v>0</v>
      </c>
      <c r="AE8">
        <v>96.2</v>
      </c>
      <c r="AF8">
        <v>1.87</v>
      </c>
      <c r="AG8">
        <v>6.57</v>
      </c>
      <c r="AH8" t="s">
        <v>120</v>
      </c>
      <c r="AI8" t="s">
        <v>97</v>
      </c>
      <c r="AJ8" t="s">
        <v>97</v>
      </c>
      <c r="AK8" t="s">
        <v>97</v>
      </c>
      <c r="AL8" t="s">
        <v>97</v>
      </c>
      <c r="AM8">
        <v>4</v>
      </c>
      <c r="AN8" t="s">
        <v>125</v>
      </c>
      <c r="AO8" t="s">
        <v>102</v>
      </c>
      <c r="AP8" t="s">
        <v>122</v>
      </c>
      <c r="AQ8" t="s">
        <v>103</v>
      </c>
      <c r="AR8" t="s">
        <v>104</v>
      </c>
      <c r="AS8" t="s">
        <v>105</v>
      </c>
      <c r="AT8" t="s">
        <v>123</v>
      </c>
      <c r="AU8">
        <v>4</v>
      </c>
      <c r="AV8" t="s">
        <v>124</v>
      </c>
      <c r="AW8">
        <v>0.33</v>
      </c>
      <c r="AX8">
        <v>1.55</v>
      </c>
      <c r="AY8">
        <v>-0.7</v>
      </c>
      <c r="AZ8">
        <v>2.7</v>
      </c>
      <c r="BA8" t="s">
        <v>97</v>
      </c>
      <c r="BB8" t="s">
        <v>97</v>
      </c>
      <c r="BC8" t="s">
        <v>97</v>
      </c>
      <c r="BD8">
        <v>2</v>
      </c>
      <c r="BE8">
        <v>131.03</v>
      </c>
      <c r="BF8">
        <v>113.33</v>
      </c>
      <c r="BG8" t="s">
        <v>97</v>
      </c>
      <c r="BH8" t="s">
        <v>97</v>
      </c>
      <c r="BI8">
        <v>666163</v>
      </c>
      <c r="BJ8">
        <v>666163</v>
      </c>
      <c r="BK8" t="s">
        <v>97</v>
      </c>
      <c r="BL8" t="s">
        <v>97</v>
      </c>
      <c r="BM8">
        <v>-7.6039672129999998</v>
      </c>
      <c r="BN8">
        <v>-139.78813109999999</v>
      </c>
      <c r="BO8">
        <v>-8.2594081930000005</v>
      </c>
      <c r="BP8">
        <v>5.9978349729999998</v>
      </c>
      <c r="BQ8">
        <v>29.814430099999999</v>
      </c>
      <c r="BR8">
        <v>-10.1673764</v>
      </c>
      <c r="BS8">
        <v>3.41</v>
      </c>
      <c r="BT8">
        <v>1.66</v>
      </c>
      <c r="BU8">
        <v>217</v>
      </c>
      <c r="BV8">
        <v>66.3</v>
      </c>
      <c r="BW8">
        <v>43</v>
      </c>
      <c r="BX8">
        <v>97</v>
      </c>
      <c r="BY8">
        <v>2479</v>
      </c>
      <c r="BZ8">
        <v>6.7</v>
      </c>
      <c r="CA8">
        <v>813069</v>
      </c>
      <c r="CB8">
        <v>666163</v>
      </c>
      <c r="CC8">
        <v>666163</v>
      </c>
      <c r="CD8">
        <v>518692</v>
      </c>
      <c r="CE8">
        <v>669242</v>
      </c>
      <c r="CF8">
        <v>571970</v>
      </c>
      <c r="CG8">
        <v>605141</v>
      </c>
      <c r="CH8">
        <v>571771</v>
      </c>
      <c r="CI8">
        <v>681624</v>
      </c>
      <c r="CJ8">
        <v>606192</v>
      </c>
      <c r="CK8">
        <v>53.81</v>
      </c>
      <c r="CL8">
        <v>0.36299999999999999</v>
      </c>
      <c r="CM8">
        <v>0.32800000000000001</v>
      </c>
      <c r="CN8">
        <v>0</v>
      </c>
      <c r="CO8">
        <v>1</v>
      </c>
      <c r="CP8">
        <v>0</v>
      </c>
      <c r="CQ8">
        <v>0</v>
      </c>
      <c r="CR8">
        <v>3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 t="s">
        <v>107</v>
      </c>
      <c r="DB8" t="s">
        <v>107</v>
      </c>
      <c r="DC8">
        <v>159</v>
      </c>
      <c r="DD8">
        <v>0.01</v>
      </c>
      <c r="DE8">
        <v>-0.26</v>
      </c>
      <c r="DF8">
        <v>71</v>
      </c>
      <c r="DG8">
        <v>7.1</v>
      </c>
    </row>
    <row r="9" spans="1:111" x14ac:dyDescent="0.2">
      <c r="A9">
        <v>2025</v>
      </c>
      <c r="B9" s="1">
        <v>45930</v>
      </c>
      <c r="C9" t="s">
        <v>95</v>
      </c>
      <c r="D9">
        <v>605483</v>
      </c>
      <c r="E9">
        <v>669720</v>
      </c>
      <c r="F9">
        <v>0</v>
      </c>
      <c r="G9">
        <v>0</v>
      </c>
      <c r="H9">
        <v>2</v>
      </c>
      <c r="I9" t="s">
        <v>96</v>
      </c>
      <c r="J9">
        <v>10</v>
      </c>
      <c r="K9">
        <v>1</v>
      </c>
      <c r="L9" t="s">
        <v>97</v>
      </c>
      <c r="M9" t="s">
        <v>111</v>
      </c>
      <c r="N9" t="s">
        <v>112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1</v>
      </c>
      <c r="U9">
        <f t="shared" si="6"/>
        <v>0</v>
      </c>
      <c r="V9">
        <f t="shared" si="7"/>
        <v>0</v>
      </c>
      <c r="W9">
        <f t="shared" si="8"/>
        <v>0</v>
      </c>
      <c r="X9">
        <f t="shared" si="9"/>
        <v>0</v>
      </c>
      <c r="Y9">
        <f t="shared" si="10"/>
        <v>0</v>
      </c>
      <c r="Z9">
        <f t="shared" si="11"/>
        <v>0</v>
      </c>
      <c r="AA9">
        <f t="shared" si="12"/>
        <v>0</v>
      </c>
      <c r="AB9">
        <f t="shared" si="13"/>
        <v>0</v>
      </c>
      <c r="AC9">
        <f t="shared" si="14"/>
        <v>0</v>
      </c>
      <c r="AD9">
        <f t="shared" si="15"/>
        <v>0</v>
      </c>
      <c r="AE9">
        <v>80.8</v>
      </c>
      <c r="AF9">
        <v>1.95</v>
      </c>
      <c r="AG9">
        <v>6.63</v>
      </c>
      <c r="AH9" t="s">
        <v>108</v>
      </c>
      <c r="AI9" t="s">
        <v>97</v>
      </c>
      <c r="AJ9" t="s">
        <v>97</v>
      </c>
      <c r="AK9" t="s">
        <v>97</v>
      </c>
      <c r="AL9" t="s">
        <v>97</v>
      </c>
      <c r="AM9">
        <v>8</v>
      </c>
      <c r="AN9" t="s">
        <v>109</v>
      </c>
      <c r="AO9" t="s">
        <v>102</v>
      </c>
      <c r="AP9" t="s">
        <v>122</v>
      </c>
      <c r="AQ9" t="s">
        <v>103</v>
      </c>
      <c r="AR9" t="s">
        <v>104</v>
      </c>
      <c r="AS9" t="s">
        <v>105</v>
      </c>
      <c r="AT9" t="s">
        <v>110</v>
      </c>
      <c r="AU9" t="s">
        <v>97</v>
      </c>
      <c r="AV9" t="s">
        <v>97</v>
      </c>
      <c r="AW9">
        <v>-0.78</v>
      </c>
      <c r="AX9">
        <v>-0.39</v>
      </c>
      <c r="AY9">
        <v>0.26</v>
      </c>
      <c r="AZ9">
        <v>2.06</v>
      </c>
      <c r="BA9" t="s">
        <v>97</v>
      </c>
      <c r="BB9" t="s">
        <v>97</v>
      </c>
      <c r="BC9" t="s">
        <v>97</v>
      </c>
      <c r="BD9">
        <v>0</v>
      </c>
      <c r="BE9" t="s">
        <v>97</v>
      </c>
      <c r="BF9" t="s">
        <v>97</v>
      </c>
      <c r="BG9" t="s">
        <v>97</v>
      </c>
      <c r="BH9" t="s">
        <v>97</v>
      </c>
      <c r="BI9">
        <v>666163</v>
      </c>
      <c r="BJ9">
        <v>666163</v>
      </c>
      <c r="BK9" t="s">
        <v>97</v>
      </c>
      <c r="BL9" t="s">
        <v>97</v>
      </c>
      <c r="BM9">
        <v>-2.2816580380000002</v>
      </c>
      <c r="BN9">
        <v>-117.6764257</v>
      </c>
      <c r="BO9">
        <v>-2.789521127</v>
      </c>
      <c r="BP9">
        <v>-6.8383672029999998</v>
      </c>
      <c r="BQ9">
        <v>22.649433370000001</v>
      </c>
      <c r="BR9">
        <v>-35.5169511</v>
      </c>
      <c r="BS9">
        <v>3.38</v>
      </c>
      <c r="BT9">
        <v>1.5</v>
      </c>
      <c r="BU9" t="s">
        <v>97</v>
      </c>
      <c r="BV9" t="s">
        <v>97</v>
      </c>
      <c r="BW9" t="s">
        <v>97</v>
      </c>
      <c r="BX9">
        <v>81.400000000000006</v>
      </c>
      <c r="BY9">
        <v>2577</v>
      </c>
      <c r="BZ9">
        <v>6.7</v>
      </c>
      <c r="CA9">
        <v>813069</v>
      </c>
      <c r="CB9">
        <v>666163</v>
      </c>
      <c r="CC9">
        <v>666163</v>
      </c>
      <c r="CD9">
        <v>518692</v>
      </c>
      <c r="CE9">
        <v>669242</v>
      </c>
      <c r="CF9">
        <v>571970</v>
      </c>
      <c r="CG9">
        <v>605141</v>
      </c>
      <c r="CH9">
        <v>571771</v>
      </c>
      <c r="CI9">
        <v>681624</v>
      </c>
      <c r="CJ9">
        <v>606192</v>
      </c>
      <c r="CK9">
        <v>53.82</v>
      </c>
      <c r="CL9" t="s">
        <v>97</v>
      </c>
      <c r="CM9" t="s">
        <v>97</v>
      </c>
      <c r="CN9" t="s">
        <v>97</v>
      </c>
      <c r="CO9" t="s">
        <v>97</v>
      </c>
      <c r="CP9" t="s">
        <v>97</v>
      </c>
      <c r="CQ9" t="s">
        <v>97</v>
      </c>
      <c r="CR9" t="s">
        <v>97</v>
      </c>
      <c r="CS9">
        <v>1</v>
      </c>
      <c r="CT9">
        <v>0</v>
      </c>
      <c r="CU9">
        <v>0</v>
      </c>
      <c r="CV9">
        <v>1</v>
      </c>
      <c r="CW9">
        <v>0</v>
      </c>
      <c r="CX9">
        <v>1</v>
      </c>
      <c r="CY9">
        <v>0</v>
      </c>
      <c r="CZ9">
        <v>1</v>
      </c>
      <c r="DA9" t="s">
        <v>107</v>
      </c>
      <c r="DB9" t="s">
        <v>107</v>
      </c>
      <c r="DC9">
        <v>328</v>
      </c>
      <c r="DD9">
        <v>0</v>
      </c>
      <c r="DE9">
        <v>-3.9E-2</v>
      </c>
      <c r="DF9" t="s">
        <v>97</v>
      </c>
      <c r="DG9" t="s">
        <v>97</v>
      </c>
    </row>
    <row r="10" spans="1:111" x14ac:dyDescent="0.2">
      <c r="A10">
        <v>2025</v>
      </c>
      <c r="B10" s="1">
        <v>45930</v>
      </c>
      <c r="C10" t="s">
        <v>95</v>
      </c>
      <c r="D10">
        <v>605483</v>
      </c>
      <c r="E10">
        <v>669720</v>
      </c>
      <c r="F10">
        <v>0</v>
      </c>
      <c r="G10">
        <v>1</v>
      </c>
      <c r="H10">
        <v>2</v>
      </c>
      <c r="I10" t="s">
        <v>96</v>
      </c>
      <c r="J10">
        <v>10</v>
      </c>
      <c r="K10">
        <v>2</v>
      </c>
      <c r="L10" t="s">
        <v>119</v>
      </c>
      <c r="M10" t="s">
        <v>98</v>
      </c>
      <c r="N10" t="s">
        <v>99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  <c r="U10">
        <f t="shared" si="6"/>
        <v>0</v>
      </c>
      <c r="V10">
        <f t="shared" si="7"/>
        <v>0</v>
      </c>
      <c r="W10">
        <f t="shared" si="8"/>
        <v>0</v>
      </c>
      <c r="X10">
        <f t="shared" si="9"/>
        <v>0</v>
      </c>
      <c r="Y10">
        <f t="shared" si="10"/>
        <v>0</v>
      </c>
      <c r="Z10">
        <f t="shared" si="11"/>
        <v>0</v>
      </c>
      <c r="AA10">
        <f t="shared" si="12"/>
        <v>0</v>
      </c>
      <c r="AB10">
        <f t="shared" si="13"/>
        <v>0</v>
      </c>
      <c r="AC10">
        <f t="shared" si="14"/>
        <v>0</v>
      </c>
      <c r="AD10">
        <f t="shared" si="15"/>
        <v>0</v>
      </c>
      <c r="AE10">
        <v>94</v>
      </c>
      <c r="AF10">
        <v>2.0099999999999998</v>
      </c>
      <c r="AG10">
        <v>6.62</v>
      </c>
      <c r="AH10" t="s">
        <v>120</v>
      </c>
      <c r="AI10" t="s">
        <v>97</v>
      </c>
      <c r="AJ10" t="s">
        <v>97</v>
      </c>
      <c r="AK10" t="s">
        <v>97</v>
      </c>
      <c r="AL10" t="s">
        <v>97</v>
      </c>
      <c r="AM10">
        <v>11</v>
      </c>
      <c r="AN10" t="s">
        <v>126</v>
      </c>
      <c r="AO10" t="s">
        <v>102</v>
      </c>
      <c r="AP10" t="s">
        <v>122</v>
      </c>
      <c r="AQ10" t="s">
        <v>103</v>
      </c>
      <c r="AR10" t="s">
        <v>104</v>
      </c>
      <c r="AS10" t="s">
        <v>105</v>
      </c>
      <c r="AT10" t="s">
        <v>123</v>
      </c>
      <c r="AU10">
        <v>5</v>
      </c>
      <c r="AV10" t="s">
        <v>127</v>
      </c>
      <c r="AW10">
        <v>0.14000000000000001</v>
      </c>
      <c r="AX10">
        <v>1.17</v>
      </c>
      <c r="AY10">
        <v>-0.72</v>
      </c>
      <c r="AZ10">
        <v>3.5</v>
      </c>
      <c r="BA10" t="s">
        <v>97</v>
      </c>
      <c r="BB10" t="s">
        <v>97</v>
      </c>
      <c r="BC10" t="s">
        <v>97</v>
      </c>
      <c r="BD10">
        <v>0</v>
      </c>
      <c r="BE10">
        <v>104.92</v>
      </c>
      <c r="BF10">
        <v>162.93</v>
      </c>
      <c r="BG10" t="s">
        <v>97</v>
      </c>
      <c r="BH10" t="s">
        <v>97</v>
      </c>
      <c r="BI10">
        <v>666163</v>
      </c>
      <c r="BJ10">
        <v>666163</v>
      </c>
      <c r="BK10" t="s">
        <v>97</v>
      </c>
      <c r="BL10" t="s">
        <v>97</v>
      </c>
      <c r="BM10">
        <v>-7.4359082020000002</v>
      </c>
      <c r="BN10">
        <v>-136.69009339999999</v>
      </c>
      <c r="BO10">
        <v>-4.9980639360000003</v>
      </c>
      <c r="BP10">
        <v>3.421274135</v>
      </c>
      <c r="BQ10">
        <v>29.886141800000001</v>
      </c>
      <c r="BR10">
        <v>-16.55476938</v>
      </c>
      <c r="BS10">
        <v>3.33</v>
      </c>
      <c r="BT10">
        <v>1.5</v>
      </c>
      <c r="BU10">
        <v>30</v>
      </c>
      <c r="BV10">
        <v>78.900000000000006</v>
      </c>
      <c r="BW10">
        <v>-5</v>
      </c>
      <c r="BX10">
        <v>94.6</v>
      </c>
      <c r="BY10">
        <v>2366</v>
      </c>
      <c r="BZ10">
        <v>6.6</v>
      </c>
      <c r="CA10">
        <v>813069</v>
      </c>
      <c r="CB10">
        <v>666163</v>
      </c>
      <c r="CC10">
        <v>666163</v>
      </c>
      <c r="CD10">
        <v>518692</v>
      </c>
      <c r="CE10">
        <v>669242</v>
      </c>
      <c r="CF10">
        <v>571970</v>
      </c>
      <c r="CG10">
        <v>605141</v>
      </c>
      <c r="CH10">
        <v>571771</v>
      </c>
      <c r="CI10">
        <v>681624</v>
      </c>
      <c r="CJ10">
        <v>606192</v>
      </c>
      <c r="CK10">
        <v>53.86</v>
      </c>
      <c r="CL10">
        <v>0.106</v>
      </c>
      <c r="CM10">
        <v>0.10199999999999999</v>
      </c>
      <c r="CN10">
        <v>0</v>
      </c>
      <c r="CO10">
        <v>1</v>
      </c>
      <c r="CP10">
        <v>0</v>
      </c>
      <c r="CQ10">
        <v>0</v>
      </c>
      <c r="CR10">
        <v>2</v>
      </c>
      <c r="CS10">
        <v>1</v>
      </c>
      <c r="CT10">
        <v>0</v>
      </c>
      <c r="CU10">
        <v>0</v>
      </c>
      <c r="CV10">
        <v>1</v>
      </c>
      <c r="CW10">
        <v>0</v>
      </c>
      <c r="CX10">
        <v>1</v>
      </c>
      <c r="CY10">
        <v>0</v>
      </c>
      <c r="CZ10">
        <v>1</v>
      </c>
      <c r="DA10" t="s">
        <v>107</v>
      </c>
      <c r="DB10" t="s">
        <v>107</v>
      </c>
      <c r="DC10">
        <v>162</v>
      </c>
      <c r="DD10">
        <v>2.4E-2</v>
      </c>
      <c r="DE10">
        <v>-0.22</v>
      </c>
      <c r="DF10">
        <v>67.2</v>
      </c>
      <c r="DG10">
        <v>6.1</v>
      </c>
    </row>
    <row r="11" spans="1:111" x14ac:dyDescent="0.2">
      <c r="A11">
        <v>2025</v>
      </c>
      <c r="B11" s="1">
        <v>45930</v>
      </c>
      <c r="C11" t="s">
        <v>95</v>
      </c>
      <c r="D11">
        <v>605483</v>
      </c>
      <c r="E11">
        <v>668715</v>
      </c>
      <c r="F11">
        <v>0</v>
      </c>
      <c r="G11">
        <v>0</v>
      </c>
      <c r="H11">
        <v>2</v>
      </c>
      <c r="I11" t="s">
        <v>96</v>
      </c>
      <c r="J11">
        <v>11</v>
      </c>
      <c r="K11">
        <v>1</v>
      </c>
      <c r="L11" t="s">
        <v>97</v>
      </c>
      <c r="M11" t="s">
        <v>98</v>
      </c>
      <c r="N11" t="s">
        <v>99</v>
      </c>
      <c r="O11">
        <f t="shared" si="0"/>
        <v>0</v>
      </c>
      <c r="P11">
        <f t="shared" si="1"/>
        <v>1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  <c r="U11">
        <f t="shared" si="6"/>
        <v>0</v>
      </c>
      <c r="V11">
        <f t="shared" si="7"/>
        <v>0</v>
      </c>
      <c r="W11">
        <f t="shared" si="8"/>
        <v>0</v>
      </c>
      <c r="X11">
        <f t="shared" si="9"/>
        <v>0</v>
      </c>
      <c r="Y11">
        <f t="shared" si="10"/>
        <v>0</v>
      </c>
      <c r="Z11">
        <f t="shared" si="11"/>
        <v>0</v>
      </c>
      <c r="AA11">
        <f t="shared" si="12"/>
        <v>0</v>
      </c>
      <c r="AB11">
        <f t="shared" si="13"/>
        <v>0</v>
      </c>
      <c r="AC11">
        <f t="shared" si="14"/>
        <v>0</v>
      </c>
      <c r="AD11">
        <f t="shared" si="15"/>
        <v>0</v>
      </c>
      <c r="AE11">
        <v>95.5</v>
      </c>
      <c r="AF11">
        <v>2.09</v>
      </c>
      <c r="AG11">
        <v>6.57</v>
      </c>
      <c r="AH11" t="s">
        <v>108</v>
      </c>
      <c r="AI11" t="s">
        <v>97</v>
      </c>
      <c r="AJ11" t="s">
        <v>97</v>
      </c>
      <c r="AK11" t="s">
        <v>97</v>
      </c>
      <c r="AL11" t="s">
        <v>97</v>
      </c>
      <c r="AM11">
        <v>9</v>
      </c>
      <c r="AN11" t="s">
        <v>109</v>
      </c>
      <c r="AO11" t="s">
        <v>102</v>
      </c>
      <c r="AP11" t="s">
        <v>122</v>
      </c>
      <c r="AQ11" t="s">
        <v>103</v>
      </c>
      <c r="AR11" t="s">
        <v>104</v>
      </c>
      <c r="AS11" t="s">
        <v>105</v>
      </c>
      <c r="AT11" t="s">
        <v>110</v>
      </c>
      <c r="AU11" t="s">
        <v>97</v>
      </c>
      <c r="AV11" t="s">
        <v>97</v>
      </c>
      <c r="AW11">
        <v>0.25</v>
      </c>
      <c r="AX11">
        <v>1.46</v>
      </c>
      <c r="AY11">
        <v>0.79</v>
      </c>
      <c r="AZ11">
        <v>2.1800000000000002</v>
      </c>
      <c r="BA11" t="s">
        <v>97</v>
      </c>
      <c r="BB11" t="s">
        <v>97</v>
      </c>
      <c r="BC11" t="s">
        <v>97</v>
      </c>
      <c r="BD11">
        <v>1</v>
      </c>
      <c r="BE11" t="s">
        <v>97</v>
      </c>
      <c r="BF11" t="s">
        <v>97</v>
      </c>
      <c r="BG11" t="s">
        <v>97</v>
      </c>
      <c r="BH11" t="s">
        <v>97</v>
      </c>
      <c r="BI11">
        <v>666163</v>
      </c>
      <c r="BJ11">
        <v>666163</v>
      </c>
      <c r="BK11" t="s">
        <v>97</v>
      </c>
      <c r="BL11" t="s">
        <v>97</v>
      </c>
      <c r="BM11">
        <v>-3.9953979290000001</v>
      </c>
      <c r="BN11">
        <v>-138.77205219999999</v>
      </c>
      <c r="BO11">
        <v>-9.2220585509999999</v>
      </c>
      <c r="BP11">
        <v>4.1047878520000003</v>
      </c>
      <c r="BQ11">
        <v>31.99818454</v>
      </c>
      <c r="BR11">
        <v>-11.475774120000001</v>
      </c>
      <c r="BS11">
        <v>3.47</v>
      </c>
      <c r="BT11">
        <v>1.67</v>
      </c>
      <c r="BU11" t="s">
        <v>97</v>
      </c>
      <c r="BV11" t="s">
        <v>97</v>
      </c>
      <c r="BW11" t="s">
        <v>97</v>
      </c>
      <c r="BX11">
        <v>95.8</v>
      </c>
      <c r="BY11">
        <v>2496</v>
      </c>
      <c r="BZ11">
        <v>6.6</v>
      </c>
      <c r="CA11">
        <v>813069</v>
      </c>
      <c r="CB11">
        <v>666163</v>
      </c>
      <c r="CC11">
        <v>666163</v>
      </c>
      <c r="CD11">
        <v>518692</v>
      </c>
      <c r="CE11">
        <v>669242</v>
      </c>
      <c r="CF11">
        <v>571970</v>
      </c>
      <c r="CG11">
        <v>605141</v>
      </c>
      <c r="CH11">
        <v>571771</v>
      </c>
      <c r="CI11">
        <v>681624</v>
      </c>
      <c r="CJ11">
        <v>606192</v>
      </c>
      <c r="CK11">
        <v>53.9</v>
      </c>
      <c r="CL11" t="s">
        <v>97</v>
      </c>
      <c r="CM11" t="s">
        <v>97</v>
      </c>
      <c r="CN11" t="s">
        <v>97</v>
      </c>
      <c r="CO11" t="s">
        <v>97</v>
      </c>
      <c r="CP11" t="s">
        <v>97</v>
      </c>
      <c r="CQ11" t="s">
        <v>97</v>
      </c>
      <c r="CR11" t="s">
        <v>97</v>
      </c>
      <c r="CS11">
        <v>1</v>
      </c>
      <c r="CT11">
        <v>0</v>
      </c>
      <c r="CU11">
        <v>0</v>
      </c>
      <c r="CV11">
        <v>1</v>
      </c>
      <c r="CW11">
        <v>0</v>
      </c>
      <c r="CX11">
        <v>1</v>
      </c>
      <c r="CY11">
        <v>0</v>
      </c>
      <c r="CZ11">
        <v>1</v>
      </c>
      <c r="DA11" t="s">
        <v>107</v>
      </c>
      <c r="DB11" t="s">
        <v>107</v>
      </c>
      <c r="DC11">
        <v>160</v>
      </c>
      <c r="DD11">
        <v>0</v>
      </c>
      <c r="DE11">
        <v>-3.9E-2</v>
      </c>
      <c r="DF11" t="s">
        <v>97</v>
      </c>
      <c r="DG11" t="s">
        <v>97</v>
      </c>
    </row>
    <row r="12" spans="1:111" x14ac:dyDescent="0.2">
      <c r="A12">
        <v>2025</v>
      </c>
      <c r="B12" s="1">
        <v>45930</v>
      </c>
      <c r="C12" t="s">
        <v>95</v>
      </c>
      <c r="D12">
        <v>605483</v>
      </c>
      <c r="E12">
        <v>668715</v>
      </c>
      <c r="F12">
        <v>0</v>
      </c>
      <c r="G12">
        <v>1</v>
      </c>
      <c r="H12">
        <v>2</v>
      </c>
      <c r="I12" t="s">
        <v>96</v>
      </c>
      <c r="J12">
        <v>11</v>
      </c>
      <c r="K12">
        <v>2</v>
      </c>
      <c r="L12" t="s">
        <v>119</v>
      </c>
      <c r="M12" t="s">
        <v>111</v>
      </c>
      <c r="N12" t="s">
        <v>112</v>
      </c>
      <c r="O12">
        <f t="shared" si="0"/>
        <v>0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1</v>
      </c>
      <c r="U12">
        <f t="shared" si="6"/>
        <v>0</v>
      </c>
      <c r="V12">
        <f t="shared" si="7"/>
        <v>0</v>
      </c>
      <c r="W12">
        <f t="shared" si="8"/>
        <v>0</v>
      </c>
      <c r="X12">
        <f t="shared" si="9"/>
        <v>0</v>
      </c>
      <c r="Y12">
        <f t="shared" si="10"/>
        <v>0</v>
      </c>
      <c r="Z12">
        <f t="shared" si="11"/>
        <v>0</v>
      </c>
      <c r="AA12">
        <f t="shared" si="12"/>
        <v>0</v>
      </c>
      <c r="AB12">
        <f t="shared" si="13"/>
        <v>0</v>
      </c>
      <c r="AC12">
        <f t="shared" si="14"/>
        <v>0</v>
      </c>
      <c r="AD12">
        <f t="shared" si="15"/>
        <v>0</v>
      </c>
      <c r="AE12">
        <v>81.400000000000006</v>
      </c>
      <c r="AF12">
        <v>2.0099999999999998</v>
      </c>
      <c r="AG12">
        <v>6.62</v>
      </c>
      <c r="AH12" t="s">
        <v>120</v>
      </c>
      <c r="AI12" t="s">
        <v>97</v>
      </c>
      <c r="AJ12" t="s">
        <v>97</v>
      </c>
      <c r="AK12" t="s">
        <v>97</v>
      </c>
      <c r="AL12" t="s">
        <v>97</v>
      </c>
      <c r="AM12">
        <v>8</v>
      </c>
      <c r="AN12" t="s">
        <v>128</v>
      </c>
      <c r="AO12" t="s">
        <v>102</v>
      </c>
      <c r="AP12" t="s">
        <v>122</v>
      </c>
      <c r="AQ12" t="s">
        <v>103</v>
      </c>
      <c r="AR12" t="s">
        <v>104</v>
      </c>
      <c r="AS12" t="s">
        <v>105</v>
      </c>
      <c r="AT12" t="s">
        <v>123</v>
      </c>
      <c r="AU12">
        <v>7</v>
      </c>
      <c r="AV12" t="s">
        <v>124</v>
      </c>
      <c r="AW12">
        <v>-1.44</v>
      </c>
      <c r="AX12">
        <v>-0.67</v>
      </c>
      <c r="AY12">
        <v>-0.23</v>
      </c>
      <c r="AZ12">
        <v>1.57</v>
      </c>
      <c r="BA12" t="s">
        <v>97</v>
      </c>
      <c r="BB12" t="s">
        <v>97</v>
      </c>
      <c r="BC12" t="s">
        <v>97</v>
      </c>
      <c r="BD12">
        <v>1</v>
      </c>
      <c r="BE12">
        <v>65.680000000000007</v>
      </c>
      <c r="BF12">
        <v>78.319999999999993</v>
      </c>
      <c r="BG12" t="s">
        <v>97</v>
      </c>
      <c r="BH12" t="s">
        <v>97</v>
      </c>
      <c r="BI12">
        <v>666163</v>
      </c>
      <c r="BJ12">
        <v>666163</v>
      </c>
      <c r="BK12" t="s">
        <v>97</v>
      </c>
      <c r="BL12" t="s">
        <v>97</v>
      </c>
      <c r="BM12">
        <v>-2.2601617589999998</v>
      </c>
      <c r="BN12">
        <v>-118.4530146</v>
      </c>
      <c r="BO12">
        <v>-3.4178400120000001</v>
      </c>
      <c r="BP12">
        <v>-13.018225989999999</v>
      </c>
      <c r="BQ12">
        <v>24.60567</v>
      </c>
      <c r="BR12">
        <v>-37.917056649999999</v>
      </c>
      <c r="BS12">
        <v>3.37</v>
      </c>
      <c r="BT12">
        <v>1.59</v>
      </c>
      <c r="BU12">
        <v>333</v>
      </c>
      <c r="BV12">
        <v>89.3</v>
      </c>
      <c r="BW12">
        <v>27</v>
      </c>
      <c r="BX12">
        <v>81.3</v>
      </c>
      <c r="BY12">
        <v>2626</v>
      </c>
      <c r="BZ12">
        <v>6.4</v>
      </c>
      <c r="CA12">
        <v>813069</v>
      </c>
      <c r="CB12">
        <v>666163</v>
      </c>
      <c r="CC12">
        <v>666163</v>
      </c>
      <c r="CD12">
        <v>518692</v>
      </c>
      <c r="CE12">
        <v>669242</v>
      </c>
      <c r="CF12">
        <v>571970</v>
      </c>
      <c r="CG12">
        <v>605141</v>
      </c>
      <c r="CH12">
        <v>571771</v>
      </c>
      <c r="CI12">
        <v>681624</v>
      </c>
      <c r="CJ12">
        <v>606192</v>
      </c>
      <c r="CK12">
        <v>54.11</v>
      </c>
      <c r="CL12">
        <v>4.2999999999999997E-2</v>
      </c>
      <c r="CM12">
        <v>5.0999999999999997E-2</v>
      </c>
      <c r="CN12">
        <v>0</v>
      </c>
      <c r="CO12">
        <v>1</v>
      </c>
      <c r="CP12">
        <v>0</v>
      </c>
      <c r="CQ12">
        <v>0</v>
      </c>
      <c r="CR12">
        <v>3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0</v>
      </c>
      <c r="CZ12">
        <v>1</v>
      </c>
      <c r="DA12" t="s">
        <v>107</v>
      </c>
      <c r="DB12" t="s">
        <v>107</v>
      </c>
      <c r="DC12">
        <v>320</v>
      </c>
      <c r="DD12">
        <v>1.7000000000000001E-2</v>
      </c>
      <c r="DE12">
        <v>-0.215</v>
      </c>
      <c r="DF12">
        <v>72.900000000000006</v>
      </c>
      <c r="DG12">
        <v>7.9</v>
      </c>
    </row>
    <row r="13" spans="1:111" x14ac:dyDescent="0.2">
      <c r="A13">
        <v>2025</v>
      </c>
      <c r="B13" s="1">
        <v>45930</v>
      </c>
      <c r="C13" t="s">
        <v>95</v>
      </c>
      <c r="D13">
        <v>605483</v>
      </c>
      <c r="E13">
        <v>682829</v>
      </c>
      <c r="F13">
        <v>0</v>
      </c>
      <c r="G13">
        <v>0</v>
      </c>
      <c r="H13">
        <v>2</v>
      </c>
      <c r="I13" t="s">
        <v>96</v>
      </c>
      <c r="J13">
        <v>12</v>
      </c>
      <c r="K13">
        <v>1</v>
      </c>
      <c r="L13" t="s">
        <v>97</v>
      </c>
      <c r="M13" t="s">
        <v>98</v>
      </c>
      <c r="N13" t="s">
        <v>99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  <c r="U13">
        <f t="shared" si="6"/>
        <v>0</v>
      </c>
      <c r="V13">
        <f t="shared" si="7"/>
        <v>0</v>
      </c>
      <c r="W13">
        <f t="shared" si="8"/>
        <v>0</v>
      </c>
      <c r="X13">
        <f t="shared" si="9"/>
        <v>0</v>
      </c>
      <c r="Y13">
        <f t="shared" si="10"/>
        <v>0</v>
      </c>
      <c r="Z13">
        <f t="shared" si="11"/>
        <v>0</v>
      </c>
      <c r="AA13">
        <f t="shared" si="12"/>
        <v>0</v>
      </c>
      <c r="AB13">
        <f t="shared" si="13"/>
        <v>0</v>
      </c>
      <c r="AC13">
        <f t="shared" si="14"/>
        <v>0</v>
      </c>
      <c r="AD13">
        <f t="shared" si="15"/>
        <v>0</v>
      </c>
      <c r="AE13">
        <v>96.4</v>
      </c>
      <c r="AF13">
        <v>1.93</v>
      </c>
      <c r="AG13">
        <v>6.62</v>
      </c>
      <c r="AH13" t="s">
        <v>129</v>
      </c>
      <c r="AI13" t="s">
        <v>97</v>
      </c>
      <c r="AJ13" t="s">
        <v>97</v>
      </c>
      <c r="AK13" t="s">
        <v>97</v>
      </c>
      <c r="AL13" t="s">
        <v>97</v>
      </c>
      <c r="AM13">
        <v>11</v>
      </c>
      <c r="AN13" t="s">
        <v>130</v>
      </c>
      <c r="AO13" t="s">
        <v>102</v>
      </c>
      <c r="AP13" t="s">
        <v>122</v>
      </c>
      <c r="AQ13" t="s">
        <v>103</v>
      </c>
      <c r="AR13" t="s">
        <v>104</v>
      </c>
      <c r="AS13" t="s">
        <v>105</v>
      </c>
      <c r="AT13" t="s">
        <v>110</v>
      </c>
      <c r="AU13" t="s">
        <v>97</v>
      </c>
      <c r="AV13" t="s">
        <v>97</v>
      </c>
      <c r="AW13">
        <v>7.0000000000000007E-2</v>
      </c>
      <c r="AX13">
        <v>1.49</v>
      </c>
      <c r="AY13">
        <v>-0.47</v>
      </c>
      <c r="AZ13">
        <v>3.78</v>
      </c>
      <c r="BA13" t="s">
        <v>97</v>
      </c>
      <c r="BB13" t="s">
        <v>97</v>
      </c>
      <c r="BC13" t="s">
        <v>97</v>
      </c>
      <c r="BD13">
        <v>2</v>
      </c>
      <c r="BE13" t="s">
        <v>97</v>
      </c>
      <c r="BF13" t="s">
        <v>97</v>
      </c>
      <c r="BG13" t="s">
        <v>97</v>
      </c>
      <c r="BH13" t="s">
        <v>97</v>
      </c>
      <c r="BI13">
        <v>666163</v>
      </c>
      <c r="BJ13">
        <v>666163</v>
      </c>
      <c r="BK13" t="s">
        <v>97</v>
      </c>
      <c r="BL13" t="s">
        <v>97</v>
      </c>
      <c r="BM13">
        <v>-6.5874451509999998</v>
      </c>
      <c r="BN13">
        <v>-140.13876550000001</v>
      </c>
      <c r="BO13">
        <v>-5.3517841700000002</v>
      </c>
      <c r="BP13">
        <v>2.4268283909999999</v>
      </c>
      <c r="BQ13">
        <v>33.434026299999999</v>
      </c>
      <c r="BR13">
        <v>-11.548964570000001</v>
      </c>
      <c r="BS13">
        <v>3.65</v>
      </c>
      <c r="BT13">
        <v>1.74</v>
      </c>
      <c r="BU13">
        <v>205</v>
      </c>
      <c r="BV13">
        <v>69.7</v>
      </c>
      <c r="BW13">
        <v>44</v>
      </c>
      <c r="BX13">
        <v>96.9</v>
      </c>
      <c r="BY13">
        <v>2501</v>
      </c>
      <c r="BZ13">
        <v>6.8</v>
      </c>
      <c r="CA13">
        <v>813069</v>
      </c>
      <c r="CB13">
        <v>666163</v>
      </c>
      <c r="CC13">
        <v>666163</v>
      </c>
      <c r="CD13">
        <v>518692</v>
      </c>
      <c r="CE13">
        <v>669242</v>
      </c>
      <c r="CF13">
        <v>571970</v>
      </c>
      <c r="CG13">
        <v>605141</v>
      </c>
      <c r="CH13">
        <v>571771</v>
      </c>
      <c r="CI13">
        <v>681624</v>
      </c>
      <c r="CJ13">
        <v>606192</v>
      </c>
      <c r="CK13">
        <v>53.72</v>
      </c>
      <c r="CL13" t="s">
        <v>97</v>
      </c>
      <c r="CM13" t="s">
        <v>97</v>
      </c>
      <c r="CN13" t="s">
        <v>97</v>
      </c>
      <c r="CO13" t="s">
        <v>97</v>
      </c>
      <c r="CP13" t="s">
        <v>97</v>
      </c>
      <c r="CQ13" t="s">
        <v>97</v>
      </c>
      <c r="CR13" t="s">
        <v>97</v>
      </c>
      <c r="CS13">
        <v>1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0</v>
      </c>
      <c r="CZ13">
        <v>1</v>
      </c>
      <c r="DA13" t="s">
        <v>107</v>
      </c>
      <c r="DB13" t="s">
        <v>107</v>
      </c>
      <c r="DC13">
        <v>164</v>
      </c>
      <c r="DD13">
        <v>0</v>
      </c>
      <c r="DE13">
        <v>-4.2999999999999997E-2</v>
      </c>
      <c r="DF13">
        <v>63.2</v>
      </c>
      <c r="DG13">
        <v>5.0999999999999996</v>
      </c>
    </row>
    <row r="14" spans="1:111" x14ac:dyDescent="0.2">
      <c r="A14">
        <v>2025</v>
      </c>
      <c r="B14" s="1">
        <v>45930</v>
      </c>
      <c r="C14" t="s">
        <v>95</v>
      </c>
      <c r="D14">
        <v>605483</v>
      </c>
      <c r="E14">
        <v>682829</v>
      </c>
      <c r="F14">
        <v>0</v>
      </c>
      <c r="G14">
        <v>1</v>
      </c>
      <c r="H14">
        <v>2</v>
      </c>
      <c r="I14" t="s">
        <v>96</v>
      </c>
      <c r="J14">
        <v>12</v>
      </c>
      <c r="K14">
        <v>2</v>
      </c>
      <c r="L14" t="s">
        <v>97</v>
      </c>
      <c r="M14" t="s">
        <v>98</v>
      </c>
      <c r="N14" t="s">
        <v>99</v>
      </c>
      <c r="O14">
        <f t="shared" si="0"/>
        <v>0</v>
      </c>
      <c r="P14">
        <f t="shared" si="1"/>
        <v>1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  <c r="U14">
        <f t="shared" si="6"/>
        <v>0</v>
      </c>
      <c r="V14">
        <f t="shared" si="7"/>
        <v>0</v>
      </c>
      <c r="W14">
        <f t="shared" si="8"/>
        <v>0</v>
      </c>
      <c r="X14">
        <f t="shared" si="9"/>
        <v>0</v>
      </c>
      <c r="Y14">
        <f t="shared" si="10"/>
        <v>0</v>
      </c>
      <c r="Z14">
        <f t="shared" si="11"/>
        <v>0</v>
      </c>
      <c r="AA14">
        <f t="shared" si="12"/>
        <v>0</v>
      </c>
      <c r="AB14">
        <f t="shared" si="13"/>
        <v>0</v>
      </c>
      <c r="AC14">
        <f t="shared" si="14"/>
        <v>0</v>
      </c>
      <c r="AD14">
        <f t="shared" si="15"/>
        <v>0</v>
      </c>
      <c r="AE14">
        <v>95.6</v>
      </c>
      <c r="AF14">
        <v>1.96</v>
      </c>
      <c r="AG14">
        <v>6.6</v>
      </c>
      <c r="AH14" t="s">
        <v>108</v>
      </c>
      <c r="AI14" t="s">
        <v>97</v>
      </c>
      <c r="AJ14" t="s">
        <v>97</v>
      </c>
      <c r="AK14" t="s">
        <v>97</v>
      </c>
      <c r="AL14" t="s">
        <v>97</v>
      </c>
      <c r="AM14">
        <v>4</v>
      </c>
      <c r="AN14" t="s">
        <v>109</v>
      </c>
      <c r="AO14" t="s">
        <v>102</v>
      </c>
      <c r="AP14" t="s">
        <v>122</v>
      </c>
      <c r="AQ14" t="s">
        <v>103</v>
      </c>
      <c r="AR14" t="s">
        <v>104</v>
      </c>
      <c r="AS14" t="s">
        <v>105</v>
      </c>
      <c r="AT14" t="s">
        <v>110</v>
      </c>
      <c r="AU14" t="s">
        <v>97</v>
      </c>
      <c r="AV14" t="s">
        <v>97</v>
      </c>
      <c r="AW14">
        <v>0.44</v>
      </c>
      <c r="AX14">
        <v>1.31</v>
      </c>
      <c r="AY14">
        <v>-0.69</v>
      </c>
      <c r="AZ14">
        <v>3.12</v>
      </c>
      <c r="BA14" t="s">
        <v>97</v>
      </c>
      <c r="BB14" t="s">
        <v>97</v>
      </c>
      <c r="BC14" t="s">
        <v>97</v>
      </c>
      <c r="BD14">
        <v>2</v>
      </c>
      <c r="BE14" t="s">
        <v>97</v>
      </c>
      <c r="BF14" t="s">
        <v>97</v>
      </c>
      <c r="BG14" t="s">
        <v>97</v>
      </c>
      <c r="BH14" t="s">
        <v>97</v>
      </c>
      <c r="BI14">
        <v>666163</v>
      </c>
      <c r="BJ14">
        <v>666163</v>
      </c>
      <c r="BK14" t="s">
        <v>97</v>
      </c>
      <c r="BL14" t="s">
        <v>97</v>
      </c>
      <c r="BM14">
        <v>-8.0554018509999992</v>
      </c>
      <c r="BN14">
        <v>-138.8948044</v>
      </c>
      <c r="BO14">
        <v>-6.5314624720000003</v>
      </c>
      <c r="BP14">
        <v>7.497003232</v>
      </c>
      <c r="BQ14">
        <v>30.786359489999999</v>
      </c>
      <c r="BR14">
        <v>-13.95005999</v>
      </c>
      <c r="BS14">
        <v>3.78</v>
      </c>
      <c r="BT14">
        <v>1.84</v>
      </c>
      <c r="BU14" t="s">
        <v>97</v>
      </c>
      <c r="BV14" t="s">
        <v>97</v>
      </c>
      <c r="BW14" t="s">
        <v>97</v>
      </c>
      <c r="BX14">
        <v>96.3</v>
      </c>
      <c r="BY14">
        <v>2413</v>
      </c>
      <c r="BZ14">
        <v>6.7</v>
      </c>
      <c r="CA14">
        <v>813069</v>
      </c>
      <c r="CB14">
        <v>666163</v>
      </c>
      <c r="CC14">
        <v>666163</v>
      </c>
      <c r="CD14">
        <v>518692</v>
      </c>
      <c r="CE14">
        <v>669242</v>
      </c>
      <c r="CF14">
        <v>571970</v>
      </c>
      <c r="CG14">
        <v>605141</v>
      </c>
      <c r="CH14">
        <v>571771</v>
      </c>
      <c r="CI14">
        <v>681624</v>
      </c>
      <c r="CJ14">
        <v>606192</v>
      </c>
      <c r="CK14">
        <v>53.75</v>
      </c>
      <c r="CL14" t="s">
        <v>97</v>
      </c>
      <c r="CM14" t="s">
        <v>97</v>
      </c>
      <c r="CN14" t="s">
        <v>97</v>
      </c>
      <c r="CO14" t="s">
        <v>97</v>
      </c>
      <c r="CP14" t="s">
        <v>97</v>
      </c>
      <c r="CQ14" t="s">
        <v>97</v>
      </c>
      <c r="CR14" t="s">
        <v>97</v>
      </c>
      <c r="CS14">
        <v>1</v>
      </c>
      <c r="CT14">
        <v>0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 t="s">
        <v>107</v>
      </c>
      <c r="DB14" t="s">
        <v>107</v>
      </c>
      <c r="DC14">
        <v>164</v>
      </c>
      <c r="DD14">
        <v>0</v>
      </c>
      <c r="DE14">
        <v>-5.7000000000000002E-2</v>
      </c>
      <c r="DF14" t="s">
        <v>97</v>
      </c>
      <c r="DG14" t="s">
        <v>97</v>
      </c>
    </row>
    <row r="15" spans="1:111" x14ac:dyDescent="0.2">
      <c r="A15">
        <v>2025</v>
      </c>
      <c r="B15" s="1">
        <v>45930</v>
      </c>
      <c r="C15" t="s">
        <v>95</v>
      </c>
      <c r="D15">
        <v>605483</v>
      </c>
      <c r="E15">
        <v>682829</v>
      </c>
      <c r="F15">
        <v>0</v>
      </c>
      <c r="G15">
        <v>2</v>
      </c>
      <c r="H15">
        <v>2</v>
      </c>
      <c r="I15" t="s">
        <v>96</v>
      </c>
      <c r="J15">
        <v>12</v>
      </c>
      <c r="K15">
        <v>3</v>
      </c>
      <c r="L15" t="s">
        <v>97</v>
      </c>
      <c r="M15" t="s">
        <v>111</v>
      </c>
      <c r="N15" t="s">
        <v>112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1</v>
      </c>
      <c r="T15">
        <f t="shared" si="5"/>
        <v>0</v>
      </c>
      <c r="U15">
        <f t="shared" si="6"/>
        <v>0</v>
      </c>
      <c r="V15">
        <f t="shared" si="7"/>
        <v>0</v>
      </c>
      <c r="W15">
        <f t="shared" si="8"/>
        <v>0</v>
      </c>
      <c r="X15">
        <f t="shared" si="9"/>
        <v>0</v>
      </c>
      <c r="Y15">
        <f t="shared" si="10"/>
        <v>0</v>
      </c>
      <c r="Z15">
        <f t="shared" si="11"/>
        <v>0</v>
      </c>
      <c r="AA15">
        <f t="shared" si="12"/>
        <v>0</v>
      </c>
      <c r="AB15">
        <f t="shared" si="13"/>
        <v>0</v>
      </c>
      <c r="AC15">
        <f t="shared" si="14"/>
        <v>0</v>
      </c>
      <c r="AD15">
        <f t="shared" si="15"/>
        <v>0</v>
      </c>
      <c r="AE15">
        <v>83</v>
      </c>
      <c r="AF15">
        <v>1.9</v>
      </c>
      <c r="AG15">
        <v>6.48</v>
      </c>
      <c r="AH15" t="s">
        <v>100</v>
      </c>
      <c r="AI15" t="s">
        <v>97</v>
      </c>
      <c r="AJ15" t="s">
        <v>97</v>
      </c>
      <c r="AK15" t="s">
        <v>97</v>
      </c>
      <c r="AL15" t="s">
        <v>97</v>
      </c>
      <c r="AM15">
        <v>13</v>
      </c>
      <c r="AN15" t="s">
        <v>101</v>
      </c>
      <c r="AO15" t="s">
        <v>102</v>
      </c>
      <c r="AP15" t="s">
        <v>122</v>
      </c>
      <c r="AQ15" t="s">
        <v>103</v>
      </c>
      <c r="AR15" t="s">
        <v>104</v>
      </c>
      <c r="AS15" t="s">
        <v>105</v>
      </c>
      <c r="AT15" t="s">
        <v>106</v>
      </c>
      <c r="AU15" t="s">
        <v>97</v>
      </c>
      <c r="AV15" t="s">
        <v>97</v>
      </c>
      <c r="AW15">
        <v>-1.21</v>
      </c>
      <c r="AX15">
        <v>-0.79</v>
      </c>
      <c r="AY15">
        <v>-0.87</v>
      </c>
      <c r="AZ15">
        <v>-1.7</v>
      </c>
      <c r="BA15" t="s">
        <v>97</v>
      </c>
      <c r="BB15" t="s">
        <v>97</v>
      </c>
      <c r="BC15" t="s">
        <v>97</v>
      </c>
      <c r="BD15">
        <v>2</v>
      </c>
      <c r="BE15" t="s">
        <v>97</v>
      </c>
      <c r="BF15" t="s">
        <v>97</v>
      </c>
      <c r="BG15" t="s">
        <v>97</v>
      </c>
      <c r="BH15" t="s">
        <v>97</v>
      </c>
      <c r="BI15">
        <v>666163</v>
      </c>
      <c r="BJ15">
        <v>666163</v>
      </c>
      <c r="BK15" t="s">
        <v>97</v>
      </c>
      <c r="BL15" t="s">
        <v>97</v>
      </c>
      <c r="BM15">
        <v>-3.98929548</v>
      </c>
      <c r="BN15">
        <v>-120.4214317</v>
      </c>
      <c r="BO15">
        <v>-10.633266860000001</v>
      </c>
      <c r="BP15">
        <v>-10.838518049999999</v>
      </c>
      <c r="BQ15">
        <v>26.12529344</v>
      </c>
      <c r="BR15">
        <v>-37.747355939999998</v>
      </c>
      <c r="BS15">
        <v>3.72</v>
      </c>
      <c r="BT15">
        <v>1.84</v>
      </c>
      <c r="BU15" t="s">
        <v>97</v>
      </c>
      <c r="BV15" t="s">
        <v>97</v>
      </c>
      <c r="BW15" t="s">
        <v>97</v>
      </c>
      <c r="BX15">
        <v>83.1</v>
      </c>
      <c r="BY15">
        <v>2651</v>
      </c>
      <c r="BZ15">
        <v>6.8</v>
      </c>
      <c r="CA15">
        <v>813069</v>
      </c>
      <c r="CB15">
        <v>666163</v>
      </c>
      <c r="CC15">
        <v>666163</v>
      </c>
      <c r="CD15">
        <v>518692</v>
      </c>
      <c r="CE15">
        <v>669242</v>
      </c>
      <c r="CF15">
        <v>571970</v>
      </c>
      <c r="CG15">
        <v>605141</v>
      </c>
      <c r="CH15">
        <v>571771</v>
      </c>
      <c r="CI15">
        <v>681624</v>
      </c>
      <c r="CJ15">
        <v>606192</v>
      </c>
      <c r="CK15">
        <v>53.69</v>
      </c>
      <c r="CL15" t="s">
        <v>97</v>
      </c>
      <c r="CM15" t="s">
        <v>97</v>
      </c>
      <c r="CN15" t="s">
        <v>97</v>
      </c>
      <c r="CO15" t="s">
        <v>97</v>
      </c>
      <c r="CP15" t="s">
        <v>97</v>
      </c>
      <c r="CQ15" t="s">
        <v>97</v>
      </c>
      <c r="CR15" t="s">
        <v>97</v>
      </c>
      <c r="CS15">
        <v>1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1</v>
      </c>
      <c r="DA15" t="s">
        <v>107</v>
      </c>
      <c r="DB15" t="s">
        <v>107</v>
      </c>
      <c r="DC15">
        <v>332</v>
      </c>
      <c r="DD15">
        <v>0</v>
      </c>
      <c r="DE15">
        <v>2.1999999999999999E-2</v>
      </c>
      <c r="DF15" t="s">
        <v>97</v>
      </c>
      <c r="DG15" t="s">
        <v>97</v>
      </c>
    </row>
    <row r="16" spans="1:111" x14ac:dyDescent="0.2">
      <c r="A16">
        <v>2025</v>
      </c>
      <c r="B16" s="1">
        <v>45930</v>
      </c>
      <c r="C16" t="s">
        <v>95</v>
      </c>
      <c r="D16">
        <v>605483</v>
      </c>
      <c r="E16">
        <v>682829</v>
      </c>
      <c r="F16">
        <v>1</v>
      </c>
      <c r="G16">
        <v>2</v>
      </c>
      <c r="H16">
        <v>2</v>
      </c>
      <c r="I16" t="s">
        <v>96</v>
      </c>
      <c r="J16">
        <v>12</v>
      </c>
      <c r="K16">
        <v>4</v>
      </c>
      <c r="L16" t="s">
        <v>97</v>
      </c>
      <c r="M16" t="s">
        <v>111</v>
      </c>
      <c r="N16" t="s">
        <v>112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1</v>
      </c>
      <c r="T16">
        <f t="shared" si="5"/>
        <v>0</v>
      </c>
      <c r="U16">
        <f t="shared" si="6"/>
        <v>0</v>
      </c>
      <c r="V16">
        <f t="shared" si="7"/>
        <v>0</v>
      </c>
      <c r="W16">
        <f t="shared" si="8"/>
        <v>0</v>
      </c>
      <c r="X16">
        <f t="shared" si="9"/>
        <v>0</v>
      </c>
      <c r="Y16">
        <f t="shared" si="10"/>
        <v>0</v>
      </c>
      <c r="Z16">
        <f t="shared" si="11"/>
        <v>0</v>
      </c>
      <c r="AA16">
        <f t="shared" si="12"/>
        <v>0</v>
      </c>
      <c r="AB16">
        <f t="shared" si="13"/>
        <v>0</v>
      </c>
      <c r="AC16">
        <f t="shared" si="14"/>
        <v>0</v>
      </c>
      <c r="AD16">
        <f t="shared" si="15"/>
        <v>0</v>
      </c>
      <c r="AE16">
        <v>83.9</v>
      </c>
      <c r="AF16">
        <v>1.79</v>
      </c>
      <c r="AG16">
        <v>6.53</v>
      </c>
      <c r="AH16" t="s">
        <v>100</v>
      </c>
      <c r="AI16" t="s">
        <v>97</v>
      </c>
      <c r="AJ16" t="s">
        <v>97</v>
      </c>
      <c r="AK16" t="s">
        <v>97</v>
      </c>
      <c r="AL16" t="s">
        <v>97</v>
      </c>
      <c r="AM16">
        <v>13</v>
      </c>
      <c r="AN16" t="s">
        <v>101</v>
      </c>
      <c r="AO16" t="s">
        <v>102</v>
      </c>
      <c r="AP16" t="s">
        <v>122</v>
      </c>
      <c r="AQ16" t="s">
        <v>103</v>
      </c>
      <c r="AR16" t="s">
        <v>104</v>
      </c>
      <c r="AS16" t="s">
        <v>105</v>
      </c>
      <c r="AT16" t="s">
        <v>106</v>
      </c>
      <c r="AU16" t="s">
        <v>97</v>
      </c>
      <c r="AV16" t="s">
        <v>97</v>
      </c>
      <c r="AW16">
        <v>-1.44</v>
      </c>
      <c r="AX16">
        <v>-0.5</v>
      </c>
      <c r="AY16">
        <v>-1.21</v>
      </c>
      <c r="AZ16">
        <v>0.1</v>
      </c>
      <c r="BA16" t="s">
        <v>97</v>
      </c>
      <c r="BB16" t="s">
        <v>97</v>
      </c>
      <c r="BC16" t="s">
        <v>97</v>
      </c>
      <c r="BD16">
        <v>2</v>
      </c>
      <c r="BE16" t="s">
        <v>97</v>
      </c>
      <c r="BF16" t="s">
        <v>97</v>
      </c>
      <c r="BG16" t="s">
        <v>97</v>
      </c>
      <c r="BH16" t="s">
        <v>97</v>
      </c>
      <c r="BI16">
        <v>666163</v>
      </c>
      <c r="BJ16">
        <v>666163</v>
      </c>
      <c r="BK16" t="s">
        <v>97</v>
      </c>
      <c r="BL16" t="s">
        <v>97</v>
      </c>
      <c r="BM16">
        <v>-4.1046517570000001</v>
      </c>
      <c r="BN16">
        <v>-121.95965750000001</v>
      </c>
      <c r="BO16">
        <v>-7.4500822720000004</v>
      </c>
      <c r="BP16">
        <v>-13.438181569999999</v>
      </c>
      <c r="BQ16">
        <v>26.160827130000001</v>
      </c>
      <c r="BR16">
        <v>-35.79074275</v>
      </c>
      <c r="BS16">
        <v>3.72</v>
      </c>
      <c r="BT16">
        <v>1.81</v>
      </c>
      <c r="BU16" t="s">
        <v>97</v>
      </c>
      <c r="BV16" t="s">
        <v>97</v>
      </c>
      <c r="BW16" t="s">
        <v>97</v>
      </c>
      <c r="BX16">
        <v>84.1</v>
      </c>
      <c r="BY16">
        <v>2701</v>
      </c>
      <c r="BZ16">
        <v>6.7</v>
      </c>
      <c r="CA16">
        <v>813069</v>
      </c>
      <c r="CB16">
        <v>666163</v>
      </c>
      <c r="CC16">
        <v>666163</v>
      </c>
      <c r="CD16">
        <v>518692</v>
      </c>
      <c r="CE16">
        <v>669242</v>
      </c>
      <c r="CF16">
        <v>571970</v>
      </c>
      <c r="CG16">
        <v>605141</v>
      </c>
      <c r="CH16">
        <v>571771</v>
      </c>
      <c r="CI16">
        <v>681624</v>
      </c>
      <c r="CJ16">
        <v>606192</v>
      </c>
      <c r="CK16">
        <v>53.81</v>
      </c>
      <c r="CL16" t="s">
        <v>97</v>
      </c>
      <c r="CM16" t="s">
        <v>97</v>
      </c>
      <c r="CN16" t="s">
        <v>97</v>
      </c>
      <c r="CO16" t="s">
        <v>97</v>
      </c>
      <c r="CP16" t="s">
        <v>97</v>
      </c>
      <c r="CQ16" t="s">
        <v>97</v>
      </c>
      <c r="CR16" t="s">
        <v>97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 t="s">
        <v>107</v>
      </c>
      <c r="DB16" t="s">
        <v>107</v>
      </c>
      <c r="DC16">
        <v>331</v>
      </c>
      <c r="DD16">
        <v>0</v>
      </c>
      <c r="DE16">
        <v>4.2000000000000003E-2</v>
      </c>
      <c r="DF16" t="s">
        <v>97</v>
      </c>
      <c r="DG16" t="s">
        <v>97</v>
      </c>
    </row>
    <row r="17" spans="1:111" x14ac:dyDescent="0.2">
      <c r="A17">
        <v>2025</v>
      </c>
      <c r="B17" s="1">
        <v>45930</v>
      </c>
      <c r="C17" t="s">
        <v>95</v>
      </c>
      <c r="D17">
        <v>605483</v>
      </c>
      <c r="E17">
        <v>682829</v>
      </c>
      <c r="F17">
        <v>2</v>
      </c>
      <c r="G17">
        <v>2</v>
      </c>
      <c r="H17">
        <v>2</v>
      </c>
      <c r="I17" t="s">
        <v>96</v>
      </c>
      <c r="J17">
        <v>12</v>
      </c>
      <c r="K17">
        <v>5</v>
      </c>
      <c r="L17" t="s">
        <v>116</v>
      </c>
      <c r="M17" t="s">
        <v>111</v>
      </c>
      <c r="N17" t="s">
        <v>112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1</v>
      </c>
      <c r="U17">
        <f t="shared" si="6"/>
        <v>0</v>
      </c>
      <c r="V17">
        <f t="shared" si="7"/>
        <v>0</v>
      </c>
      <c r="W17">
        <f t="shared" si="8"/>
        <v>0</v>
      </c>
      <c r="X17">
        <f t="shared" si="9"/>
        <v>0</v>
      </c>
      <c r="Y17">
        <f t="shared" si="10"/>
        <v>0</v>
      </c>
      <c r="Z17">
        <f t="shared" si="11"/>
        <v>0</v>
      </c>
      <c r="AA17">
        <f t="shared" si="12"/>
        <v>0</v>
      </c>
      <c r="AB17">
        <f t="shared" si="13"/>
        <v>0</v>
      </c>
      <c r="AC17">
        <f t="shared" si="14"/>
        <v>0</v>
      </c>
      <c r="AD17">
        <f t="shared" si="15"/>
        <v>0</v>
      </c>
      <c r="AE17">
        <v>81.400000000000006</v>
      </c>
      <c r="AF17">
        <v>1.87</v>
      </c>
      <c r="AG17">
        <v>6.6</v>
      </c>
      <c r="AH17" t="s">
        <v>108</v>
      </c>
      <c r="AI17" t="s">
        <v>97</v>
      </c>
      <c r="AJ17" t="s">
        <v>97</v>
      </c>
      <c r="AK17" t="s">
        <v>97</v>
      </c>
      <c r="AL17" t="s">
        <v>97</v>
      </c>
      <c r="AM17">
        <v>8</v>
      </c>
      <c r="AN17" t="s">
        <v>131</v>
      </c>
      <c r="AO17" t="s">
        <v>102</v>
      </c>
      <c r="AP17" t="s">
        <v>122</v>
      </c>
      <c r="AQ17" t="s">
        <v>103</v>
      </c>
      <c r="AR17" t="s">
        <v>104</v>
      </c>
      <c r="AS17" t="s">
        <v>105</v>
      </c>
      <c r="AT17" t="s">
        <v>110</v>
      </c>
      <c r="AU17">
        <v>2</v>
      </c>
      <c r="AV17" t="s">
        <v>97</v>
      </c>
      <c r="AW17">
        <v>-1.04</v>
      </c>
      <c r="AX17">
        <v>-0.79</v>
      </c>
      <c r="AY17">
        <v>-0.08</v>
      </c>
      <c r="AZ17">
        <v>2.17</v>
      </c>
      <c r="BA17" t="s">
        <v>97</v>
      </c>
      <c r="BB17" t="s">
        <v>97</v>
      </c>
      <c r="BC17" t="s">
        <v>97</v>
      </c>
      <c r="BD17">
        <v>2</v>
      </c>
      <c r="BE17" t="s">
        <v>97</v>
      </c>
      <c r="BF17" t="s">
        <v>97</v>
      </c>
      <c r="BG17" t="s">
        <v>97</v>
      </c>
      <c r="BH17" t="s">
        <v>97</v>
      </c>
      <c r="BI17">
        <v>666163</v>
      </c>
      <c r="BJ17">
        <v>666163</v>
      </c>
      <c r="BK17" t="s">
        <v>97</v>
      </c>
      <c r="BL17" t="s">
        <v>97</v>
      </c>
      <c r="BM17">
        <v>-2.4086501459999998</v>
      </c>
      <c r="BN17">
        <v>-118.5594066</v>
      </c>
      <c r="BO17">
        <v>-1.836530977</v>
      </c>
      <c r="BP17">
        <v>-9.3097321159999993</v>
      </c>
      <c r="BQ17">
        <v>22.96508957</v>
      </c>
      <c r="BR17">
        <v>-39.492437359999997</v>
      </c>
      <c r="BS17">
        <v>3.69</v>
      </c>
      <c r="BT17">
        <v>1.74</v>
      </c>
      <c r="BU17" t="s">
        <v>97</v>
      </c>
      <c r="BV17" t="s">
        <v>97</v>
      </c>
      <c r="BW17" t="s">
        <v>97</v>
      </c>
      <c r="BX17">
        <v>82</v>
      </c>
      <c r="BY17">
        <v>2604</v>
      </c>
      <c r="BZ17">
        <v>6.7</v>
      </c>
      <c r="CA17">
        <v>813069</v>
      </c>
      <c r="CB17">
        <v>666163</v>
      </c>
      <c r="CC17">
        <v>666163</v>
      </c>
      <c r="CD17">
        <v>518692</v>
      </c>
      <c r="CE17">
        <v>669242</v>
      </c>
      <c r="CF17">
        <v>571970</v>
      </c>
      <c r="CG17">
        <v>605141</v>
      </c>
      <c r="CH17">
        <v>571771</v>
      </c>
      <c r="CI17">
        <v>681624</v>
      </c>
      <c r="CJ17">
        <v>606192</v>
      </c>
      <c r="CK17">
        <v>53.81</v>
      </c>
      <c r="CL17" t="s">
        <v>97</v>
      </c>
      <c r="CM17">
        <v>0</v>
      </c>
      <c r="CN17">
        <v>0</v>
      </c>
      <c r="CO17">
        <v>1</v>
      </c>
      <c r="CP17">
        <v>0</v>
      </c>
      <c r="CQ17">
        <v>0</v>
      </c>
      <c r="CR17" t="s">
        <v>97</v>
      </c>
      <c r="CS17">
        <v>1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1</v>
      </c>
      <c r="DA17" t="s">
        <v>107</v>
      </c>
      <c r="DB17" t="s">
        <v>107</v>
      </c>
      <c r="DC17">
        <v>322</v>
      </c>
      <c r="DD17">
        <v>1.0999999999999999E-2</v>
      </c>
      <c r="DE17">
        <v>-0.224</v>
      </c>
      <c r="DF17" t="s">
        <v>97</v>
      </c>
      <c r="DG17" t="s">
        <v>97</v>
      </c>
    </row>
    <row r="18" spans="1:111" x14ac:dyDescent="0.2">
      <c r="A18">
        <v>2025</v>
      </c>
      <c r="B18" s="1">
        <v>45930</v>
      </c>
      <c r="C18" t="s">
        <v>95</v>
      </c>
      <c r="D18">
        <v>605483</v>
      </c>
      <c r="E18">
        <v>663886</v>
      </c>
      <c r="F18">
        <v>0</v>
      </c>
      <c r="G18">
        <v>0</v>
      </c>
      <c r="H18">
        <v>3</v>
      </c>
      <c r="I18" t="s">
        <v>96</v>
      </c>
      <c r="J18">
        <v>17</v>
      </c>
      <c r="K18">
        <v>1</v>
      </c>
      <c r="L18" t="s">
        <v>97</v>
      </c>
      <c r="M18" t="s">
        <v>98</v>
      </c>
      <c r="N18" t="s">
        <v>99</v>
      </c>
      <c r="O18">
        <f t="shared" si="0"/>
        <v>0</v>
      </c>
      <c r="P18">
        <f t="shared" si="1"/>
        <v>0</v>
      </c>
      <c r="Q18">
        <f t="shared" si="2"/>
        <v>1</v>
      </c>
      <c r="R18">
        <f t="shared" si="3"/>
        <v>0</v>
      </c>
      <c r="S18">
        <f t="shared" si="4"/>
        <v>0</v>
      </c>
      <c r="T18">
        <f t="shared" si="5"/>
        <v>0</v>
      </c>
      <c r="U18">
        <f t="shared" si="6"/>
        <v>0</v>
      </c>
      <c r="V18">
        <f t="shared" si="7"/>
        <v>0</v>
      </c>
      <c r="W18">
        <f t="shared" si="8"/>
        <v>0</v>
      </c>
      <c r="X18">
        <f t="shared" si="9"/>
        <v>0</v>
      </c>
      <c r="Y18">
        <f t="shared" si="10"/>
        <v>0</v>
      </c>
      <c r="Z18">
        <f t="shared" si="11"/>
        <v>0</v>
      </c>
      <c r="AA18">
        <f t="shared" si="12"/>
        <v>0</v>
      </c>
      <c r="AB18">
        <f t="shared" si="13"/>
        <v>0</v>
      </c>
      <c r="AC18">
        <f t="shared" si="14"/>
        <v>0</v>
      </c>
      <c r="AD18">
        <f t="shared" si="15"/>
        <v>0</v>
      </c>
      <c r="AE18">
        <v>94.9</v>
      </c>
      <c r="AF18">
        <v>2.12</v>
      </c>
      <c r="AG18">
        <v>6.53</v>
      </c>
      <c r="AH18" t="s">
        <v>100</v>
      </c>
      <c r="AI18" t="s">
        <v>97</v>
      </c>
      <c r="AJ18" t="s">
        <v>97</v>
      </c>
      <c r="AK18" t="s">
        <v>97</v>
      </c>
      <c r="AL18" t="s">
        <v>97</v>
      </c>
      <c r="AM18">
        <v>12</v>
      </c>
      <c r="AN18" t="s">
        <v>101</v>
      </c>
      <c r="AO18" t="s">
        <v>102</v>
      </c>
      <c r="AP18" t="s">
        <v>122</v>
      </c>
      <c r="AQ18" t="s">
        <v>103</v>
      </c>
      <c r="AR18" t="s">
        <v>104</v>
      </c>
      <c r="AS18" t="s">
        <v>105</v>
      </c>
      <c r="AT18" t="s">
        <v>106</v>
      </c>
      <c r="AU18" t="s">
        <v>97</v>
      </c>
      <c r="AV18" t="s">
        <v>97</v>
      </c>
      <c r="AW18">
        <v>0.28000000000000003</v>
      </c>
      <c r="AX18">
        <v>1.29</v>
      </c>
      <c r="AY18">
        <v>1.06</v>
      </c>
      <c r="AZ18">
        <v>3.2</v>
      </c>
      <c r="BA18" t="s">
        <v>97</v>
      </c>
      <c r="BB18" t="s">
        <v>97</v>
      </c>
      <c r="BC18" t="s">
        <v>97</v>
      </c>
      <c r="BD18">
        <v>0</v>
      </c>
      <c r="BE18" t="s">
        <v>97</v>
      </c>
      <c r="BF18" t="s">
        <v>97</v>
      </c>
      <c r="BG18" t="s">
        <v>97</v>
      </c>
      <c r="BH18" t="s">
        <v>97</v>
      </c>
      <c r="BI18">
        <v>666163</v>
      </c>
      <c r="BJ18">
        <v>666163</v>
      </c>
      <c r="BK18" t="s">
        <v>97</v>
      </c>
      <c r="BL18" t="s">
        <v>97</v>
      </c>
      <c r="BM18">
        <v>-3.4306276480000002</v>
      </c>
      <c r="BN18">
        <v>-138.2715738</v>
      </c>
      <c r="BO18">
        <v>-6.022342568</v>
      </c>
      <c r="BP18">
        <v>4.3515324450000001</v>
      </c>
      <c r="BQ18">
        <v>27.066723169999999</v>
      </c>
      <c r="BR18">
        <v>-14.516934900000001</v>
      </c>
      <c r="BS18">
        <v>3.37</v>
      </c>
      <c r="BT18">
        <v>1.53</v>
      </c>
      <c r="BU18" t="s">
        <v>97</v>
      </c>
      <c r="BV18" t="s">
        <v>97</v>
      </c>
      <c r="BW18" t="s">
        <v>97</v>
      </c>
      <c r="BX18">
        <v>95.9</v>
      </c>
      <c r="BY18">
        <v>2523</v>
      </c>
      <c r="BZ18">
        <v>6.5</v>
      </c>
      <c r="CA18">
        <v>813069</v>
      </c>
      <c r="CB18">
        <v>666163</v>
      </c>
      <c r="CC18">
        <v>666163</v>
      </c>
      <c r="CD18">
        <v>518692</v>
      </c>
      <c r="CE18">
        <v>669242</v>
      </c>
      <c r="CF18">
        <v>571970</v>
      </c>
      <c r="CG18">
        <v>605141</v>
      </c>
      <c r="CH18">
        <v>571771</v>
      </c>
      <c r="CI18">
        <v>681624</v>
      </c>
      <c r="CJ18">
        <v>606192</v>
      </c>
      <c r="CK18">
        <v>53.98</v>
      </c>
      <c r="CL18" t="s">
        <v>97</v>
      </c>
      <c r="CM18" t="s">
        <v>97</v>
      </c>
      <c r="CN18" t="s">
        <v>97</v>
      </c>
      <c r="CO18" t="s">
        <v>97</v>
      </c>
      <c r="CP18" t="s">
        <v>97</v>
      </c>
      <c r="CQ18" t="s">
        <v>97</v>
      </c>
      <c r="CR18" t="s">
        <v>97</v>
      </c>
      <c r="CS18">
        <v>1</v>
      </c>
      <c r="CT18">
        <v>0</v>
      </c>
      <c r="CU18">
        <v>0</v>
      </c>
      <c r="CV18">
        <v>1</v>
      </c>
      <c r="CW18">
        <v>0</v>
      </c>
      <c r="CX18">
        <v>1</v>
      </c>
      <c r="CY18">
        <v>0</v>
      </c>
      <c r="CZ18">
        <v>1</v>
      </c>
      <c r="DA18" t="s">
        <v>107</v>
      </c>
      <c r="DB18" t="s">
        <v>107</v>
      </c>
      <c r="DC18">
        <v>160</v>
      </c>
      <c r="DD18">
        <v>0</v>
      </c>
      <c r="DE18">
        <v>4.1000000000000002E-2</v>
      </c>
      <c r="DF18" t="s">
        <v>97</v>
      </c>
      <c r="DG18" t="s">
        <v>97</v>
      </c>
    </row>
    <row r="19" spans="1:111" x14ac:dyDescent="0.2">
      <c r="A19">
        <v>2025</v>
      </c>
      <c r="B19" s="1">
        <v>45930</v>
      </c>
      <c r="C19" t="s">
        <v>95</v>
      </c>
      <c r="D19">
        <v>605483</v>
      </c>
      <c r="E19">
        <v>663886</v>
      </c>
      <c r="F19">
        <v>1</v>
      </c>
      <c r="G19">
        <v>0</v>
      </c>
      <c r="H19">
        <v>3</v>
      </c>
      <c r="I19" t="s">
        <v>96</v>
      </c>
      <c r="J19">
        <v>17</v>
      </c>
      <c r="K19">
        <v>2</v>
      </c>
      <c r="L19" t="s">
        <v>97</v>
      </c>
      <c r="M19" t="s">
        <v>132</v>
      </c>
      <c r="N19" t="s">
        <v>133</v>
      </c>
      <c r="O19">
        <f t="shared" si="0"/>
        <v>0</v>
      </c>
      <c r="P19">
        <f t="shared" si="1"/>
        <v>0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  <c r="U19">
        <f t="shared" si="6"/>
        <v>0</v>
      </c>
      <c r="V19">
        <f t="shared" si="7"/>
        <v>0</v>
      </c>
      <c r="W19">
        <f t="shared" si="8"/>
        <v>0</v>
      </c>
      <c r="X19">
        <f t="shared" si="9"/>
        <v>1</v>
      </c>
      <c r="Y19">
        <f t="shared" si="10"/>
        <v>0</v>
      </c>
      <c r="Z19">
        <f t="shared" si="11"/>
        <v>0</v>
      </c>
      <c r="AA19">
        <f t="shared" si="12"/>
        <v>0</v>
      </c>
      <c r="AB19">
        <f t="shared" si="13"/>
        <v>0</v>
      </c>
      <c r="AC19">
        <f t="shared" si="14"/>
        <v>0</v>
      </c>
      <c r="AD19">
        <f t="shared" si="15"/>
        <v>0</v>
      </c>
      <c r="AE19">
        <v>87.2</v>
      </c>
      <c r="AF19">
        <v>2.29</v>
      </c>
      <c r="AG19">
        <v>6.41</v>
      </c>
      <c r="AH19" t="s">
        <v>108</v>
      </c>
      <c r="AI19" t="s">
        <v>97</v>
      </c>
      <c r="AJ19" t="s">
        <v>97</v>
      </c>
      <c r="AK19" t="s">
        <v>97</v>
      </c>
      <c r="AL19" t="s">
        <v>97</v>
      </c>
      <c r="AM19">
        <v>9</v>
      </c>
      <c r="AN19" t="s">
        <v>109</v>
      </c>
      <c r="AO19" t="s">
        <v>102</v>
      </c>
      <c r="AP19" t="s">
        <v>122</v>
      </c>
      <c r="AQ19" t="s">
        <v>103</v>
      </c>
      <c r="AR19" t="s">
        <v>104</v>
      </c>
      <c r="AS19" t="s">
        <v>105</v>
      </c>
      <c r="AT19" t="s">
        <v>110</v>
      </c>
      <c r="AU19" t="s">
        <v>97</v>
      </c>
      <c r="AV19" t="s">
        <v>97</v>
      </c>
      <c r="AW19">
        <v>1.17</v>
      </c>
      <c r="AX19">
        <v>0.9</v>
      </c>
      <c r="AY19">
        <v>0.45</v>
      </c>
      <c r="AZ19">
        <v>1.5</v>
      </c>
      <c r="BA19" t="s">
        <v>97</v>
      </c>
      <c r="BB19" t="s">
        <v>97</v>
      </c>
      <c r="BC19" t="s">
        <v>97</v>
      </c>
      <c r="BD19">
        <v>0</v>
      </c>
      <c r="BE19" t="s">
        <v>97</v>
      </c>
      <c r="BF19" t="s">
        <v>97</v>
      </c>
      <c r="BG19" t="s">
        <v>97</v>
      </c>
      <c r="BH19" t="s">
        <v>97</v>
      </c>
      <c r="BI19">
        <v>666163</v>
      </c>
      <c r="BJ19">
        <v>666163</v>
      </c>
      <c r="BK19" t="s">
        <v>97</v>
      </c>
      <c r="BL19" t="s">
        <v>97</v>
      </c>
      <c r="BM19">
        <v>-6.8729917440000001</v>
      </c>
      <c r="BN19">
        <v>-126.6880548</v>
      </c>
      <c r="BO19">
        <v>-7.5947408210000003</v>
      </c>
      <c r="BP19">
        <v>13.984253430000001</v>
      </c>
      <c r="BQ19">
        <v>23.520547199999999</v>
      </c>
      <c r="BR19">
        <v>-21.103285060000001</v>
      </c>
      <c r="BS19">
        <v>3.38</v>
      </c>
      <c r="BT19">
        <v>1.53</v>
      </c>
      <c r="BU19" t="s">
        <v>97</v>
      </c>
      <c r="BV19" t="s">
        <v>97</v>
      </c>
      <c r="BW19" t="s">
        <v>97</v>
      </c>
      <c r="BX19">
        <v>88.1</v>
      </c>
      <c r="BY19">
        <v>1808</v>
      </c>
      <c r="BZ19">
        <v>6.7</v>
      </c>
      <c r="CA19">
        <v>813069</v>
      </c>
      <c r="CB19">
        <v>666163</v>
      </c>
      <c r="CC19">
        <v>666163</v>
      </c>
      <c r="CD19">
        <v>518692</v>
      </c>
      <c r="CE19">
        <v>669242</v>
      </c>
      <c r="CF19">
        <v>571970</v>
      </c>
      <c r="CG19">
        <v>605141</v>
      </c>
      <c r="CH19">
        <v>571771</v>
      </c>
      <c r="CI19">
        <v>681624</v>
      </c>
      <c r="CJ19">
        <v>606192</v>
      </c>
      <c r="CK19">
        <v>53.78</v>
      </c>
      <c r="CL19" t="s">
        <v>97</v>
      </c>
      <c r="CM19" t="s">
        <v>97</v>
      </c>
      <c r="CN19" t="s">
        <v>97</v>
      </c>
      <c r="CO19" t="s">
        <v>97</v>
      </c>
      <c r="CP19" t="s">
        <v>97</v>
      </c>
      <c r="CQ19" t="s">
        <v>97</v>
      </c>
      <c r="CR19" t="s">
        <v>97</v>
      </c>
      <c r="CS19">
        <v>1</v>
      </c>
      <c r="CT19">
        <v>0</v>
      </c>
      <c r="CU19">
        <v>0</v>
      </c>
      <c r="CV19">
        <v>1</v>
      </c>
      <c r="CW19">
        <v>0</v>
      </c>
      <c r="CX19">
        <v>1</v>
      </c>
      <c r="CY19">
        <v>0</v>
      </c>
      <c r="CZ19">
        <v>1</v>
      </c>
      <c r="DA19" t="s">
        <v>107</v>
      </c>
      <c r="DB19" t="s">
        <v>107</v>
      </c>
      <c r="DC19">
        <v>133</v>
      </c>
      <c r="DD19">
        <v>0</v>
      </c>
      <c r="DE19">
        <v>-0.05</v>
      </c>
      <c r="DF19" t="s">
        <v>97</v>
      </c>
      <c r="DG19" t="s">
        <v>97</v>
      </c>
    </row>
    <row r="20" spans="1:111" x14ac:dyDescent="0.2">
      <c r="A20">
        <v>2025</v>
      </c>
      <c r="B20" s="1">
        <v>45930</v>
      </c>
      <c r="C20" t="s">
        <v>95</v>
      </c>
      <c r="D20">
        <v>605483</v>
      </c>
      <c r="E20">
        <v>663886</v>
      </c>
      <c r="F20">
        <v>1</v>
      </c>
      <c r="G20">
        <v>1</v>
      </c>
      <c r="H20">
        <v>3</v>
      </c>
      <c r="I20" t="s">
        <v>96</v>
      </c>
      <c r="J20">
        <v>17</v>
      </c>
      <c r="K20">
        <v>3</v>
      </c>
      <c r="L20" t="s">
        <v>97</v>
      </c>
      <c r="M20" t="s">
        <v>98</v>
      </c>
      <c r="N20" t="s">
        <v>99</v>
      </c>
      <c r="O20">
        <f t="shared" si="0"/>
        <v>0</v>
      </c>
      <c r="P20">
        <f t="shared" si="1"/>
        <v>0</v>
      </c>
      <c r="Q20">
        <f t="shared" si="2"/>
        <v>1</v>
      </c>
      <c r="R20">
        <f t="shared" si="3"/>
        <v>0</v>
      </c>
      <c r="S20">
        <f t="shared" si="4"/>
        <v>0</v>
      </c>
      <c r="T20">
        <f t="shared" si="5"/>
        <v>0</v>
      </c>
      <c r="U20">
        <f t="shared" si="6"/>
        <v>0</v>
      </c>
      <c r="V20">
        <f t="shared" si="7"/>
        <v>0</v>
      </c>
      <c r="W20">
        <f t="shared" si="8"/>
        <v>0</v>
      </c>
      <c r="X20">
        <f t="shared" si="9"/>
        <v>0</v>
      </c>
      <c r="Y20">
        <f t="shared" si="10"/>
        <v>0</v>
      </c>
      <c r="Z20">
        <f t="shared" si="11"/>
        <v>0</v>
      </c>
      <c r="AA20">
        <f t="shared" si="12"/>
        <v>0</v>
      </c>
      <c r="AB20">
        <f t="shared" si="13"/>
        <v>0</v>
      </c>
      <c r="AC20">
        <f t="shared" si="14"/>
        <v>0</v>
      </c>
      <c r="AD20">
        <f t="shared" si="15"/>
        <v>0</v>
      </c>
      <c r="AE20">
        <v>95.1</v>
      </c>
      <c r="AF20">
        <v>2.1800000000000002</v>
      </c>
      <c r="AG20">
        <v>6.56</v>
      </c>
      <c r="AH20" t="s">
        <v>108</v>
      </c>
      <c r="AI20" t="s">
        <v>97</v>
      </c>
      <c r="AJ20" t="s">
        <v>97</v>
      </c>
      <c r="AK20" t="s">
        <v>97</v>
      </c>
      <c r="AL20" t="s">
        <v>97</v>
      </c>
      <c r="AM20">
        <v>6</v>
      </c>
      <c r="AN20" t="s">
        <v>109</v>
      </c>
      <c r="AO20" t="s">
        <v>102</v>
      </c>
      <c r="AP20" t="s">
        <v>122</v>
      </c>
      <c r="AQ20" t="s">
        <v>103</v>
      </c>
      <c r="AR20" t="s">
        <v>104</v>
      </c>
      <c r="AS20" t="s">
        <v>105</v>
      </c>
      <c r="AT20" t="s">
        <v>110</v>
      </c>
      <c r="AU20" t="s">
        <v>97</v>
      </c>
      <c r="AV20" t="s">
        <v>97</v>
      </c>
      <c r="AW20">
        <v>0.3</v>
      </c>
      <c r="AX20">
        <v>1.51</v>
      </c>
      <c r="AY20">
        <v>0.63</v>
      </c>
      <c r="AZ20">
        <v>2.38</v>
      </c>
      <c r="BA20" t="s">
        <v>97</v>
      </c>
      <c r="BB20" t="s">
        <v>97</v>
      </c>
      <c r="BC20" t="s">
        <v>97</v>
      </c>
      <c r="BD20">
        <v>0</v>
      </c>
      <c r="BE20" t="s">
        <v>97</v>
      </c>
      <c r="BF20" t="s">
        <v>97</v>
      </c>
      <c r="BG20" t="s">
        <v>97</v>
      </c>
      <c r="BH20" t="s">
        <v>97</v>
      </c>
      <c r="BI20">
        <v>666163</v>
      </c>
      <c r="BJ20">
        <v>666163</v>
      </c>
      <c r="BK20" t="s">
        <v>97</v>
      </c>
      <c r="BL20" t="s">
        <v>97</v>
      </c>
      <c r="BM20">
        <v>-4.7663638559999999</v>
      </c>
      <c r="BN20">
        <v>-138.347499</v>
      </c>
      <c r="BO20">
        <v>-8.7721355069999998</v>
      </c>
      <c r="BP20">
        <v>4.7682769719999998</v>
      </c>
      <c r="BQ20">
        <v>27.43689024</v>
      </c>
      <c r="BR20">
        <v>-11.01636673</v>
      </c>
      <c r="BS20">
        <v>3.31</v>
      </c>
      <c r="BT20">
        <v>1.52</v>
      </c>
      <c r="BU20" t="s">
        <v>97</v>
      </c>
      <c r="BV20" t="s">
        <v>97</v>
      </c>
      <c r="BW20" t="s">
        <v>97</v>
      </c>
      <c r="BX20">
        <v>95.9</v>
      </c>
      <c r="BY20">
        <v>2540</v>
      </c>
      <c r="BZ20">
        <v>6.5</v>
      </c>
      <c r="CA20">
        <v>813069</v>
      </c>
      <c r="CB20">
        <v>666163</v>
      </c>
      <c r="CC20">
        <v>666163</v>
      </c>
      <c r="CD20">
        <v>518692</v>
      </c>
      <c r="CE20">
        <v>669242</v>
      </c>
      <c r="CF20">
        <v>571970</v>
      </c>
      <c r="CG20">
        <v>605141</v>
      </c>
      <c r="CH20">
        <v>571771</v>
      </c>
      <c r="CI20">
        <v>681624</v>
      </c>
      <c r="CJ20">
        <v>606192</v>
      </c>
      <c r="CK20">
        <v>53.96</v>
      </c>
      <c r="CL20" t="s">
        <v>97</v>
      </c>
      <c r="CM20" t="s">
        <v>97</v>
      </c>
      <c r="CN20" t="s">
        <v>97</v>
      </c>
      <c r="CO20" t="s">
        <v>97</v>
      </c>
      <c r="CP20" t="s">
        <v>97</v>
      </c>
      <c r="CQ20" t="s">
        <v>97</v>
      </c>
      <c r="CR20" t="s">
        <v>97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0</v>
      </c>
      <c r="CZ20">
        <v>1</v>
      </c>
      <c r="DA20" t="s">
        <v>107</v>
      </c>
      <c r="DB20" t="s">
        <v>107</v>
      </c>
      <c r="DC20">
        <v>153</v>
      </c>
      <c r="DD20">
        <v>0</v>
      </c>
      <c r="DE20">
        <v>-6.0999999999999999E-2</v>
      </c>
      <c r="DF20" t="s">
        <v>97</v>
      </c>
      <c r="DG20" t="s">
        <v>97</v>
      </c>
    </row>
    <row r="21" spans="1:111" x14ac:dyDescent="0.2">
      <c r="A21">
        <v>2025</v>
      </c>
      <c r="B21" s="1">
        <v>45930</v>
      </c>
      <c r="C21" t="s">
        <v>95</v>
      </c>
      <c r="D21">
        <v>605483</v>
      </c>
      <c r="E21">
        <v>663886</v>
      </c>
      <c r="F21">
        <v>1</v>
      </c>
      <c r="G21">
        <v>2</v>
      </c>
      <c r="H21">
        <v>3</v>
      </c>
      <c r="I21" t="s">
        <v>96</v>
      </c>
      <c r="J21">
        <v>17</v>
      </c>
      <c r="K21">
        <v>4</v>
      </c>
      <c r="L21" t="s">
        <v>97</v>
      </c>
      <c r="M21" t="s">
        <v>132</v>
      </c>
      <c r="N21" t="s">
        <v>133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  <c r="U21">
        <f t="shared" si="6"/>
        <v>0</v>
      </c>
      <c r="V21">
        <f t="shared" si="7"/>
        <v>0</v>
      </c>
      <c r="W21">
        <f t="shared" si="8"/>
        <v>0</v>
      </c>
      <c r="X21">
        <f t="shared" si="9"/>
        <v>0</v>
      </c>
      <c r="Y21">
        <f t="shared" si="10"/>
        <v>1</v>
      </c>
      <c r="Z21">
        <f t="shared" si="11"/>
        <v>0</v>
      </c>
      <c r="AA21">
        <f t="shared" si="12"/>
        <v>0</v>
      </c>
      <c r="AB21">
        <f t="shared" si="13"/>
        <v>0</v>
      </c>
      <c r="AC21">
        <f t="shared" si="14"/>
        <v>0</v>
      </c>
      <c r="AD21">
        <f t="shared" si="15"/>
        <v>0</v>
      </c>
      <c r="AE21">
        <v>85.8</v>
      </c>
      <c r="AF21">
        <v>2.21</v>
      </c>
      <c r="AG21">
        <v>6.36</v>
      </c>
      <c r="AH21" t="s">
        <v>100</v>
      </c>
      <c r="AI21" t="s">
        <v>97</v>
      </c>
      <c r="AJ21" t="s">
        <v>97</v>
      </c>
      <c r="AK21" t="s">
        <v>97</v>
      </c>
      <c r="AL21" t="s">
        <v>97</v>
      </c>
      <c r="AM21">
        <v>8</v>
      </c>
      <c r="AN21" t="s">
        <v>101</v>
      </c>
      <c r="AO21" t="s">
        <v>102</v>
      </c>
      <c r="AP21" t="s">
        <v>122</v>
      </c>
      <c r="AQ21" t="s">
        <v>103</v>
      </c>
      <c r="AR21" t="s">
        <v>104</v>
      </c>
      <c r="AS21" t="s">
        <v>105</v>
      </c>
      <c r="AT21" t="s">
        <v>106</v>
      </c>
      <c r="AU21" t="s">
        <v>97</v>
      </c>
      <c r="AV21" t="s">
        <v>97</v>
      </c>
      <c r="AW21">
        <v>1.21</v>
      </c>
      <c r="AX21">
        <v>0.83</v>
      </c>
      <c r="AY21">
        <v>0.2</v>
      </c>
      <c r="AZ21">
        <v>1.55</v>
      </c>
      <c r="BA21" t="s">
        <v>97</v>
      </c>
      <c r="BB21" t="s">
        <v>97</v>
      </c>
      <c r="BC21" t="s">
        <v>97</v>
      </c>
      <c r="BD21">
        <v>0</v>
      </c>
      <c r="BE21" t="s">
        <v>97</v>
      </c>
      <c r="BF21" t="s">
        <v>97</v>
      </c>
      <c r="BG21" t="s">
        <v>97</v>
      </c>
      <c r="BH21" t="s">
        <v>97</v>
      </c>
      <c r="BI21">
        <v>666163</v>
      </c>
      <c r="BJ21">
        <v>666163</v>
      </c>
      <c r="BK21" t="s">
        <v>97</v>
      </c>
      <c r="BL21" t="s">
        <v>97</v>
      </c>
      <c r="BM21">
        <v>-7.2598653610000001</v>
      </c>
      <c r="BN21">
        <v>-124.7366432</v>
      </c>
      <c r="BO21">
        <v>-6.8791759990000001</v>
      </c>
      <c r="BP21">
        <v>14.030786579999999</v>
      </c>
      <c r="BQ21">
        <v>23.363654579999999</v>
      </c>
      <c r="BR21">
        <v>-22.32867001</v>
      </c>
      <c r="BS21">
        <v>3.35</v>
      </c>
      <c r="BT21">
        <v>1.54</v>
      </c>
      <c r="BU21" t="s">
        <v>97</v>
      </c>
      <c r="BV21" t="s">
        <v>97</v>
      </c>
      <c r="BW21" t="s">
        <v>97</v>
      </c>
      <c r="BX21">
        <v>86.8</v>
      </c>
      <c r="BY21">
        <v>1948</v>
      </c>
      <c r="BZ21">
        <v>6.8</v>
      </c>
      <c r="CA21">
        <v>813069</v>
      </c>
      <c r="CB21">
        <v>666163</v>
      </c>
      <c r="CC21">
        <v>666163</v>
      </c>
      <c r="CD21">
        <v>518692</v>
      </c>
      <c r="CE21">
        <v>669242</v>
      </c>
      <c r="CF21">
        <v>571970</v>
      </c>
      <c r="CG21">
        <v>605141</v>
      </c>
      <c r="CH21">
        <v>571771</v>
      </c>
      <c r="CI21">
        <v>681624</v>
      </c>
      <c r="CJ21">
        <v>606192</v>
      </c>
      <c r="CK21">
        <v>53.68</v>
      </c>
      <c r="CL21" t="s">
        <v>97</v>
      </c>
      <c r="CM21" t="s">
        <v>97</v>
      </c>
      <c r="CN21" t="s">
        <v>97</v>
      </c>
      <c r="CO21" t="s">
        <v>97</v>
      </c>
      <c r="CP21" t="s">
        <v>97</v>
      </c>
      <c r="CQ21" t="s">
        <v>97</v>
      </c>
      <c r="CR21" t="s">
        <v>97</v>
      </c>
      <c r="CS21">
        <v>1</v>
      </c>
      <c r="CT21">
        <v>0</v>
      </c>
      <c r="CU21">
        <v>0</v>
      </c>
      <c r="CV21">
        <v>1</v>
      </c>
      <c r="CW21">
        <v>0</v>
      </c>
      <c r="CX21">
        <v>1</v>
      </c>
      <c r="CY21">
        <v>0</v>
      </c>
      <c r="CZ21">
        <v>1</v>
      </c>
      <c r="DA21" t="s">
        <v>107</v>
      </c>
      <c r="DB21" t="s">
        <v>107</v>
      </c>
      <c r="DC21">
        <v>135</v>
      </c>
      <c r="DD21">
        <v>0</v>
      </c>
      <c r="DE21">
        <v>4.2999999999999997E-2</v>
      </c>
      <c r="DF21" t="s">
        <v>97</v>
      </c>
      <c r="DG21" t="s">
        <v>97</v>
      </c>
    </row>
    <row r="22" spans="1:111" x14ac:dyDescent="0.2">
      <c r="A22">
        <v>2025</v>
      </c>
      <c r="B22" s="1">
        <v>45930</v>
      </c>
      <c r="C22" t="s">
        <v>95</v>
      </c>
      <c r="D22">
        <v>605483</v>
      </c>
      <c r="E22">
        <v>663886</v>
      </c>
      <c r="F22">
        <v>2</v>
      </c>
      <c r="G22">
        <v>2</v>
      </c>
      <c r="H22">
        <v>3</v>
      </c>
      <c r="I22" t="s">
        <v>96</v>
      </c>
      <c r="J22">
        <v>17</v>
      </c>
      <c r="K22">
        <v>5</v>
      </c>
      <c r="L22" t="s">
        <v>116</v>
      </c>
      <c r="M22" t="s">
        <v>111</v>
      </c>
      <c r="N22" t="s">
        <v>112</v>
      </c>
      <c r="O22">
        <f t="shared" si="0"/>
        <v>0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1</v>
      </c>
      <c r="U22">
        <f t="shared" si="6"/>
        <v>0</v>
      </c>
      <c r="V22">
        <f t="shared" si="7"/>
        <v>0</v>
      </c>
      <c r="W22">
        <f t="shared" si="8"/>
        <v>0</v>
      </c>
      <c r="X22">
        <f t="shared" si="9"/>
        <v>0</v>
      </c>
      <c r="Y22">
        <f t="shared" si="10"/>
        <v>0</v>
      </c>
      <c r="Z22">
        <f t="shared" si="11"/>
        <v>0</v>
      </c>
      <c r="AA22">
        <f t="shared" si="12"/>
        <v>0</v>
      </c>
      <c r="AB22">
        <f t="shared" si="13"/>
        <v>0</v>
      </c>
      <c r="AC22">
        <f t="shared" si="14"/>
        <v>0</v>
      </c>
      <c r="AD22">
        <f t="shared" si="15"/>
        <v>0</v>
      </c>
      <c r="AE22">
        <v>83.5</v>
      </c>
      <c r="AF22">
        <v>1.95</v>
      </c>
      <c r="AG22">
        <v>6.52</v>
      </c>
      <c r="AH22" t="s">
        <v>113</v>
      </c>
      <c r="AI22" t="s">
        <v>97</v>
      </c>
      <c r="AJ22" t="s">
        <v>97</v>
      </c>
      <c r="AK22" t="s">
        <v>97</v>
      </c>
      <c r="AL22" t="s">
        <v>97</v>
      </c>
      <c r="AM22">
        <v>13</v>
      </c>
      <c r="AN22" t="s">
        <v>134</v>
      </c>
      <c r="AO22" t="s">
        <v>102</v>
      </c>
      <c r="AP22" t="s">
        <v>122</v>
      </c>
      <c r="AQ22" t="s">
        <v>103</v>
      </c>
      <c r="AR22" t="s">
        <v>104</v>
      </c>
      <c r="AS22" t="s">
        <v>105</v>
      </c>
      <c r="AT22" t="s">
        <v>110</v>
      </c>
      <c r="AU22">
        <v>2</v>
      </c>
      <c r="AV22" t="s">
        <v>97</v>
      </c>
      <c r="AW22">
        <v>-0.83</v>
      </c>
      <c r="AX22">
        <v>-0.26</v>
      </c>
      <c r="AY22">
        <v>-0.99</v>
      </c>
      <c r="AZ22">
        <v>1.19</v>
      </c>
      <c r="BA22" t="s">
        <v>97</v>
      </c>
      <c r="BB22" t="s">
        <v>97</v>
      </c>
      <c r="BC22" t="s">
        <v>97</v>
      </c>
      <c r="BD22">
        <v>0</v>
      </c>
      <c r="BE22" t="s">
        <v>97</v>
      </c>
      <c r="BF22" t="s">
        <v>97</v>
      </c>
      <c r="BG22" t="s">
        <v>97</v>
      </c>
      <c r="BH22" t="s">
        <v>97</v>
      </c>
      <c r="BI22">
        <v>666163</v>
      </c>
      <c r="BJ22">
        <v>666163</v>
      </c>
      <c r="BK22" t="s">
        <v>97</v>
      </c>
      <c r="BL22" t="s">
        <v>97</v>
      </c>
      <c r="BM22">
        <v>-5.171464061</v>
      </c>
      <c r="BN22">
        <v>-121.55235709999999</v>
      </c>
      <c r="BO22">
        <v>-5.419345667</v>
      </c>
      <c r="BP22">
        <v>-7.3859677020000003</v>
      </c>
      <c r="BQ22">
        <v>22.02038005</v>
      </c>
      <c r="BR22">
        <v>-33.926865650000003</v>
      </c>
      <c r="BS22">
        <v>3.3</v>
      </c>
      <c r="BT22">
        <v>1.53</v>
      </c>
      <c r="BU22" t="s">
        <v>97</v>
      </c>
      <c r="BV22" t="s">
        <v>97</v>
      </c>
      <c r="BW22" t="s">
        <v>97</v>
      </c>
      <c r="BX22">
        <v>84.5</v>
      </c>
      <c r="BY22">
        <v>2678</v>
      </c>
      <c r="BZ22">
        <v>6.8</v>
      </c>
      <c r="CA22">
        <v>813069</v>
      </c>
      <c r="CB22">
        <v>666163</v>
      </c>
      <c r="CC22">
        <v>666163</v>
      </c>
      <c r="CD22">
        <v>518692</v>
      </c>
      <c r="CE22">
        <v>669242</v>
      </c>
      <c r="CF22">
        <v>571970</v>
      </c>
      <c r="CG22">
        <v>605141</v>
      </c>
      <c r="CH22">
        <v>571771</v>
      </c>
      <c r="CI22">
        <v>681624</v>
      </c>
      <c r="CJ22">
        <v>606192</v>
      </c>
      <c r="CK22">
        <v>53.73</v>
      </c>
      <c r="CL22" t="s">
        <v>97</v>
      </c>
      <c r="CM22">
        <v>0</v>
      </c>
      <c r="CN22">
        <v>0</v>
      </c>
      <c r="CO22">
        <v>1</v>
      </c>
      <c r="CP22">
        <v>0</v>
      </c>
      <c r="CQ22">
        <v>0</v>
      </c>
      <c r="CR22" t="s">
        <v>97</v>
      </c>
      <c r="CS22">
        <v>1</v>
      </c>
      <c r="CT22">
        <v>0</v>
      </c>
      <c r="CU22">
        <v>0</v>
      </c>
      <c r="CV22">
        <v>1</v>
      </c>
      <c r="CW22">
        <v>0</v>
      </c>
      <c r="CX22">
        <v>1</v>
      </c>
      <c r="CY22">
        <v>0</v>
      </c>
      <c r="CZ22">
        <v>1</v>
      </c>
      <c r="DA22" t="s">
        <v>107</v>
      </c>
      <c r="DB22" t="s">
        <v>107</v>
      </c>
      <c r="DC22">
        <v>323</v>
      </c>
      <c r="DD22">
        <v>2.5999999999999999E-2</v>
      </c>
      <c r="DE22">
        <v>-0.23200000000000001</v>
      </c>
      <c r="DF22">
        <v>66.8</v>
      </c>
      <c r="DG22">
        <v>8.6999999999999993</v>
      </c>
    </row>
    <row r="23" spans="1:111" x14ac:dyDescent="0.2">
      <c r="A23">
        <v>2025</v>
      </c>
      <c r="B23" s="1">
        <v>45930</v>
      </c>
      <c r="C23" t="s">
        <v>95</v>
      </c>
      <c r="D23">
        <v>605483</v>
      </c>
      <c r="E23">
        <v>663647</v>
      </c>
      <c r="F23">
        <v>0</v>
      </c>
      <c r="G23">
        <v>0</v>
      </c>
      <c r="H23">
        <v>3</v>
      </c>
      <c r="I23" t="s">
        <v>96</v>
      </c>
      <c r="J23">
        <v>18</v>
      </c>
      <c r="K23">
        <v>1</v>
      </c>
      <c r="L23" t="s">
        <v>97</v>
      </c>
      <c r="M23" t="s">
        <v>98</v>
      </c>
      <c r="N23" t="s">
        <v>99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  <c r="U23">
        <f t="shared" si="6"/>
        <v>0</v>
      </c>
      <c r="V23">
        <f t="shared" si="7"/>
        <v>0</v>
      </c>
      <c r="W23">
        <f t="shared" si="8"/>
        <v>0</v>
      </c>
      <c r="X23">
        <f t="shared" si="9"/>
        <v>0</v>
      </c>
      <c r="Y23">
        <f t="shared" si="10"/>
        <v>0</v>
      </c>
      <c r="Z23">
        <f t="shared" si="11"/>
        <v>0</v>
      </c>
      <c r="AA23">
        <f t="shared" si="12"/>
        <v>0</v>
      </c>
      <c r="AB23">
        <f t="shared" si="13"/>
        <v>0</v>
      </c>
      <c r="AC23">
        <f t="shared" si="14"/>
        <v>0</v>
      </c>
      <c r="AD23">
        <f t="shared" si="15"/>
        <v>0</v>
      </c>
      <c r="AE23">
        <v>96.8</v>
      </c>
      <c r="AF23">
        <v>1.95</v>
      </c>
      <c r="AG23">
        <v>6.59</v>
      </c>
      <c r="AH23" t="s">
        <v>108</v>
      </c>
      <c r="AI23" t="s">
        <v>97</v>
      </c>
      <c r="AJ23" t="s">
        <v>97</v>
      </c>
      <c r="AK23" t="s">
        <v>97</v>
      </c>
      <c r="AL23" t="s">
        <v>97</v>
      </c>
      <c r="AM23">
        <v>6</v>
      </c>
      <c r="AN23" t="s">
        <v>109</v>
      </c>
      <c r="AO23" t="s">
        <v>102</v>
      </c>
      <c r="AP23" t="s">
        <v>122</v>
      </c>
      <c r="AQ23" t="s">
        <v>103</v>
      </c>
      <c r="AR23" t="s">
        <v>104</v>
      </c>
      <c r="AS23" t="s">
        <v>105</v>
      </c>
      <c r="AT23" t="s">
        <v>110</v>
      </c>
      <c r="AU23" t="s">
        <v>97</v>
      </c>
      <c r="AV23" t="s">
        <v>97</v>
      </c>
      <c r="AW23">
        <v>0.5</v>
      </c>
      <c r="AX23">
        <v>1.69</v>
      </c>
      <c r="AY23">
        <v>0.42</v>
      </c>
      <c r="AZ23">
        <v>2.54</v>
      </c>
      <c r="BA23" t="s">
        <v>97</v>
      </c>
      <c r="BB23" t="s">
        <v>97</v>
      </c>
      <c r="BC23" t="s">
        <v>97</v>
      </c>
      <c r="BD23">
        <v>1</v>
      </c>
      <c r="BE23" t="s">
        <v>97</v>
      </c>
      <c r="BF23" t="s">
        <v>97</v>
      </c>
      <c r="BG23" t="s">
        <v>97</v>
      </c>
      <c r="BH23" t="s">
        <v>97</v>
      </c>
      <c r="BI23">
        <v>666163</v>
      </c>
      <c r="BJ23">
        <v>666163</v>
      </c>
      <c r="BK23" t="s">
        <v>97</v>
      </c>
      <c r="BL23" t="s">
        <v>97</v>
      </c>
      <c r="BM23">
        <v>-5.2666880090000001</v>
      </c>
      <c r="BN23">
        <v>-140.63562669999999</v>
      </c>
      <c r="BO23">
        <v>-9.2239310250000006</v>
      </c>
      <c r="BP23">
        <v>7.795172086</v>
      </c>
      <c r="BQ23">
        <v>29.793505079999999</v>
      </c>
      <c r="BR23">
        <v>-7.8006167690000003</v>
      </c>
      <c r="BS23">
        <v>3.28</v>
      </c>
      <c r="BT23">
        <v>1.53</v>
      </c>
      <c r="BU23" t="s">
        <v>97</v>
      </c>
      <c r="BV23" t="s">
        <v>97</v>
      </c>
      <c r="BW23" t="s">
        <v>97</v>
      </c>
      <c r="BX23">
        <v>97.9</v>
      </c>
      <c r="BY23">
        <v>2574</v>
      </c>
      <c r="BZ23">
        <v>6.8</v>
      </c>
      <c r="CA23">
        <v>813069</v>
      </c>
      <c r="CB23">
        <v>666163</v>
      </c>
      <c r="CC23">
        <v>666163</v>
      </c>
      <c r="CD23">
        <v>518692</v>
      </c>
      <c r="CE23">
        <v>669242</v>
      </c>
      <c r="CF23">
        <v>571970</v>
      </c>
      <c r="CG23">
        <v>605141</v>
      </c>
      <c r="CH23">
        <v>571771</v>
      </c>
      <c r="CI23">
        <v>681624</v>
      </c>
      <c r="CJ23">
        <v>606192</v>
      </c>
      <c r="CK23">
        <v>53.67</v>
      </c>
      <c r="CL23" t="s">
        <v>97</v>
      </c>
      <c r="CM23" t="s">
        <v>97</v>
      </c>
      <c r="CN23" t="s">
        <v>97</v>
      </c>
      <c r="CO23" t="s">
        <v>97</v>
      </c>
      <c r="CP23" t="s">
        <v>97</v>
      </c>
      <c r="CQ23" t="s">
        <v>97</v>
      </c>
      <c r="CR23" t="s">
        <v>97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 t="s">
        <v>107</v>
      </c>
      <c r="DB23" t="s">
        <v>107</v>
      </c>
      <c r="DC23">
        <v>152</v>
      </c>
      <c r="DD23">
        <v>0</v>
      </c>
      <c r="DE23">
        <v>-3.9E-2</v>
      </c>
      <c r="DF23" t="s">
        <v>97</v>
      </c>
      <c r="DG23" t="s">
        <v>97</v>
      </c>
    </row>
    <row r="24" spans="1:111" x14ac:dyDescent="0.2">
      <c r="A24">
        <v>2025</v>
      </c>
      <c r="B24" s="1">
        <v>45930</v>
      </c>
      <c r="C24" t="s">
        <v>95</v>
      </c>
      <c r="D24">
        <v>605483</v>
      </c>
      <c r="E24">
        <v>663647</v>
      </c>
      <c r="F24">
        <v>0</v>
      </c>
      <c r="G24">
        <v>1</v>
      </c>
      <c r="H24">
        <v>3</v>
      </c>
      <c r="I24" t="s">
        <v>96</v>
      </c>
      <c r="J24">
        <v>18</v>
      </c>
      <c r="K24">
        <v>2</v>
      </c>
      <c r="L24" t="s">
        <v>97</v>
      </c>
      <c r="M24" t="s">
        <v>98</v>
      </c>
      <c r="N24" t="s">
        <v>99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  <c r="U24">
        <f t="shared" si="6"/>
        <v>0</v>
      </c>
      <c r="V24">
        <f t="shared" si="7"/>
        <v>0</v>
      </c>
      <c r="W24">
        <f t="shared" si="8"/>
        <v>0</v>
      </c>
      <c r="X24">
        <f t="shared" si="9"/>
        <v>0</v>
      </c>
      <c r="Y24">
        <f t="shared" si="10"/>
        <v>0</v>
      </c>
      <c r="Z24">
        <f t="shared" si="11"/>
        <v>0</v>
      </c>
      <c r="AA24">
        <f t="shared" si="12"/>
        <v>0</v>
      </c>
      <c r="AB24">
        <f t="shared" si="13"/>
        <v>0</v>
      </c>
      <c r="AC24">
        <f t="shared" si="14"/>
        <v>0</v>
      </c>
      <c r="AD24">
        <f t="shared" si="15"/>
        <v>0</v>
      </c>
      <c r="AE24">
        <v>96.3</v>
      </c>
      <c r="AF24">
        <v>1.83</v>
      </c>
      <c r="AG24">
        <v>6.53</v>
      </c>
      <c r="AH24" t="s">
        <v>100</v>
      </c>
      <c r="AI24" t="s">
        <v>97</v>
      </c>
      <c r="AJ24" t="s">
        <v>97</v>
      </c>
      <c r="AK24" t="s">
        <v>97</v>
      </c>
      <c r="AL24" t="s">
        <v>97</v>
      </c>
      <c r="AM24">
        <v>13</v>
      </c>
      <c r="AN24" t="s">
        <v>101</v>
      </c>
      <c r="AO24" t="s">
        <v>102</v>
      </c>
      <c r="AP24" t="s">
        <v>122</v>
      </c>
      <c r="AQ24" t="s">
        <v>103</v>
      </c>
      <c r="AR24" t="s">
        <v>104</v>
      </c>
      <c r="AS24" t="s">
        <v>105</v>
      </c>
      <c r="AT24" t="s">
        <v>106</v>
      </c>
      <c r="AU24" t="s">
        <v>97</v>
      </c>
      <c r="AV24" t="s">
        <v>97</v>
      </c>
      <c r="AW24">
        <v>0.28999999999999998</v>
      </c>
      <c r="AX24">
        <v>1.71</v>
      </c>
      <c r="AY24">
        <v>-1</v>
      </c>
      <c r="AZ24">
        <v>1.79</v>
      </c>
      <c r="BA24" t="s">
        <v>97</v>
      </c>
      <c r="BB24" t="s">
        <v>97</v>
      </c>
      <c r="BC24" t="s">
        <v>97</v>
      </c>
      <c r="BD24">
        <v>1</v>
      </c>
      <c r="BE24" t="s">
        <v>97</v>
      </c>
      <c r="BF24" t="s">
        <v>97</v>
      </c>
      <c r="BG24" t="s">
        <v>97</v>
      </c>
      <c r="BH24" t="s">
        <v>97</v>
      </c>
      <c r="BI24">
        <v>666163</v>
      </c>
      <c r="BJ24">
        <v>666163</v>
      </c>
      <c r="BK24" t="s">
        <v>97</v>
      </c>
      <c r="BL24" t="s">
        <v>97</v>
      </c>
      <c r="BM24">
        <v>-8.2038093449999998</v>
      </c>
      <c r="BN24">
        <v>-139.69430399999999</v>
      </c>
      <c r="BO24">
        <v>-10.95907293</v>
      </c>
      <c r="BP24">
        <v>5.4368051790000003</v>
      </c>
      <c r="BQ24">
        <v>28.280774749999999</v>
      </c>
      <c r="BR24">
        <v>-7.5369271720000004</v>
      </c>
      <c r="BS24">
        <v>3.3</v>
      </c>
      <c r="BT24">
        <v>1.53</v>
      </c>
      <c r="BU24" t="s">
        <v>97</v>
      </c>
      <c r="BV24" t="s">
        <v>97</v>
      </c>
      <c r="BW24" t="s">
        <v>97</v>
      </c>
      <c r="BX24">
        <v>97.2</v>
      </c>
      <c r="BY24">
        <v>2637</v>
      </c>
      <c r="BZ24">
        <v>6.8</v>
      </c>
      <c r="CA24">
        <v>813069</v>
      </c>
      <c r="CB24">
        <v>666163</v>
      </c>
      <c r="CC24">
        <v>666163</v>
      </c>
      <c r="CD24">
        <v>518692</v>
      </c>
      <c r="CE24">
        <v>669242</v>
      </c>
      <c r="CF24">
        <v>571970</v>
      </c>
      <c r="CG24">
        <v>605141</v>
      </c>
      <c r="CH24">
        <v>571771</v>
      </c>
      <c r="CI24">
        <v>681624</v>
      </c>
      <c r="CJ24">
        <v>606192</v>
      </c>
      <c r="CK24">
        <v>53.74</v>
      </c>
      <c r="CL24" t="s">
        <v>97</v>
      </c>
      <c r="CM24" t="s">
        <v>97</v>
      </c>
      <c r="CN24" t="s">
        <v>97</v>
      </c>
      <c r="CO24" t="s">
        <v>97</v>
      </c>
      <c r="CP24" t="s">
        <v>97</v>
      </c>
      <c r="CQ24" t="s">
        <v>97</v>
      </c>
      <c r="CR24" t="s">
        <v>97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1</v>
      </c>
      <c r="DA24" t="s">
        <v>107</v>
      </c>
      <c r="DB24" t="s">
        <v>107</v>
      </c>
      <c r="DC24">
        <v>159</v>
      </c>
      <c r="DD24">
        <v>0</v>
      </c>
      <c r="DE24">
        <v>2.8000000000000001E-2</v>
      </c>
      <c r="DF24" t="s">
        <v>97</v>
      </c>
      <c r="DG24" t="s">
        <v>97</v>
      </c>
    </row>
    <row r="25" spans="1:111" x14ac:dyDescent="0.2">
      <c r="A25">
        <v>2025</v>
      </c>
      <c r="B25" s="1">
        <v>45930</v>
      </c>
      <c r="C25" t="s">
        <v>95</v>
      </c>
      <c r="D25">
        <v>605483</v>
      </c>
      <c r="E25">
        <v>663647</v>
      </c>
      <c r="F25">
        <v>1</v>
      </c>
      <c r="G25">
        <v>1</v>
      </c>
      <c r="H25">
        <v>3</v>
      </c>
      <c r="I25" t="s">
        <v>96</v>
      </c>
      <c r="J25">
        <v>18</v>
      </c>
      <c r="K25">
        <v>3</v>
      </c>
      <c r="L25" t="s">
        <v>97</v>
      </c>
      <c r="M25" t="s">
        <v>98</v>
      </c>
      <c r="N25" t="s">
        <v>99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  <c r="U25">
        <f t="shared" si="6"/>
        <v>0</v>
      </c>
      <c r="V25">
        <f t="shared" si="7"/>
        <v>0</v>
      </c>
      <c r="W25">
        <f t="shared" si="8"/>
        <v>0</v>
      </c>
      <c r="X25">
        <f t="shared" si="9"/>
        <v>0</v>
      </c>
      <c r="Y25">
        <f t="shared" si="10"/>
        <v>0</v>
      </c>
      <c r="Z25">
        <f t="shared" si="11"/>
        <v>0</v>
      </c>
      <c r="AA25">
        <f t="shared" si="12"/>
        <v>0</v>
      </c>
      <c r="AB25">
        <f t="shared" si="13"/>
        <v>0</v>
      </c>
      <c r="AC25">
        <f t="shared" si="14"/>
        <v>0</v>
      </c>
      <c r="AD25">
        <f t="shared" si="15"/>
        <v>0</v>
      </c>
      <c r="AE25">
        <v>96.4</v>
      </c>
      <c r="AF25">
        <v>1.91</v>
      </c>
      <c r="AG25">
        <v>6.58</v>
      </c>
      <c r="AH25" t="s">
        <v>100</v>
      </c>
      <c r="AI25" t="s">
        <v>97</v>
      </c>
      <c r="AJ25" t="s">
        <v>97</v>
      </c>
      <c r="AK25" t="s">
        <v>97</v>
      </c>
      <c r="AL25" t="s">
        <v>97</v>
      </c>
      <c r="AM25">
        <v>1</v>
      </c>
      <c r="AN25" t="s">
        <v>101</v>
      </c>
      <c r="AO25" t="s">
        <v>102</v>
      </c>
      <c r="AP25" t="s">
        <v>122</v>
      </c>
      <c r="AQ25" t="s">
        <v>103</v>
      </c>
      <c r="AR25" t="s">
        <v>104</v>
      </c>
      <c r="AS25" t="s">
        <v>105</v>
      </c>
      <c r="AT25" t="s">
        <v>106</v>
      </c>
      <c r="AU25" t="s">
        <v>97</v>
      </c>
      <c r="AV25" t="s">
        <v>97</v>
      </c>
      <c r="AW25">
        <v>0.49</v>
      </c>
      <c r="AX25">
        <v>1.7</v>
      </c>
      <c r="AY25">
        <v>-0.73</v>
      </c>
      <c r="AZ25">
        <v>3.25</v>
      </c>
      <c r="BA25" t="s">
        <v>97</v>
      </c>
      <c r="BB25" t="s">
        <v>97</v>
      </c>
      <c r="BC25" t="s">
        <v>97</v>
      </c>
      <c r="BD25">
        <v>1</v>
      </c>
      <c r="BE25" t="s">
        <v>97</v>
      </c>
      <c r="BF25" t="s">
        <v>97</v>
      </c>
      <c r="BG25" t="s">
        <v>97</v>
      </c>
      <c r="BH25" t="s">
        <v>97</v>
      </c>
      <c r="BI25">
        <v>666163</v>
      </c>
      <c r="BJ25">
        <v>666163</v>
      </c>
      <c r="BK25" t="s">
        <v>97</v>
      </c>
      <c r="BL25" t="s">
        <v>97</v>
      </c>
      <c r="BM25">
        <v>-8.1938147039999993</v>
      </c>
      <c r="BN25">
        <v>-140.03949059999999</v>
      </c>
      <c r="BO25">
        <v>-7.222151191</v>
      </c>
      <c r="BP25">
        <v>8.1693554870000007</v>
      </c>
      <c r="BQ25">
        <v>29.441520109999999</v>
      </c>
      <c r="BR25">
        <v>-8.26970794</v>
      </c>
      <c r="BS25">
        <v>3.33</v>
      </c>
      <c r="BT25">
        <v>1.61</v>
      </c>
      <c r="BU25" t="s">
        <v>97</v>
      </c>
      <c r="BV25" t="s">
        <v>97</v>
      </c>
      <c r="BW25" t="s">
        <v>97</v>
      </c>
      <c r="BX25">
        <v>97.4</v>
      </c>
      <c r="BY25">
        <v>2626</v>
      </c>
      <c r="BZ25">
        <v>6.8</v>
      </c>
      <c r="CA25">
        <v>813069</v>
      </c>
      <c r="CB25">
        <v>666163</v>
      </c>
      <c r="CC25">
        <v>666163</v>
      </c>
      <c r="CD25">
        <v>518692</v>
      </c>
      <c r="CE25">
        <v>669242</v>
      </c>
      <c r="CF25">
        <v>571970</v>
      </c>
      <c r="CG25">
        <v>605141</v>
      </c>
      <c r="CH25">
        <v>571771</v>
      </c>
      <c r="CI25">
        <v>681624</v>
      </c>
      <c r="CJ25">
        <v>606192</v>
      </c>
      <c r="CK25">
        <v>53.71</v>
      </c>
      <c r="CL25" t="s">
        <v>97</v>
      </c>
      <c r="CM25" t="s">
        <v>97</v>
      </c>
      <c r="CN25" t="s">
        <v>97</v>
      </c>
      <c r="CO25" t="s">
        <v>97</v>
      </c>
      <c r="CP25" t="s">
        <v>97</v>
      </c>
      <c r="CQ25" t="s">
        <v>97</v>
      </c>
      <c r="CR25" t="s">
        <v>97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0</v>
      </c>
      <c r="CZ25">
        <v>1</v>
      </c>
      <c r="DA25" t="s">
        <v>107</v>
      </c>
      <c r="DB25" t="s">
        <v>107</v>
      </c>
      <c r="DC25">
        <v>155</v>
      </c>
      <c r="DD25">
        <v>0</v>
      </c>
      <c r="DE25">
        <v>5.5E-2</v>
      </c>
      <c r="DF25" t="s">
        <v>97</v>
      </c>
      <c r="DG25" t="s">
        <v>97</v>
      </c>
    </row>
    <row r="26" spans="1:111" x14ac:dyDescent="0.2">
      <c r="A26">
        <v>2025</v>
      </c>
      <c r="B26" s="1">
        <v>45930</v>
      </c>
      <c r="C26" t="s">
        <v>95</v>
      </c>
      <c r="D26">
        <v>605483</v>
      </c>
      <c r="E26">
        <v>663647</v>
      </c>
      <c r="F26">
        <v>2</v>
      </c>
      <c r="G26">
        <v>1</v>
      </c>
      <c r="H26">
        <v>3</v>
      </c>
      <c r="I26" t="s">
        <v>96</v>
      </c>
      <c r="J26">
        <v>18</v>
      </c>
      <c r="K26">
        <v>4</v>
      </c>
      <c r="L26" t="s">
        <v>119</v>
      </c>
      <c r="M26" t="s">
        <v>98</v>
      </c>
      <c r="N26" t="s">
        <v>99</v>
      </c>
      <c r="O26">
        <f t="shared" si="0"/>
        <v>1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0</v>
      </c>
      <c r="T26">
        <f t="shared" si="5"/>
        <v>0</v>
      </c>
      <c r="U26">
        <f t="shared" si="6"/>
        <v>0</v>
      </c>
      <c r="V26">
        <f t="shared" si="7"/>
        <v>0</v>
      </c>
      <c r="W26">
        <f t="shared" si="8"/>
        <v>0</v>
      </c>
      <c r="X26">
        <f t="shared" si="9"/>
        <v>0</v>
      </c>
      <c r="Y26">
        <f t="shared" si="10"/>
        <v>0</v>
      </c>
      <c r="Z26">
        <f t="shared" si="11"/>
        <v>0</v>
      </c>
      <c r="AA26">
        <f t="shared" si="12"/>
        <v>0</v>
      </c>
      <c r="AB26">
        <f t="shared" si="13"/>
        <v>0</v>
      </c>
      <c r="AC26">
        <f t="shared" si="14"/>
        <v>0</v>
      </c>
      <c r="AD26">
        <f t="shared" si="15"/>
        <v>0</v>
      </c>
      <c r="AE26">
        <v>97.4</v>
      </c>
      <c r="AF26">
        <v>1.86</v>
      </c>
      <c r="AG26">
        <v>6.56</v>
      </c>
      <c r="AH26" t="s">
        <v>120</v>
      </c>
      <c r="AI26" t="s">
        <v>97</v>
      </c>
      <c r="AJ26" t="s">
        <v>97</v>
      </c>
      <c r="AK26" t="s">
        <v>97</v>
      </c>
      <c r="AL26" t="s">
        <v>97</v>
      </c>
      <c r="AM26">
        <v>4</v>
      </c>
      <c r="AN26" t="s">
        <v>135</v>
      </c>
      <c r="AO26" t="s">
        <v>102</v>
      </c>
      <c r="AP26" t="s">
        <v>122</v>
      </c>
      <c r="AQ26" t="s">
        <v>103</v>
      </c>
      <c r="AR26" t="s">
        <v>104</v>
      </c>
      <c r="AS26" t="s">
        <v>105</v>
      </c>
      <c r="AT26" t="s">
        <v>123</v>
      </c>
      <c r="AU26">
        <v>6</v>
      </c>
      <c r="AV26" t="s">
        <v>127</v>
      </c>
      <c r="AW26">
        <v>0.32</v>
      </c>
      <c r="AX26">
        <v>1.66</v>
      </c>
      <c r="AY26">
        <v>-0.69</v>
      </c>
      <c r="AZ26">
        <v>2.2799999999999998</v>
      </c>
      <c r="BA26" t="s">
        <v>97</v>
      </c>
      <c r="BB26" t="s">
        <v>97</v>
      </c>
      <c r="BC26" t="s">
        <v>97</v>
      </c>
      <c r="BD26">
        <v>1</v>
      </c>
      <c r="BE26">
        <v>110.68</v>
      </c>
      <c r="BF26">
        <v>150.41999999999999</v>
      </c>
      <c r="BG26" t="s">
        <v>97</v>
      </c>
      <c r="BH26" t="s">
        <v>97</v>
      </c>
      <c r="BI26">
        <v>666163</v>
      </c>
      <c r="BJ26">
        <v>666163</v>
      </c>
      <c r="BK26" t="s">
        <v>97</v>
      </c>
      <c r="BL26" t="s">
        <v>97</v>
      </c>
      <c r="BM26">
        <v>-7.6909659770000003</v>
      </c>
      <c r="BN26">
        <v>-141.45575890000001</v>
      </c>
      <c r="BO26">
        <v>-9.9432566280000003</v>
      </c>
      <c r="BP26">
        <v>5.9466014109999996</v>
      </c>
      <c r="BQ26">
        <v>29.414630429999999</v>
      </c>
      <c r="BR26">
        <v>-7.794155247</v>
      </c>
      <c r="BS26">
        <v>3.28</v>
      </c>
      <c r="BT26">
        <v>1.53</v>
      </c>
      <c r="BU26">
        <v>12</v>
      </c>
      <c r="BV26">
        <v>92.5</v>
      </c>
      <c r="BW26">
        <v>-10</v>
      </c>
      <c r="BX26">
        <v>98.8</v>
      </c>
      <c r="BY26">
        <v>2692</v>
      </c>
      <c r="BZ26">
        <v>7</v>
      </c>
      <c r="CA26">
        <v>813069</v>
      </c>
      <c r="CB26">
        <v>666163</v>
      </c>
      <c r="CC26">
        <v>666163</v>
      </c>
      <c r="CD26">
        <v>518692</v>
      </c>
      <c r="CE26">
        <v>669242</v>
      </c>
      <c r="CF26">
        <v>571970</v>
      </c>
      <c r="CG26">
        <v>605141</v>
      </c>
      <c r="CH26">
        <v>571771</v>
      </c>
      <c r="CI26">
        <v>681624</v>
      </c>
      <c r="CJ26">
        <v>606192</v>
      </c>
      <c r="CK26">
        <v>53.5</v>
      </c>
      <c r="CL26">
        <v>0.21099999999999999</v>
      </c>
      <c r="CM26">
        <v>0.20100000000000001</v>
      </c>
      <c r="CN26">
        <v>0</v>
      </c>
      <c r="CO26">
        <v>1</v>
      </c>
      <c r="CP26">
        <v>0</v>
      </c>
      <c r="CQ26">
        <v>0</v>
      </c>
      <c r="CR26">
        <v>2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1</v>
      </c>
      <c r="DA26" t="s">
        <v>107</v>
      </c>
      <c r="DB26" t="s">
        <v>107</v>
      </c>
      <c r="DC26">
        <v>154</v>
      </c>
      <c r="DD26">
        <v>1.7999999999999999E-2</v>
      </c>
      <c r="DE26">
        <v>-0.29799999999999999</v>
      </c>
      <c r="DF26">
        <v>69.599999999999994</v>
      </c>
      <c r="DG26">
        <v>6.1</v>
      </c>
    </row>
    <row r="27" spans="1:111" x14ac:dyDescent="0.2">
      <c r="A27">
        <v>2025</v>
      </c>
      <c r="B27" s="1">
        <v>45930</v>
      </c>
      <c r="C27" t="s">
        <v>95</v>
      </c>
      <c r="D27">
        <v>605483</v>
      </c>
      <c r="E27">
        <v>680574</v>
      </c>
      <c r="F27">
        <v>0</v>
      </c>
      <c r="G27">
        <v>0</v>
      </c>
      <c r="H27">
        <v>3</v>
      </c>
      <c r="I27" t="s">
        <v>96</v>
      </c>
      <c r="J27">
        <v>19</v>
      </c>
      <c r="K27">
        <v>1</v>
      </c>
      <c r="L27" t="s">
        <v>136</v>
      </c>
      <c r="M27" t="s">
        <v>98</v>
      </c>
      <c r="N27" t="s">
        <v>99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3"/>
        <v>1</v>
      </c>
      <c r="S27">
        <f t="shared" si="4"/>
        <v>0</v>
      </c>
      <c r="T27">
        <f t="shared" si="5"/>
        <v>0</v>
      </c>
      <c r="U27">
        <f t="shared" si="6"/>
        <v>0</v>
      </c>
      <c r="V27">
        <f t="shared" si="7"/>
        <v>0</v>
      </c>
      <c r="W27">
        <f t="shared" si="8"/>
        <v>0</v>
      </c>
      <c r="X27">
        <f t="shared" si="9"/>
        <v>0</v>
      </c>
      <c r="Y27">
        <f t="shared" si="10"/>
        <v>0</v>
      </c>
      <c r="Z27">
        <f t="shared" si="11"/>
        <v>0</v>
      </c>
      <c r="AA27">
        <f t="shared" si="12"/>
        <v>0</v>
      </c>
      <c r="AB27">
        <f t="shared" si="13"/>
        <v>0</v>
      </c>
      <c r="AC27">
        <f t="shared" si="14"/>
        <v>0</v>
      </c>
      <c r="AD27">
        <f t="shared" si="15"/>
        <v>0</v>
      </c>
      <c r="AE27">
        <v>96.3</v>
      </c>
      <c r="AF27">
        <v>2.0699999999999998</v>
      </c>
      <c r="AG27">
        <v>6.56</v>
      </c>
      <c r="AH27" t="s">
        <v>120</v>
      </c>
      <c r="AI27" t="s">
        <v>97</v>
      </c>
      <c r="AJ27" t="s">
        <v>97</v>
      </c>
      <c r="AK27" t="s">
        <v>97</v>
      </c>
      <c r="AL27" t="s">
        <v>97</v>
      </c>
      <c r="AM27">
        <v>5</v>
      </c>
      <c r="AN27" t="s">
        <v>137</v>
      </c>
      <c r="AO27" t="s">
        <v>102</v>
      </c>
      <c r="AP27" t="s">
        <v>122</v>
      </c>
      <c r="AQ27" t="s">
        <v>103</v>
      </c>
      <c r="AR27" t="s">
        <v>104</v>
      </c>
      <c r="AS27" t="s">
        <v>105</v>
      </c>
      <c r="AT27" t="s">
        <v>123</v>
      </c>
      <c r="AU27">
        <v>7</v>
      </c>
      <c r="AV27" t="s">
        <v>127</v>
      </c>
      <c r="AW27">
        <v>0.21</v>
      </c>
      <c r="AX27">
        <v>1.54</v>
      </c>
      <c r="AY27">
        <v>-0.05</v>
      </c>
      <c r="AZ27">
        <v>2.34</v>
      </c>
      <c r="BA27" t="s">
        <v>97</v>
      </c>
      <c r="BB27" t="s">
        <v>97</v>
      </c>
      <c r="BC27" t="s">
        <v>97</v>
      </c>
      <c r="BD27">
        <v>2</v>
      </c>
      <c r="BE27">
        <v>81.510000000000005</v>
      </c>
      <c r="BF27">
        <v>158.41999999999999</v>
      </c>
      <c r="BG27" t="s">
        <v>97</v>
      </c>
      <c r="BH27" t="s">
        <v>97</v>
      </c>
      <c r="BI27">
        <v>666163</v>
      </c>
      <c r="BJ27">
        <v>666163</v>
      </c>
      <c r="BK27" t="s">
        <v>97</v>
      </c>
      <c r="BL27" t="s">
        <v>97</v>
      </c>
      <c r="BM27">
        <v>-6.1418036620000001</v>
      </c>
      <c r="BN27">
        <v>-139.91105949999999</v>
      </c>
      <c r="BO27">
        <v>-9.1760839450000002</v>
      </c>
      <c r="BP27">
        <v>4.1256059629999999</v>
      </c>
      <c r="BQ27">
        <v>30.709990869999999</v>
      </c>
      <c r="BR27">
        <v>-10.02205391</v>
      </c>
      <c r="BS27">
        <v>3.06</v>
      </c>
      <c r="BT27">
        <v>1.38</v>
      </c>
      <c r="BU27">
        <v>59</v>
      </c>
      <c r="BV27">
        <v>100.8</v>
      </c>
      <c r="BW27">
        <v>2</v>
      </c>
      <c r="BX27">
        <v>96.7</v>
      </c>
      <c r="BY27">
        <v>2529</v>
      </c>
      <c r="BZ27">
        <v>6.6</v>
      </c>
      <c r="CA27">
        <v>813069</v>
      </c>
      <c r="CB27">
        <v>666163</v>
      </c>
      <c r="CC27">
        <v>666163</v>
      </c>
      <c r="CD27">
        <v>518692</v>
      </c>
      <c r="CE27">
        <v>669242</v>
      </c>
      <c r="CF27">
        <v>571970</v>
      </c>
      <c r="CG27">
        <v>605141</v>
      </c>
      <c r="CH27">
        <v>571771</v>
      </c>
      <c r="CI27">
        <v>681624</v>
      </c>
      <c r="CJ27">
        <v>606192</v>
      </c>
      <c r="CK27">
        <v>53.95</v>
      </c>
      <c r="CL27">
        <v>0.5</v>
      </c>
      <c r="CM27">
        <v>0.47699999999999998</v>
      </c>
      <c r="CN27">
        <v>1.25</v>
      </c>
      <c r="CO27">
        <v>1</v>
      </c>
      <c r="CP27">
        <v>1</v>
      </c>
      <c r="CQ27">
        <v>1</v>
      </c>
      <c r="CR27">
        <v>4</v>
      </c>
      <c r="CS27">
        <v>1</v>
      </c>
      <c r="CT27">
        <v>0</v>
      </c>
      <c r="CU27">
        <v>0</v>
      </c>
      <c r="CV27">
        <v>1</v>
      </c>
      <c r="CW27">
        <v>0</v>
      </c>
      <c r="CX27">
        <v>1</v>
      </c>
      <c r="CY27">
        <v>0</v>
      </c>
      <c r="CZ27">
        <v>1</v>
      </c>
      <c r="DA27" t="s">
        <v>107</v>
      </c>
      <c r="DB27" t="s">
        <v>107</v>
      </c>
      <c r="DC27">
        <v>156</v>
      </c>
      <c r="DD27">
        <v>-2.5999999999999999E-2</v>
      </c>
      <c r="DE27">
        <v>0.57899999999999996</v>
      </c>
      <c r="DF27">
        <v>74.900000000000006</v>
      </c>
      <c r="DG27">
        <v>7.5</v>
      </c>
    </row>
    <row r="28" spans="1:111" x14ac:dyDescent="0.2">
      <c r="A28">
        <v>2025</v>
      </c>
      <c r="B28" s="1">
        <v>45930</v>
      </c>
      <c r="C28" t="s">
        <v>95</v>
      </c>
      <c r="D28">
        <v>605483</v>
      </c>
      <c r="E28">
        <v>670770</v>
      </c>
      <c r="F28">
        <v>0</v>
      </c>
      <c r="G28">
        <v>0</v>
      </c>
      <c r="H28">
        <v>3</v>
      </c>
      <c r="I28" t="s">
        <v>96</v>
      </c>
      <c r="J28">
        <v>20</v>
      </c>
      <c r="K28">
        <v>1</v>
      </c>
      <c r="L28" t="s">
        <v>97</v>
      </c>
      <c r="M28" t="s">
        <v>138</v>
      </c>
      <c r="N28" t="s">
        <v>139</v>
      </c>
      <c r="O28">
        <f t="shared" si="0"/>
        <v>0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0</v>
      </c>
      <c r="U28">
        <f t="shared" si="6"/>
        <v>0</v>
      </c>
      <c r="V28">
        <f t="shared" si="7"/>
        <v>0</v>
      </c>
      <c r="W28">
        <f t="shared" si="8"/>
        <v>0</v>
      </c>
      <c r="X28">
        <f t="shared" si="9"/>
        <v>0</v>
      </c>
      <c r="Y28">
        <f t="shared" si="10"/>
        <v>0</v>
      </c>
      <c r="Z28">
        <f t="shared" si="11"/>
        <v>0</v>
      </c>
      <c r="AA28">
        <f t="shared" si="12"/>
        <v>1</v>
      </c>
      <c r="AB28">
        <f t="shared" si="13"/>
        <v>0</v>
      </c>
      <c r="AC28">
        <f t="shared" si="14"/>
        <v>0</v>
      </c>
      <c r="AD28">
        <f t="shared" si="15"/>
        <v>0</v>
      </c>
      <c r="AE28">
        <v>91</v>
      </c>
      <c r="AF28">
        <v>1.93</v>
      </c>
      <c r="AG28">
        <v>6.52</v>
      </c>
      <c r="AH28" t="s">
        <v>140</v>
      </c>
      <c r="AI28" t="s">
        <v>97</v>
      </c>
      <c r="AJ28" t="s">
        <v>97</v>
      </c>
      <c r="AK28" t="s">
        <v>97</v>
      </c>
      <c r="AL28" t="s">
        <v>97</v>
      </c>
      <c r="AM28">
        <v>13</v>
      </c>
      <c r="AN28" t="s">
        <v>141</v>
      </c>
      <c r="AO28" t="s">
        <v>102</v>
      </c>
      <c r="AP28" t="s">
        <v>103</v>
      </c>
      <c r="AQ28" t="s">
        <v>103</v>
      </c>
      <c r="AR28" t="s">
        <v>104</v>
      </c>
      <c r="AS28" t="s">
        <v>105</v>
      </c>
      <c r="AT28" t="s">
        <v>106</v>
      </c>
      <c r="AU28" t="s">
        <v>97</v>
      </c>
      <c r="AV28" t="s">
        <v>97</v>
      </c>
      <c r="AW28">
        <v>0.12</v>
      </c>
      <c r="AX28">
        <v>0.6</v>
      </c>
      <c r="AY28">
        <v>-0.93</v>
      </c>
      <c r="AZ28">
        <v>0.86</v>
      </c>
      <c r="BA28" t="s">
        <v>97</v>
      </c>
      <c r="BB28">
        <v>680574</v>
      </c>
      <c r="BC28" t="s">
        <v>97</v>
      </c>
      <c r="BD28">
        <v>2</v>
      </c>
      <c r="BE28" t="s">
        <v>97</v>
      </c>
      <c r="BF28" t="s">
        <v>97</v>
      </c>
      <c r="BG28" t="s">
        <v>97</v>
      </c>
      <c r="BH28" t="s">
        <v>97</v>
      </c>
      <c r="BI28">
        <v>666163</v>
      </c>
      <c r="BJ28">
        <v>666163</v>
      </c>
      <c r="BK28" t="s">
        <v>97</v>
      </c>
      <c r="BL28" t="s">
        <v>97</v>
      </c>
      <c r="BM28">
        <v>-7.4988510990000004</v>
      </c>
      <c r="BN28">
        <v>-132.26858770000001</v>
      </c>
      <c r="BO28">
        <v>-9.749871808</v>
      </c>
      <c r="BP28">
        <v>2.7504041749999999</v>
      </c>
      <c r="BQ28">
        <v>23.050654420000001</v>
      </c>
      <c r="BR28">
        <v>-23.399993129999999</v>
      </c>
      <c r="BS28">
        <v>3.25</v>
      </c>
      <c r="BT28">
        <v>1.48</v>
      </c>
      <c r="BU28" t="s">
        <v>97</v>
      </c>
      <c r="BV28" t="s">
        <v>97</v>
      </c>
      <c r="BW28" t="s">
        <v>97</v>
      </c>
      <c r="BX28">
        <v>92.5</v>
      </c>
      <c r="BY28">
        <v>2508</v>
      </c>
      <c r="BZ28">
        <v>6.8</v>
      </c>
      <c r="CA28">
        <v>813069</v>
      </c>
      <c r="CB28">
        <v>666163</v>
      </c>
      <c r="CC28">
        <v>666163</v>
      </c>
      <c r="CD28">
        <v>518692</v>
      </c>
      <c r="CE28">
        <v>669242</v>
      </c>
      <c r="CF28">
        <v>571970</v>
      </c>
      <c r="CG28">
        <v>605141</v>
      </c>
      <c r="CH28">
        <v>571771</v>
      </c>
      <c r="CI28">
        <v>681624</v>
      </c>
      <c r="CJ28">
        <v>606192</v>
      </c>
      <c r="CK28">
        <v>53.67</v>
      </c>
      <c r="CL28" t="s">
        <v>97</v>
      </c>
      <c r="CM28" t="s">
        <v>97</v>
      </c>
      <c r="CN28" t="s">
        <v>97</v>
      </c>
      <c r="CO28" t="s">
        <v>97</v>
      </c>
      <c r="CP28" t="s">
        <v>97</v>
      </c>
      <c r="CQ28" t="s">
        <v>97</v>
      </c>
      <c r="CR28" t="s">
        <v>97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1</v>
      </c>
      <c r="DA28" t="s">
        <v>107</v>
      </c>
      <c r="DB28" t="s">
        <v>107</v>
      </c>
      <c r="DC28">
        <v>161</v>
      </c>
      <c r="DD28">
        <v>0</v>
      </c>
      <c r="DE28">
        <v>1.9E-2</v>
      </c>
      <c r="DF28" t="s">
        <v>97</v>
      </c>
      <c r="DG28" t="s">
        <v>97</v>
      </c>
    </row>
    <row r="29" spans="1:111" x14ac:dyDescent="0.2">
      <c r="A29">
        <v>2025</v>
      </c>
      <c r="B29" s="1">
        <v>45930</v>
      </c>
      <c r="C29" t="s">
        <v>95</v>
      </c>
      <c r="D29">
        <v>605483</v>
      </c>
      <c r="E29">
        <v>670770</v>
      </c>
      <c r="F29">
        <v>1</v>
      </c>
      <c r="G29">
        <v>0</v>
      </c>
      <c r="H29">
        <v>3</v>
      </c>
      <c r="I29" t="s">
        <v>96</v>
      </c>
      <c r="J29">
        <v>20</v>
      </c>
      <c r="K29">
        <v>2</v>
      </c>
      <c r="L29" t="s">
        <v>97</v>
      </c>
      <c r="M29" t="s">
        <v>138</v>
      </c>
      <c r="N29" t="s">
        <v>139</v>
      </c>
      <c r="O29">
        <f t="shared" si="0"/>
        <v>0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0</v>
      </c>
      <c r="U29">
        <f t="shared" si="6"/>
        <v>0</v>
      </c>
      <c r="V29">
        <f t="shared" si="7"/>
        <v>0</v>
      </c>
      <c r="W29">
        <f t="shared" si="8"/>
        <v>0</v>
      </c>
      <c r="X29">
        <f t="shared" si="9"/>
        <v>0</v>
      </c>
      <c r="Y29">
        <f t="shared" si="10"/>
        <v>0</v>
      </c>
      <c r="Z29">
        <f t="shared" si="11"/>
        <v>0</v>
      </c>
      <c r="AA29">
        <f t="shared" si="12"/>
        <v>0</v>
      </c>
      <c r="AB29">
        <f t="shared" si="13"/>
        <v>0</v>
      </c>
      <c r="AC29">
        <f t="shared" si="14"/>
        <v>1</v>
      </c>
      <c r="AD29">
        <f t="shared" si="15"/>
        <v>0</v>
      </c>
      <c r="AE29">
        <v>90.3</v>
      </c>
      <c r="AF29">
        <v>1.89</v>
      </c>
      <c r="AG29">
        <v>6.57</v>
      </c>
      <c r="AH29" t="s">
        <v>100</v>
      </c>
      <c r="AI29" t="s">
        <v>97</v>
      </c>
      <c r="AJ29" t="s">
        <v>97</v>
      </c>
      <c r="AK29" t="s">
        <v>97</v>
      </c>
      <c r="AL29" t="s">
        <v>97</v>
      </c>
      <c r="AM29">
        <v>12</v>
      </c>
      <c r="AN29" t="s">
        <v>101</v>
      </c>
      <c r="AO29" t="s">
        <v>102</v>
      </c>
      <c r="AP29" t="s">
        <v>103</v>
      </c>
      <c r="AQ29" t="s">
        <v>103</v>
      </c>
      <c r="AR29" t="s">
        <v>104</v>
      </c>
      <c r="AS29" t="s">
        <v>105</v>
      </c>
      <c r="AT29" t="s">
        <v>106</v>
      </c>
      <c r="AU29" t="s">
        <v>97</v>
      </c>
      <c r="AV29" t="s">
        <v>97</v>
      </c>
      <c r="AW29">
        <v>-0.28999999999999998</v>
      </c>
      <c r="AX29">
        <v>0.71</v>
      </c>
      <c r="AY29">
        <v>0.17</v>
      </c>
      <c r="AZ29">
        <v>3.53</v>
      </c>
      <c r="BA29" t="s">
        <v>97</v>
      </c>
      <c r="BB29">
        <v>680574</v>
      </c>
      <c r="BC29" t="s">
        <v>97</v>
      </c>
      <c r="BD29">
        <v>2</v>
      </c>
      <c r="BE29" t="s">
        <v>97</v>
      </c>
      <c r="BF29" t="s">
        <v>97</v>
      </c>
      <c r="BG29" t="s">
        <v>97</v>
      </c>
      <c r="BH29" t="s">
        <v>97</v>
      </c>
      <c r="BI29">
        <v>666163</v>
      </c>
      <c r="BJ29">
        <v>666163</v>
      </c>
      <c r="BK29" t="s">
        <v>97</v>
      </c>
      <c r="BL29" t="s">
        <v>97</v>
      </c>
      <c r="BM29">
        <v>-3.7053406459999998</v>
      </c>
      <c r="BN29">
        <v>-131.47023569999999</v>
      </c>
      <c r="BO29">
        <v>-3.1686445189999999</v>
      </c>
      <c r="BP29">
        <v>-2.5550666679999998</v>
      </c>
      <c r="BQ29">
        <v>27.338177770000001</v>
      </c>
      <c r="BR29">
        <v>-23.487109629999999</v>
      </c>
      <c r="BS29">
        <v>3.2</v>
      </c>
      <c r="BT29">
        <v>1.48</v>
      </c>
      <c r="BU29" t="s">
        <v>97</v>
      </c>
      <c r="BV29" t="s">
        <v>97</v>
      </c>
      <c r="BW29" t="s">
        <v>97</v>
      </c>
      <c r="BX29">
        <v>90.7</v>
      </c>
      <c r="BY29">
        <v>2490</v>
      </c>
      <c r="BZ29">
        <v>6.5</v>
      </c>
      <c r="CA29">
        <v>813069</v>
      </c>
      <c r="CB29">
        <v>666163</v>
      </c>
      <c r="CC29">
        <v>666163</v>
      </c>
      <c r="CD29">
        <v>518692</v>
      </c>
      <c r="CE29">
        <v>669242</v>
      </c>
      <c r="CF29">
        <v>571970</v>
      </c>
      <c r="CG29">
        <v>605141</v>
      </c>
      <c r="CH29">
        <v>571771</v>
      </c>
      <c r="CI29">
        <v>681624</v>
      </c>
      <c r="CJ29">
        <v>606192</v>
      </c>
      <c r="CK29">
        <v>54.05</v>
      </c>
      <c r="CL29" t="s">
        <v>97</v>
      </c>
      <c r="CM29" t="s">
        <v>97</v>
      </c>
      <c r="CN29" t="s">
        <v>97</v>
      </c>
      <c r="CO29" t="s">
        <v>97</v>
      </c>
      <c r="CP29" t="s">
        <v>97</v>
      </c>
      <c r="CQ29" t="s">
        <v>97</v>
      </c>
      <c r="CR29" t="s">
        <v>97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1</v>
      </c>
      <c r="DA29" t="s">
        <v>107</v>
      </c>
      <c r="DB29" t="s">
        <v>107</v>
      </c>
      <c r="DC29">
        <v>174</v>
      </c>
      <c r="DD29">
        <v>0</v>
      </c>
      <c r="DE29">
        <v>2.8000000000000001E-2</v>
      </c>
      <c r="DF29" t="s">
        <v>97</v>
      </c>
      <c r="DG29" t="s">
        <v>97</v>
      </c>
    </row>
    <row r="30" spans="1:111" x14ac:dyDescent="0.2">
      <c r="A30">
        <v>2025</v>
      </c>
      <c r="B30" s="1">
        <v>45930</v>
      </c>
      <c r="C30" t="s">
        <v>95</v>
      </c>
      <c r="D30">
        <v>605483</v>
      </c>
      <c r="E30">
        <v>670770</v>
      </c>
      <c r="F30">
        <v>2</v>
      </c>
      <c r="G30">
        <v>0</v>
      </c>
      <c r="H30">
        <v>3</v>
      </c>
      <c r="I30" t="s">
        <v>96</v>
      </c>
      <c r="J30">
        <v>20</v>
      </c>
      <c r="K30">
        <v>3</v>
      </c>
      <c r="L30" t="s">
        <v>97</v>
      </c>
      <c r="M30" t="s">
        <v>111</v>
      </c>
      <c r="N30" t="s">
        <v>112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1</v>
      </c>
      <c r="U30">
        <f t="shared" si="6"/>
        <v>0</v>
      </c>
      <c r="V30">
        <f t="shared" si="7"/>
        <v>0</v>
      </c>
      <c r="W30">
        <f t="shared" si="8"/>
        <v>0</v>
      </c>
      <c r="X30">
        <f t="shared" si="9"/>
        <v>0</v>
      </c>
      <c r="Y30">
        <f t="shared" si="10"/>
        <v>0</v>
      </c>
      <c r="Z30">
        <f t="shared" si="11"/>
        <v>0</v>
      </c>
      <c r="AA30">
        <f t="shared" si="12"/>
        <v>0</v>
      </c>
      <c r="AB30">
        <f t="shared" si="13"/>
        <v>0</v>
      </c>
      <c r="AC30">
        <f t="shared" si="14"/>
        <v>0</v>
      </c>
      <c r="AD30">
        <f t="shared" si="15"/>
        <v>0</v>
      </c>
      <c r="AE30">
        <v>80.3</v>
      </c>
      <c r="AF30">
        <v>1.83</v>
      </c>
      <c r="AG30">
        <v>6.57</v>
      </c>
      <c r="AH30" t="s">
        <v>108</v>
      </c>
      <c r="AI30" t="s">
        <v>97</v>
      </c>
      <c r="AJ30" t="s">
        <v>97</v>
      </c>
      <c r="AK30" t="s">
        <v>97</v>
      </c>
      <c r="AL30" t="s">
        <v>97</v>
      </c>
      <c r="AM30">
        <v>5</v>
      </c>
      <c r="AN30" t="s">
        <v>109</v>
      </c>
      <c r="AO30" t="s">
        <v>102</v>
      </c>
      <c r="AP30" t="s">
        <v>103</v>
      </c>
      <c r="AQ30" t="s">
        <v>103</v>
      </c>
      <c r="AR30" t="s">
        <v>104</v>
      </c>
      <c r="AS30" t="s">
        <v>105</v>
      </c>
      <c r="AT30" t="s">
        <v>110</v>
      </c>
      <c r="AU30" t="s">
        <v>97</v>
      </c>
      <c r="AV30" t="s">
        <v>97</v>
      </c>
      <c r="AW30">
        <v>-0.96</v>
      </c>
      <c r="AX30">
        <v>-0.48</v>
      </c>
      <c r="AY30">
        <v>0.01</v>
      </c>
      <c r="AZ30">
        <v>2.13</v>
      </c>
      <c r="BA30" t="s">
        <v>97</v>
      </c>
      <c r="BB30">
        <v>680574</v>
      </c>
      <c r="BC30" t="s">
        <v>97</v>
      </c>
      <c r="BD30">
        <v>2</v>
      </c>
      <c r="BE30" t="s">
        <v>97</v>
      </c>
      <c r="BF30" t="s">
        <v>97</v>
      </c>
      <c r="BG30" t="s">
        <v>97</v>
      </c>
      <c r="BH30" t="s">
        <v>97</v>
      </c>
      <c r="BI30">
        <v>666163</v>
      </c>
      <c r="BJ30">
        <v>666163</v>
      </c>
      <c r="BK30" t="s">
        <v>97</v>
      </c>
      <c r="BL30" t="s">
        <v>97</v>
      </c>
      <c r="BM30">
        <v>-2.2301106480000001</v>
      </c>
      <c r="BN30">
        <v>-116.9868723</v>
      </c>
      <c r="BO30">
        <v>-2.2399184679999999</v>
      </c>
      <c r="BP30">
        <v>-8.3705379559999997</v>
      </c>
      <c r="BQ30">
        <v>22.08605532</v>
      </c>
      <c r="BR30">
        <v>-36.37083019</v>
      </c>
      <c r="BS30">
        <v>3.21</v>
      </c>
      <c r="BT30">
        <v>1.48</v>
      </c>
      <c r="BU30" t="s">
        <v>97</v>
      </c>
      <c r="BV30" t="s">
        <v>97</v>
      </c>
      <c r="BW30" t="s">
        <v>97</v>
      </c>
      <c r="BX30">
        <v>80.8</v>
      </c>
      <c r="BY30">
        <v>2667</v>
      </c>
      <c r="BZ30">
        <v>6.6</v>
      </c>
      <c r="CA30">
        <v>813069</v>
      </c>
      <c r="CB30">
        <v>666163</v>
      </c>
      <c r="CC30">
        <v>666163</v>
      </c>
      <c r="CD30">
        <v>518692</v>
      </c>
      <c r="CE30">
        <v>669242</v>
      </c>
      <c r="CF30">
        <v>571970</v>
      </c>
      <c r="CG30">
        <v>605141</v>
      </c>
      <c r="CH30">
        <v>571771</v>
      </c>
      <c r="CI30">
        <v>681624</v>
      </c>
      <c r="CJ30">
        <v>606192</v>
      </c>
      <c r="CK30">
        <v>53.9</v>
      </c>
      <c r="CL30" t="s">
        <v>97</v>
      </c>
      <c r="CM30" t="s">
        <v>97</v>
      </c>
      <c r="CN30" t="s">
        <v>97</v>
      </c>
      <c r="CO30" t="s">
        <v>97</v>
      </c>
      <c r="CP30" t="s">
        <v>97</v>
      </c>
      <c r="CQ30" t="s">
        <v>97</v>
      </c>
      <c r="CR30" t="s">
        <v>97</v>
      </c>
      <c r="CS30">
        <v>1</v>
      </c>
      <c r="CT30">
        <v>0</v>
      </c>
      <c r="CU30">
        <v>0</v>
      </c>
      <c r="CV30">
        <v>1</v>
      </c>
      <c r="CW30">
        <v>0</v>
      </c>
      <c r="CX30">
        <v>1</v>
      </c>
      <c r="CY30">
        <v>0</v>
      </c>
      <c r="CZ30">
        <v>1</v>
      </c>
      <c r="DA30" t="s">
        <v>107</v>
      </c>
      <c r="DB30" t="s">
        <v>107</v>
      </c>
      <c r="DC30">
        <v>321</v>
      </c>
      <c r="DD30">
        <v>0</v>
      </c>
      <c r="DE30">
        <v>-5.0999999999999997E-2</v>
      </c>
      <c r="DF30" t="s">
        <v>97</v>
      </c>
      <c r="DG30" t="s">
        <v>97</v>
      </c>
    </row>
    <row r="31" spans="1:111" x14ac:dyDescent="0.2">
      <c r="A31">
        <v>2025</v>
      </c>
      <c r="B31" s="1">
        <v>45930</v>
      </c>
      <c r="C31" t="s">
        <v>95</v>
      </c>
      <c r="D31">
        <v>605483</v>
      </c>
      <c r="E31">
        <v>670770</v>
      </c>
      <c r="F31">
        <v>2</v>
      </c>
      <c r="G31">
        <v>1</v>
      </c>
      <c r="H31">
        <v>3</v>
      </c>
      <c r="I31" t="s">
        <v>96</v>
      </c>
      <c r="J31">
        <v>20</v>
      </c>
      <c r="K31">
        <v>4</v>
      </c>
      <c r="L31" t="s">
        <v>97</v>
      </c>
      <c r="M31" t="s">
        <v>98</v>
      </c>
      <c r="N31" t="s">
        <v>99</v>
      </c>
      <c r="O31">
        <f t="shared" si="0"/>
        <v>0</v>
      </c>
      <c r="P31">
        <f t="shared" si="1"/>
        <v>1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  <c r="U31">
        <f t="shared" si="6"/>
        <v>0</v>
      </c>
      <c r="V31">
        <f t="shared" si="7"/>
        <v>0</v>
      </c>
      <c r="W31">
        <f t="shared" si="8"/>
        <v>0</v>
      </c>
      <c r="X31">
        <f t="shared" si="9"/>
        <v>0</v>
      </c>
      <c r="Y31">
        <f t="shared" si="10"/>
        <v>0</v>
      </c>
      <c r="Z31">
        <f t="shared" si="11"/>
        <v>0</v>
      </c>
      <c r="AA31">
        <f t="shared" si="12"/>
        <v>0</v>
      </c>
      <c r="AB31">
        <f t="shared" si="13"/>
        <v>0</v>
      </c>
      <c r="AC31">
        <f t="shared" si="14"/>
        <v>0</v>
      </c>
      <c r="AD31">
        <f t="shared" si="15"/>
        <v>0</v>
      </c>
      <c r="AE31">
        <v>95.7</v>
      </c>
      <c r="AF31">
        <v>1.85</v>
      </c>
      <c r="AG31">
        <v>6.52</v>
      </c>
      <c r="AH31" t="s">
        <v>100</v>
      </c>
      <c r="AI31" t="s">
        <v>97</v>
      </c>
      <c r="AJ31" t="s">
        <v>97</v>
      </c>
      <c r="AK31" t="s">
        <v>97</v>
      </c>
      <c r="AL31" t="s">
        <v>97</v>
      </c>
      <c r="AM31">
        <v>12</v>
      </c>
      <c r="AN31" t="s">
        <v>101</v>
      </c>
      <c r="AO31" t="s">
        <v>102</v>
      </c>
      <c r="AP31" t="s">
        <v>103</v>
      </c>
      <c r="AQ31" t="s">
        <v>103</v>
      </c>
      <c r="AR31" t="s">
        <v>104</v>
      </c>
      <c r="AS31" t="s">
        <v>105</v>
      </c>
      <c r="AT31" t="s">
        <v>106</v>
      </c>
      <c r="AU31" t="s">
        <v>97</v>
      </c>
      <c r="AV31" t="s">
        <v>97</v>
      </c>
      <c r="AW31">
        <v>0.46</v>
      </c>
      <c r="AX31">
        <v>1.48</v>
      </c>
      <c r="AY31">
        <v>0.36</v>
      </c>
      <c r="AZ31">
        <v>3.81</v>
      </c>
      <c r="BA31" t="s">
        <v>97</v>
      </c>
      <c r="BB31">
        <v>680574</v>
      </c>
      <c r="BC31" t="s">
        <v>97</v>
      </c>
      <c r="BD31">
        <v>2</v>
      </c>
      <c r="BE31" t="s">
        <v>97</v>
      </c>
      <c r="BF31" t="s">
        <v>97</v>
      </c>
      <c r="BG31" t="s">
        <v>97</v>
      </c>
      <c r="BH31" t="s">
        <v>97</v>
      </c>
      <c r="BI31">
        <v>666163</v>
      </c>
      <c r="BJ31">
        <v>666163</v>
      </c>
      <c r="BK31" t="s">
        <v>97</v>
      </c>
      <c r="BL31" t="s">
        <v>97</v>
      </c>
      <c r="BM31">
        <v>-5.0276331609999998</v>
      </c>
      <c r="BN31">
        <v>-139.29302509999999</v>
      </c>
      <c r="BO31">
        <v>-4.9126419820000002</v>
      </c>
      <c r="BP31">
        <v>7.0729590959999999</v>
      </c>
      <c r="BQ31">
        <v>30.670521969999999</v>
      </c>
      <c r="BR31">
        <v>-12.02260261</v>
      </c>
      <c r="BS31">
        <v>3.18</v>
      </c>
      <c r="BT31">
        <v>1.48</v>
      </c>
      <c r="BU31" t="s">
        <v>97</v>
      </c>
      <c r="BV31" t="s">
        <v>97</v>
      </c>
      <c r="BW31" t="s">
        <v>97</v>
      </c>
      <c r="BX31">
        <v>96.6</v>
      </c>
      <c r="BY31">
        <v>2460</v>
      </c>
      <c r="BZ31">
        <v>6.7</v>
      </c>
      <c r="CA31">
        <v>813069</v>
      </c>
      <c r="CB31">
        <v>666163</v>
      </c>
      <c r="CC31">
        <v>666163</v>
      </c>
      <c r="CD31">
        <v>518692</v>
      </c>
      <c r="CE31">
        <v>669242</v>
      </c>
      <c r="CF31">
        <v>571970</v>
      </c>
      <c r="CG31">
        <v>605141</v>
      </c>
      <c r="CH31">
        <v>571771</v>
      </c>
      <c r="CI31">
        <v>681624</v>
      </c>
      <c r="CJ31">
        <v>606192</v>
      </c>
      <c r="CK31">
        <v>53.76</v>
      </c>
      <c r="CL31" t="s">
        <v>97</v>
      </c>
      <c r="CM31" t="s">
        <v>97</v>
      </c>
      <c r="CN31" t="s">
        <v>97</v>
      </c>
      <c r="CO31" t="s">
        <v>97</v>
      </c>
      <c r="CP31" t="s">
        <v>97</v>
      </c>
      <c r="CQ31" t="s">
        <v>97</v>
      </c>
      <c r="CR31" t="s">
        <v>97</v>
      </c>
      <c r="CS31">
        <v>1</v>
      </c>
      <c r="CT31">
        <v>0</v>
      </c>
      <c r="CU31">
        <v>0</v>
      </c>
      <c r="CV31">
        <v>1</v>
      </c>
      <c r="CW31">
        <v>0</v>
      </c>
      <c r="CX31">
        <v>1</v>
      </c>
      <c r="CY31">
        <v>0</v>
      </c>
      <c r="CZ31">
        <v>1</v>
      </c>
      <c r="DA31" t="s">
        <v>107</v>
      </c>
      <c r="DB31" t="s">
        <v>107</v>
      </c>
      <c r="DC31">
        <v>156</v>
      </c>
      <c r="DD31">
        <v>0</v>
      </c>
      <c r="DE31">
        <v>5.5E-2</v>
      </c>
      <c r="DF31" t="s">
        <v>97</v>
      </c>
      <c r="DG31" t="s">
        <v>97</v>
      </c>
    </row>
    <row r="32" spans="1:111" x14ac:dyDescent="0.2">
      <c r="A32">
        <v>2025</v>
      </c>
      <c r="B32" s="1">
        <v>45930</v>
      </c>
      <c r="C32" t="s">
        <v>95</v>
      </c>
      <c r="D32">
        <v>605483</v>
      </c>
      <c r="E32">
        <v>670770</v>
      </c>
      <c r="F32">
        <v>3</v>
      </c>
      <c r="G32">
        <v>1</v>
      </c>
      <c r="H32">
        <v>3</v>
      </c>
      <c r="I32" t="s">
        <v>96</v>
      </c>
      <c r="J32">
        <v>20</v>
      </c>
      <c r="K32">
        <v>5</v>
      </c>
      <c r="L32" t="s">
        <v>142</v>
      </c>
      <c r="M32" t="s">
        <v>111</v>
      </c>
      <c r="N32" t="s">
        <v>112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  <c r="U32">
        <f t="shared" si="6"/>
        <v>1</v>
      </c>
      <c r="V32">
        <f t="shared" si="7"/>
        <v>0</v>
      </c>
      <c r="W32">
        <f t="shared" si="8"/>
        <v>0</v>
      </c>
      <c r="X32">
        <f t="shared" si="9"/>
        <v>0</v>
      </c>
      <c r="Y32">
        <f t="shared" si="10"/>
        <v>0</v>
      </c>
      <c r="Z32">
        <f t="shared" si="11"/>
        <v>0</v>
      </c>
      <c r="AA32">
        <f t="shared" si="12"/>
        <v>0</v>
      </c>
      <c r="AB32">
        <f t="shared" si="13"/>
        <v>0</v>
      </c>
      <c r="AC32">
        <f t="shared" si="14"/>
        <v>0</v>
      </c>
      <c r="AD32">
        <f t="shared" si="15"/>
        <v>0</v>
      </c>
      <c r="AE32">
        <v>81.5</v>
      </c>
      <c r="AF32">
        <v>1.79</v>
      </c>
      <c r="AG32">
        <v>6.58</v>
      </c>
      <c r="AH32" t="s">
        <v>100</v>
      </c>
      <c r="AI32" t="s">
        <v>97</v>
      </c>
      <c r="AJ32" t="s">
        <v>97</v>
      </c>
      <c r="AK32" t="s">
        <v>97</v>
      </c>
      <c r="AL32" t="s">
        <v>97</v>
      </c>
      <c r="AM32">
        <v>13</v>
      </c>
      <c r="AN32" t="s">
        <v>143</v>
      </c>
      <c r="AO32" t="s">
        <v>102</v>
      </c>
      <c r="AP32" t="s">
        <v>103</v>
      </c>
      <c r="AQ32" t="s">
        <v>103</v>
      </c>
      <c r="AR32" t="s">
        <v>104</v>
      </c>
      <c r="AS32" t="s">
        <v>105</v>
      </c>
      <c r="AT32" t="s">
        <v>106</v>
      </c>
      <c r="AU32" t="s">
        <v>97</v>
      </c>
      <c r="AV32" t="s">
        <v>97</v>
      </c>
      <c r="AW32">
        <v>-1.1000000000000001</v>
      </c>
      <c r="AX32">
        <v>-0.06</v>
      </c>
      <c r="AY32">
        <v>-1.1000000000000001</v>
      </c>
      <c r="AZ32">
        <v>1.43</v>
      </c>
      <c r="BA32" t="s">
        <v>97</v>
      </c>
      <c r="BB32">
        <v>680574</v>
      </c>
      <c r="BC32" t="s">
        <v>97</v>
      </c>
      <c r="BD32">
        <v>2</v>
      </c>
      <c r="BE32" t="s">
        <v>97</v>
      </c>
      <c r="BF32" t="s">
        <v>97</v>
      </c>
      <c r="BG32" t="s">
        <v>97</v>
      </c>
      <c r="BH32" t="s">
        <v>97</v>
      </c>
      <c r="BI32">
        <v>666163</v>
      </c>
      <c r="BJ32">
        <v>666163</v>
      </c>
      <c r="BK32" t="s">
        <v>97</v>
      </c>
      <c r="BL32" t="s">
        <v>97</v>
      </c>
      <c r="BM32">
        <v>-4.4037658220000004</v>
      </c>
      <c r="BN32">
        <v>-118.60719229999999</v>
      </c>
      <c r="BO32">
        <v>-4.8727863009999997</v>
      </c>
      <c r="BP32">
        <v>-9.5025293550000001</v>
      </c>
      <c r="BQ32">
        <v>23.51218356</v>
      </c>
      <c r="BR32">
        <v>-31.980896139999999</v>
      </c>
      <c r="BS32">
        <v>3.16</v>
      </c>
      <c r="BT32">
        <v>1.48</v>
      </c>
      <c r="BU32" t="s">
        <v>97</v>
      </c>
      <c r="BV32" t="s">
        <v>97</v>
      </c>
      <c r="BW32" t="s">
        <v>97</v>
      </c>
      <c r="BX32">
        <v>81.900000000000006</v>
      </c>
      <c r="BY32">
        <v>2694</v>
      </c>
      <c r="BZ32">
        <v>6.6</v>
      </c>
      <c r="CA32">
        <v>813069</v>
      </c>
      <c r="CB32">
        <v>666163</v>
      </c>
      <c r="CC32">
        <v>666163</v>
      </c>
      <c r="CD32">
        <v>518692</v>
      </c>
      <c r="CE32">
        <v>669242</v>
      </c>
      <c r="CF32">
        <v>571970</v>
      </c>
      <c r="CG32">
        <v>605141</v>
      </c>
      <c r="CH32">
        <v>571771</v>
      </c>
      <c r="CI32">
        <v>681624</v>
      </c>
      <c r="CJ32">
        <v>606192</v>
      </c>
      <c r="CK32">
        <v>53.88</v>
      </c>
      <c r="CL32" t="s">
        <v>97</v>
      </c>
      <c r="CM32">
        <v>0.69149700000000003</v>
      </c>
      <c r="CN32">
        <v>0.7</v>
      </c>
      <c r="CO32">
        <v>1</v>
      </c>
      <c r="CP32">
        <v>0</v>
      </c>
      <c r="CQ32">
        <v>0</v>
      </c>
      <c r="CR32" t="s">
        <v>97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1</v>
      </c>
      <c r="CY32">
        <v>0</v>
      </c>
      <c r="CZ32">
        <v>1</v>
      </c>
      <c r="DA32" t="s">
        <v>107</v>
      </c>
      <c r="DB32" t="s">
        <v>107</v>
      </c>
      <c r="DC32">
        <v>322</v>
      </c>
      <c r="DD32">
        <v>-1.2E-2</v>
      </c>
      <c r="DE32">
        <v>7.1999999999999995E-2</v>
      </c>
      <c r="DF32" t="s">
        <v>97</v>
      </c>
      <c r="DG32" t="s">
        <v>97</v>
      </c>
    </row>
    <row r="33" spans="1:111" x14ac:dyDescent="0.2">
      <c r="A33">
        <v>2025</v>
      </c>
      <c r="B33" s="1">
        <v>45930</v>
      </c>
      <c r="C33" t="s">
        <v>95</v>
      </c>
      <c r="D33">
        <v>605483</v>
      </c>
      <c r="E33">
        <v>682622</v>
      </c>
      <c r="F33">
        <v>0</v>
      </c>
      <c r="G33">
        <v>0</v>
      </c>
      <c r="H33">
        <v>3</v>
      </c>
      <c r="I33" t="s">
        <v>96</v>
      </c>
      <c r="J33">
        <v>21</v>
      </c>
      <c r="K33">
        <v>1</v>
      </c>
      <c r="L33" t="s">
        <v>97</v>
      </c>
      <c r="M33" t="s">
        <v>132</v>
      </c>
      <c r="N33" t="s">
        <v>133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  <c r="U33">
        <f t="shared" si="6"/>
        <v>0</v>
      </c>
      <c r="V33">
        <f t="shared" si="7"/>
        <v>0</v>
      </c>
      <c r="W33">
        <f t="shared" si="8"/>
        <v>0</v>
      </c>
      <c r="X33">
        <f t="shared" si="9"/>
        <v>0</v>
      </c>
      <c r="Y33">
        <f t="shared" si="10"/>
        <v>0</v>
      </c>
      <c r="Z33">
        <f t="shared" si="11"/>
        <v>1</v>
      </c>
      <c r="AA33">
        <f t="shared" si="12"/>
        <v>0</v>
      </c>
      <c r="AB33">
        <f t="shared" si="13"/>
        <v>0</v>
      </c>
      <c r="AC33">
        <f t="shared" si="14"/>
        <v>0</v>
      </c>
      <c r="AD33">
        <f t="shared" si="15"/>
        <v>0</v>
      </c>
      <c r="AE33">
        <v>87.8</v>
      </c>
      <c r="AF33">
        <v>2.2200000000000002</v>
      </c>
      <c r="AG33">
        <v>6.44</v>
      </c>
      <c r="AH33" t="s">
        <v>113</v>
      </c>
      <c r="AI33" t="s">
        <v>97</v>
      </c>
      <c r="AJ33" t="s">
        <v>97</v>
      </c>
      <c r="AK33" t="s">
        <v>97</v>
      </c>
      <c r="AL33" t="s">
        <v>97</v>
      </c>
      <c r="AM33">
        <v>9</v>
      </c>
      <c r="AN33" t="s">
        <v>114</v>
      </c>
      <c r="AO33" t="s">
        <v>102</v>
      </c>
      <c r="AP33" t="s">
        <v>122</v>
      </c>
      <c r="AQ33" t="s">
        <v>103</v>
      </c>
      <c r="AR33" t="s">
        <v>104</v>
      </c>
      <c r="AS33" t="s">
        <v>105</v>
      </c>
      <c r="AT33" t="s">
        <v>110</v>
      </c>
      <c r="AU33" t="s">
        <v>97</v>
      </c>
      <c r="AV33" t="s">
        <v>97</v>
      </c>
      <c r="AW33">
        <v>0.91</v>
      </c>
      <c r="AX33">
        <v>0.54</v>
      </c>
      <c r="AY33">
        <v>0.75</v>
      </c>
      <c r="AZ33">
        <v>1.97</v>
      </c>
      <c r="BA33" t="s">
        <v>97</v>
      </c>
      <c r="BB33">
        <v>680574</v>
      </c>
      <c r="BC33">
        <v>670770</v>
      </c>
      <c r="BD33">
        <v>2</v>
      </c>
      <c r="BE33" t="s">
        <v>97</v>
      </c>
      <c r="BF33" t="s">
        <v>97</v>
      </c>
      <c r="BG33" t="s">
        <v>97</v>
      </c>
      <c r="BH33" t="s">
        <v>97</v>
      </c>
      <c r="BI33">
        <v>666163</v>
      </c>
      <c r="BJ33">
        <v>666163</v>
      </c>
      <c r="BK33" t="s">
        <v>97</v>
      </c>
      <c r="BL33" t="s">
        <v>97</v>
      </c>
      <c r="BM33">
        <v>-5.476738224</v>
      </c>
      <c r="BN33">
        <v>-127.7443268</v>
      </c>
      <c r="BO33">
        <v>-5.8775823999999997</v>
      </c>
      <c r="BP33">
        <v>11.103512690000001</v>
      </c>
      <c r="BQ33">
        <v>26.036284089999999</v>
      </c>
      <c r="BR33">
        <v>-25.23836975</v>
      </c>
      <c r="BS33">
        <v>3.44</v>
      </c>
      <c r="BT33">
        <v>1.67</v>
      </c>
      <c r="BU33" t="s">
        <v>97</v>
      </c>
      <c r="BV33" t="s">
        <v>97</v>
      </c>
      <c r="BW33" t="s">
        <v>97</v>
      </c>
      <c r="BX33">
        <v>88.4</v>
      </c>
      <c r="BY33">
        <v>1625</v>
      </c>
      <c r="BZ33">
        <v>6.6</v>
      </c>
      <c r="CA33">
        <v>813069</v>
      </c>
      <c r="CB33">
        <v>666163</v>
      </c>
      <c r="CC33">
        <v>666163</v>
      </c>
      <c r="CD33">
        <v>518692</v>
      </c>
      <c r="CE33">
        <v>669242</v>
      </c>
      <c r="CF33">
        <v>571970</v>
      </c>
      <c r="CG33">
        <v>605141</v>
      </c>
      <c r="CH33">
        <v>571771</v>
      </c>
      <c r="CI33">
        <v>681624</v>
      </c>
      <c r="CJ33">
        <v>606192</v>
      </c>
      <c r="CK33">
        <v>53.85</v>
      </c>
      <c r="CL33" t="s">
        <v>97</v>
      </c>
      <c r="CM33" t="s">
        <v>97</v>
      </c>
      <c r="CN33" t="s">
        <v>97</v>
      </c>
      <c r="CO33" t="s">
        <v>97</v>
      </c>
      <c r="CP33" t="s">
        <v>97</v>
      </c>
      <c r="CQ33" t="s">
        <v>97</v>
      </c>
      <c r="CR33" t="s">
        <v>97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1</v>
      </c>
      <c r="CY33">
        <v>0</v>
      </c>
      <c r="CZ33">
        <v>1</v>
      </c>
      <c r="DA33" t="s">
        <v>107</v>
      </c>
      <c r="DB33" t="s">
        <v>107</v>
      </c>
      <c r="DC33">
        <v>137</v>
      </c>
      <c r="DD33">
        <v>0</v>
      </c>
      <c r="DE33">
        <v>-4.7E-2</v>
      </c>
      <c r="DF33">
        <v>76.400000000000006</v>
      </c>
      <c r="DG33">
        <v>8.1999999999999993</v>
      </c>
    </row>
    <row r="34" spans="1:111" x14ac:dyDescent="0.2">
      <c r="A34">
        <v>2025</v>
      </c>
      <c r="B34" s="1">
        <v>45930</v>
      </c>
      <c r="C34" t="s">
        <v>95</v>
      </c>
      <c r="D34">
        <v>605483</v>
      </c>
      <c r="E34">
        <v>682622</v>
      </c>
      <c r="F34">
        <v>0</v>
      </c>
      <c r="G34">
        <v>1</v>
      </c>
      <c r="H34">
        <v>3</v>
      </c>
      <c r="I34" t="s">
        <v>96</v>
      </c>
      <c r="J34">
        <v>21</v>
      </c>
      <c r="K34">
        <v>2</v>
      </c>
      <c r="L34" t="s">
        <v>97</v>
      </c>
      <c r="M34" t="s">
        <v>138</v>
      </c>
      <c r="N34" t="s">
        <v>139</v>
      </c>
      <c r="O34">
        <f t="shared" si="0"/>
        <v>0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  <c r="U34">
        <f t="shared" si="6"/>
        <v>0</v>
      </c>
      <c r="V34">
        <f t="shared" si="7"/>
        <v>0</v>
      </c>
      <c r="W34">
        <f t="shared" si="8"/>
        <v>0</v>
      </c>
      <c r="X34">
        <f t="shared" si="9"/>
        <v>0</v>
      </c>
      <c r="Y34">
        <f t="shared" si="10"/>
        <v>0</v>
      </c>
      <c r="Z34">
        <f t="shared" si="11"/>
        <v>0</v>
      </c>
      <c r="AA34">
        <f t="shared" si="12"/>
        <v>0</v>
      </c>
      <c r="AB34">
        <f t="shared" si="13"/>
        <v>0</v>
      </c>
      <c r="AC34">
        <f t="shared" si="14"/>
        <v>0</v>
      </c>
      <c r="AD34">
        <f t="shared" si="15"/>
        <v>1</v>
      </c>
      <c r="AE34">
        <v>90.1</v>
      </c>
      <c r="AF34">
        <v>1.95</v>
      </c>
      <c r="AG34">
        <v>6.53</v>
      </c>
      <c r="AH34" t="s">
        <v>140</v>
      </c>
      <c r="AI34" t="s">
        <v>97</v>
      </c>
      <c r="AJ34" t="s">
        <v>97</v>
      </c>
      <c r="AK34" t="s">
        <v>97</v>
      </c>
      <c r="AL34" t="s">
        <v>97</v>
      </c>
      <c r="AM34">
        <v>13</v>
      </c>
      <c r="AN34" t="s">
        <v>141</v>
      </c>
      <c r="AO34" t="s">
        <v>102</v>
      </c>
      <c r="AP34" t="s">
        <v>122</v>
      </c>
      <c r="AQ34" t="s">
        <v>103</v>
      </c>
      <c r="AR34" t="s">
        <v>104</v>
      </c>
      <c r="AS34" t="s">
        <v>105</v>
      </c>
      <c r="AT34" t="s">
        <v>106</v>
      </c>
      <c r="AU34" t="s">
        <v>97</v>
      </c>
      <c r="AV34" t="s">
        <v>97</v>
      </c>
      <c r="AW34">
        <v>-0.46</v>
      </c>
      <c r="AX34">
        <v>0.56999999999999995</v>
      </c>
      <c r="AY34">
        <v>-0.42</v>
      </c>
      <c r="AZ34">
        <v>0.66</v>
      </c>
      <c r="BA34" t="s">
        <v>97</v>
      </c>
      <c r="BB34">
        <v>680574</v>
      </c>
      <c r="BC34">
        <v>670770</v>
      </c>
      <c r="BD34">
        <v>2</v>
      </c>
      <c r="BE34" t="s">
        <v>97</v>
      </c>
      <c r="BF34" t="s">
        <v>97</v>
      </c>
      <c r="BG34" t="s">
        <v>97</v>
      </c>
      <c r="BH34" t="s">
        <v>97</v>
      </c>
      <c r="BI34">
        <v>666163</v>
      </c>
      <c r="BJ34">
        <v>666163</v>
      </c>
      <c r="BK34" t="s">
        <v>97</v>
      </c>
      <c r="BL34" t="s">
        <v>97</v>
      </c>
      <c r="BM34">
        <v>-4.9345888589999998</v>
      </c>
      <c r="BN34">
        <v>-130.94484869999999</v>
      </c>
      <c r="BO34">
        <v>-9.9390682699999999</v>
      </c>
      <c r="BP34">
        <v>-4.4305785010000003</v>
      </c>
      <c r="BQ34">
        <v>24.679054539999999</v>
      </c>
      <c r="BR34">
        <v>-23.819103210000002</v>
      </c>
      <c r="BS34">
        <v>3.46</v>
      </c>
      <c r="BT34">
        <v>1.67</v>
      </c>
      <c r="BU34" t="s">
        <v>97</v>
      </c>
      <c r="BV34" t="s">
        <v>97</v>
      </c>
      <c r="BW34" t="s">
        <v>97</v>
      </c>
      <c r="BX34">
        <v>91.2</v>
      </c>
      <c r="BY34">
        <v>2465</v>
      </c>
      <c r="BZ34">
        <v>6.8</v>
      </c>
      <c r="CA34">
        <v>813069</v>
      </c>
      <c r="CB34">
        <v>666163</v>
      </c>
      <c r="CC34">
        <v>666163</v>
      </c>
      <c r="CD34">
        <v>518692</v>
      </c>
      <c r="CE34">
        <v>669242</v>
      </c>
      <c r="CF34">
        <v>571970</v>
      </c>
      <c r="CG34">
        <v>605141</v>
      </c>
      <c r="CH34">
        <v>571771</v>
      </c>
      <c r="CI34">
        <v>681624</v>
      </c>
      <c r="CJ34">
        <v>606192</v>
      </c>
      <c r="CK34">
        <v>53.71</v>
      </c>
      <c r="CL34" t="s">
        <v>97</v>
      </c>
      <c r="CM34" t="s">
        <v>97</v>
      </c>
      <c r="CN34" t="s">
        <v>97</v>
      </c>
      <c r="CO34" t="s">
        <v>97</v>
      </c>
      <c r="CP34" t="s">
        <v>97</v>
      </c>
      <c r="CQ34" t="s">
        <v>97</v>
      </c>
      <c r="CR34" t="s">
        <v>97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1</v>
      </c>
      <c r="CY34">
        <v>0</v>
      </c>
      <c r="CZ34">
        <v>1</v>
      </c>
      <c r="DA34" t="s">
        <v>107</v>
      </c>
      <c r="DB34" t="s">
        <v>107</v>
      </c>
      <c r="DC34">
        <v>174</v>
      </c>
      <c r="DD34">
        <v>0</v>
      </c>
      <c r="DE34">
        <v>1.7999999999999999E-2</v>
      </c>
      <c r="DF34" t="s">
        <v>97</v>
      </c>
      <c r="DG34" t="s">
        <v>97</v>
      </c>
    </row>
    <row r="35" spans="1:111" x14ac:dyDescent="0.2">
      <c r="A35">
        <v>2025</v>
      </c>
      <c r="B35" s="1">
        <v>45930</v>
      </c>
      <c r="C35" t="s">
        <v>95</v>
      </c>
      <c r="D35">
        <v>605483</v>
      </c>
      <c r="E35">
        <v>682622</v>
      </c>
      <c r="F35">
        <v>1</v>
      </c>
      <c r="G35">
        <v>1</v>
      </c>
      <c r="H35">
        <v>3</v>
      </c>
      <c r="I35" t="s">
        <v>96</v>
      </c>
      <c r="J35">
        <v>21</v>
      </c>
      <c r="K35">
        <v>3</v>
      </c>
      <c r="L35" t="s">
        <v>97</v>
      </c>
      <c r="M35" t="s">
        <v>132</v>
      </c>
      <c r="N35" t="s">
        <v>133</v>
      </c>
      <c r="O35">
        <f t="shared" si="0"/>
        <v>0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  <c r="U35">
        <f t="shared" si="6"/>
        <v>0</v>
      </c>
      <c r="V35">
        <f t="shared" si="7"/>
        <v>0</v>
      </c>
      <c r="W35">
        <f t="shared" si="8"/>
        <v>1</v>
      </c>
      <c r="X35">
        <f t="shared" si="9"/>
        <v>0</v>
      </c>
      <c r="Y35">
        <f t="shared" si="10"/>
        <v>0</v>
      </c>
      <c r="Z35">
        <f t="shared" si="11"/>
        <v>0</v>
      </c>
      <c r="AA35">
        <f t="shared" si="12"/>
        <v>0</v>
      </c>
      <c r="AB35">
        <f t="shared" si="13"/>
        <v>0</v>
      </c>
      <c r="AC35">
        <f t="shared" si="14"/>
        <v>0</v>
      </c>
      <c r="AD35">
        <f t="shared" si="15"/>
        <v>0</v>
      </c>
      <c r="AE35">
        <v>86.7</v>
      </c>
      <c r="AF35">
        <v>2.17</v>
      </c>
      <c r="AG35">
        <v>6.4</v>
      </c>
      <c r="AH35" t="s">
        <v>113</v>
      </c>
      <c r="AI35" t="s">
        <v>97</v>
      </c>
      <c r="AJ35" t="s">
        <v>97</v>
      </c>
      <c r="AK35" t="s">
        <v>97</v>
      </c>
      <c r="AL35" t="s">
        <v>97</v>
      </c>
      <c r="AM35">
        <v>9</v>
      </c>
      <c r="AN35" t="s">
        <v>114</v>
      </c>
      <c r="AO35" t="s">
        <v>102</v>
      </c>
      <c r="AP35" t="s">
        <v>122</v>
      </c>
      <c r="AQ35" t="s">
        <v>103</v>
      </c>
      <c r="AR35" t="s">
        <v>104</v>
      </c>
      <c r="AS35" t="s">
        <v>105</v>
      </c>
      <c r="AT35" t="s">
        <v>110</v>
      </c>
      <c r="AU35" t="s">
        <v>97</v>
      </c>
      <c r="AV35" t="s">
        <v>97</v>
      </c>
      <c r="AW35">
        <v>1.18</v>
      </c>
      <c r="AX35">
        <v>0.78</v>
      </c>
      <c r="AY35">
        <v>0.74</v>
      </c>
      <c r="AZ35">
        <v>1.77</v>
      </c>
      <c r="BA35" t="s">
        <v>97</v>
      </c>
      <c r="BB35">
        <v>680574</v>
      </c>
      <c r="BC35">
        <v>670770</v>
      </c>
      <c r="BD35">
        <v>2</v>
      </c>
      <c r="BE35" t="s">
        <v>97</v>
      </c>
      <c r="BF35" t="s">
        <v>97</v>
      </c>
      <c r="BG35" t="s">
        <v>97</v>
      </c>
      <c r="BH35" t="s">
        <v>97</v>
      </c>
      <c r="BI35">
        <v>666163</v>
      </c>
      <c r="BJ35">
        <v>666163</v>
      </c>
      <c r="BK35" t="s">
        <v>97</v>
      </c>
      <c r="BL35" t="s">
        <v>97</v>
      </c>
      <c r="BM35">
        <v>-5.8671935519999998</v>
      </c>
      <c r="BN35">
        <v>-126.18625729999999</v>
      </c>
      <c r="BO35">
        <v>-6.5730030900000003</v>
      </c>
      <c r="BP35">
        <v>13.753492400000001</v>
      </c>
      <c r="BQ35">
        <v>22.595027720000001</v>
      </c>
      <c r="BR35">
        <v>-22.78603519</v>
      </c>
      <c r="BS35">
        <v>3.44</v>
      </c>
      <c r="BT35">
        <v>1.67</v>
      </c>
      <c r="BU35" t="s">
        <v>97</v>
      </c>
      <c r="BV35" t="s">
        <v>97</v>
      </c>
      <c r="BW35" t="s">
        <v>97</v>
      </c>
      <c r="BX35">
        <v>87.8</v>
      </c>
      <c r="BY35">
        <v>1780</v>
      </c>
      <c r="BZ35">
        <v>6.7</v>
      </c>
      <c r="CA35">
        <v>813069</v>
      </c>
      <c r="CB35">
        <v>666163</v>
      </c>
      <c r="CC35">
        <v>666163</v>
      </c>
      <c r="CD35">
        <v>518692</v>
      </c>
      <c r="CE35">
        <v>669242</v>
      </c>
      <c r="CF35">
        <v>571970</v>
      </c>
      <c r="CG35">
        <v>605141</v>
      </c>
      <c r="CH35">
        <v>571771</v>
      </c>
      <c r="CI35">
        <v>681624</v>
      </c>
      <c r="CJ35">
        <v>606192</v>
      </c>
      <c r="CK35">
        <v>53.79</v>
      </c>
      <c r="CL35" t="s">
        <v>97</v>
      </c>
      <c r="CM35" t="s">
        <v>97</v>
      </c>
      <c r="CN35" t="s">
        <v>97</v>
      </c>
      <c r="CO35" t="s">
        <v>97</v>
      </c>
      <c r="CP35" t="s">
        <v>97</v>
      </c>
      <c r="CQ35" t="s">
        <v>97</v>
      </c>
      <c r="CR35" t="s">
        <v>97</v>
      </c>
      <c r="CS35">
        <v>1</v>
      </c>
      <c r="CT35">
        <v>0</v>
      </c>
      <c r="CU35">
        <v>0</v>
      </c>
      <c r="CV35">
        <v>1</v>
      </c>
      <c r="CW35">
        <v>0</v>
      </c>
      <c r="CX35">
        <v>1</v>
      </c>
      <c r="CY35">
        <v>0</v>
      </c>
      <c r="CZ35">
        <v>1</v>
      </c>
      <c r="DA35" t="s">
        <v>107</v>
      </c>
      <c r="DB35" t="s">
        <v>107</v>
      </c>
      <c r="DC35">
        <v>134</v>
      </c>
      <c r="DD35">
        <v>0</v>
      </c>
      <c r="DE35">
        <v>-6.3E-2</v>
      </c>
      <c r="DF35">
        <v>69.7</v>
      </c>
      <c r="DG35">
        <v>8.4</v>
      </c>
    </row>
    <row r="36" spans="1:111" x14ac:dyDescent="0.2">
      <c r="A36">
        <v>2025</v>
      </c>
      <c r="B36" s="1">
        <v>45930</v>
      </c>
      <c r="C36" t="s">
        <v>95</v>
      </c>
      <c r="D36">
        <v>605483</v>
      </c>
      <c r="E36">
        <v>682622</v>
      </c>
      <c r="F36">
        <v>1</v>
      </c>
      <c r="G36">
        <v>2</v>
      </c>
      <c r="H36">
        <v>3</v>
      </c>
      <c r="I36" t="s">
        <v>96</v>
      </c>
      <c r="J36">
        <v>21</v>
      </c>
      <c r="K36">
        <v>4</v>
      </c>
      <c r="L36" t="s">
        <v>116</v>
      </c>
      <c r="M36" t="s">
        <v>132</v>
      </c>
      <c r="N36" t="s">
        <v>133</v>
      </c>
      <c r="O36">
        <f t="shared" si="0"/>
        <v>0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  <c r="U36">
        <f t="shared" si="6"/>
        <v>0</v>
      </c>
      <c r="V36">
        <f t="shared" si="7"/>
        <v>0</v>
      </c>
      <c r="W36">
        <f t="shared" si="8"/>
        <v>1</v>
      </c>
      <c r="X36">
        <f t="shared" si="9"/>
        <v>0</v>
      </c>
      <c r="Y36">
        <f t="shared" si="10"/>
        <v>0</v>
      </c>
      <c r="Z36">
        <f t="shared" si="11"/>
        <v>0</v>
      </c>
      <c r="AA36">
        <f t="shared" si="12"/>
        <v>0</v>
      </c>
      <c r="AB36">
        <f t="shared" si="13"/>
        <v>0</v>
      </c>
      <c r="AC36">
        <f t="shared" si="14"/>
        <v>0</v>
      </c>
      <c r="AD36">
        <f t="shared" si="15"/>
        <v>0</v>
      </c>
      <c r="AE36">
        <v>83.3</v>
      </c>
      <c r="AF36">
        <v>2.2200000000000002</v>
      </c>
      <c r="AG36">
        <v>6.34</v>
      </c>
      <c r="AH36" t="s">
        <v>113</v>
      </c>
      <c r="AI36" t="s">
        <v>97</v>
      </c>
      <c r="AJ36" t="s">
        <v>97</v>
      </c>
      <c r="AK36" t="s">
        <v>97</v>
      </c>
      <c r="AL36" t="s">
        <v>97</v>
      </c>
      <c r="AM36">
        <v>12</v>
      </c>
      <c r="AN36" t="s">
        <v>144</v>
      </c>
      <c r="AO36" t="s">
        <v>102</v>
      </c>
      <c r="AP36" t="s">
        <v>122</v>
      </c>
      <c r="AQ36" t="s">
        <v>103</v>
      </c>
      <c r="AR36" t="s">
        <v>104</v>
      </c>
      <c r="AS36" t="s">
        <v>105</v>
      </c>
      <c r="AT36" t="s">
        <v>110</v>
      </c>
      <c r="AU36">
        <v>2</v>
      </c>
      <c r="AV36" t="s">
        <v>97</v>
      </c>
      <c r="AW36">
        <v>1.1499999999999999</v>
      </c>
      <c r="AX36">
        <v>0.69</v>
      </c>
      <c r="AY36">
        <v>1.65</v>
      </c>
      <c r="AZ36">
        <v>2.65</v>
      </c>
      <c r="BA36" t="s">
        <v>97</v>
      </c>
      <c r="BB36">
        <v>680574</v>
      </c>
      <c r="BC36">
        <v>670770</v>
      </c>
      <c r="BD36">
        <v>2</v>
      </c>
      <c r="BE36" t="s">
        <v>97</v>
      </c>
      <c r="BF36" t="s">
        <v>97</v>
      </c>
      <c r="BG36" t="s">
        <v>97</v>
      </c>
      <c r="BH36" t="s">
        <v>97</v>
      </c>
      <c r="BI36">
        <v>666163</v>
      </c>
      <c r="BJ36">
        <v>666163</v>
      </c>
      <c r="BK36" t="s">
        <v>97</v>
      </c>
      <c r="BL36" t="s">
        <v>97</v>
      </c>
      <c r="BM36">
        <v>-3.5971711339999999</v>
      </c>
      <c r="BN36">
        <v>-121.2811737</v>
      </c>
      <c r="BO36">
        <v>-3.4468038000000001</v>
      </c>
      <c r="BP36">
        <v>12.03133826</v>
      </c>
      <c r="BQ36">
        <v>22.47244697</v>
      </c>
      <c r="BR36">
        <v>-24.87792541</v>
      </c>
      <c r="BS36">
        <v>3.44</v>
      </c>
      <c r="BT36">
        <v>1.67</v>
      </c>
      <c r="BU36" t="s">
        <v>97</v>
      </c>
      <c r="BV36" t="s">
        <v>97</v>
      </c>
      <c r="BW36" t="s">
        <v>97</v>
      </c>
      <c r="BX36">
        <v>84.2</v>
      </c>
      <c r="BY36">
        <v>1716</v>
      </c>
      <c r="BZ36">
        <v>6.7</v>
      </c>
      <c r="CA36">
        <v>813069</v>
      </c>
      <c r="CB36">
        <v>666163</v>
      </c>
      <c r="CC36">
        <v>666163</v>
      </c>
      <c r="CD36">
        <v>518692</v>
      </c>
      <c r="CE36">
        <v>669242</v>
      </c>
      <c r="CF36">
        <v>571970</v>
      </c>
      <c r="CG36">
        <v>605141</v>
      </c>
      <c r="CH36">
        <v>571771</v>
      </c>
      <c r="CI36">
        <v>681624</v>
      </c>
      <c r="CJ36">
        <v>606192</v>
      </c>
      <c r="CK36">
        <v>53.8</v>
      </c>
      <c r="CL36" t="s">
        <v>97</v>
      </c>
      <c r="CM36">
        <v>0</v>
      </c>
      <c r="CN36">
        <v>0</v>
      </c>
      <c r="CO36">
        <v>1</v>
      </c>
      <c r="CP36">
        <v>0</v>
      </c>
      <c r="CQ36">
        <v>0</v>
      </c>
      <c r="CR36" t="s">
        <v>97</v>
      </c>
      <c r="CS36">
        <v>1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0</v>
      </c>
      <c r="CZ36">
        <v>1</v>
      </c>
      <c r="DA36" t="s">
        <v>107</v>
      </c>
      <c r="DB36" t="s">
        <v>107</v>
      </c>
      <c r="DC36">
        <v>128</v>
      </c>
      <c r="DD36">
        <v>0.05</v>
      </c>
      <c r="DE36">
        <v>-0.191</v>
      </c>
      <c r="DF36">
        <v>63.1</v>
      </c>
      <c r="DG36">
        <v>8.1999999999999993</v>
      </c>
    </row>
    <row r="37" spans="1:111" x14ac:dyDescent="0.2">
      <c r="A37">
        <v>2025</v>
      </c>
      <c r="B37" s="1">
        <v>45930</v>
      </c>
      <c r="C37" t="s">
        <v>95</v>
      </c>
      <c r="D37">
        <v>605483</v>
      </c>
      <c r="E37">
        <v>609280</v>
      </c>
      <c r="F37">
        <v>0</v>
      </c>
      <c r="G37">
        <v>0</v>
      </c>
      <c r="H37">
        <v>4</v>
      </c>
      <c r="I37" t="s">
        <v>96</v>
      </c>
      <c r="J37">
        <v>29</v>
      </c>
      <c r="K37">
        <v>1</v>
      </c>
      <c r="L37" t="s">
        <v>97</v>
      </c>
      <c r="M37" t="s">
        <v>132</v>
      </c>
      <c r="N37" t="s">
        <v>133</v>
      </c>
      <c r="O37">
        <f t="shared" si="0"/>
        <v>0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  <c r="U37">
        <f t="shared" si="6"/>
        <v>0</v>
      </c>
      <c r="V37">
        <f t="shared" si="7"/>
        <v>0</v>
      </c>
      <c r="W37">
        <f t="shared" si="8"/>
        <v>1</v>
      </c>
      <c r="X37">
        <f t="shared" si="9"/>
        <v>0</v>
      </c>
      <c r="Y37">
        <f t="shared" si="10"/>
        <v>0</v>
      </c>
      <c r="Z37">
        <f t="shared" si="11"/>
        <v>0</v>
      </c>
      <c r="AA37">
        <f t="shared" si="12"/>
        <v>0</v>
      </c>
      <c r="AB37">
        <f t="shared" si="13"/>
        <v>0</v>
      </c>
      <c r="AC37">
        <f t="shared" si="14"/>
        <v>0</v>
      </c>
      <c r="AD37">
        <f t="shared" si="15"/>
        <v>0</v>
      </c>
      <c r="AE37">
        <v>85.8</v>
      </c>
      <c r="AF37">
        <v>2.27</v>
      </c>
      <c r="AG37">
        <v>6.45</v>
      </c>
      <c r="AH37" t="s">
        <v>108</v>
      </c>
      <c r="AI37" t="s">
        <v>97</v>
      </c>
      <c r="AJ37" t="s">
        <v>97</v>
      </c>
      <c r="AK37" t="s">
        <v>97</v>
      </c>
      <c r="AL37" t="s">
        <v>97</v>
      </c>
      <c r="AM37">
        <v>4</v>
      </c>
      <c r="AN37" t="s">
        <v>109</v>
      </c>
      <c r="AO37" t="s">
        <v>102</v>
      </c>
      <c r="AP37" t="s">
        <v>122</v>
      </c>
      <c r="AQ37" t="s">
        <v>103</v>
      </c>
      <c r="AR37" t="s">
        <v>104</v>
      </c>
      <c r="AS37" t="s">
        <v>105</v>
      </c>
      <c r="AT37" t="s">
        <v>110</v>
      </c>
      <c r="AU37" t="s">
        <v>97</v>
      </c>
      <c r="AV37" t="s">
        <v>97</v>
      </c>
      <c r="AW37">
        <v>1</v>
      </c>
      <c r="AX37">
        <v>1.03</v>
      </c>
      <c r="AY37">
        <v>-0.52</v>
      </c>
      <c r="AZ37">
        <v>2.44</v>
      </c>
      <c r="BA37" t="s">
        <v>97</v>
      </c>
      <c r="BB37" t="s">
        <v>97</v>
      </c>
      <c r="BC37" t="s">
        <v>97</v>
      </c>
      <c r="BD37">
        <v>0</v>
      </c>
      <c r="BE37" t="s">
        <v>97</v>
      </c>
      <c r="BF37" t="s">
        <v>97</v>
      </c>
      <c r="BG37" t="s">
        <v>97</v>
      </c>
      <c r="BH37" t="s">
        <v>97</v>
      </c>
      <c r="BI37">
        <v>666163</v>
      </c>
      <c r="BJ37">
        <v>666163</v>
      </c>
      <c r="BK37" t="s">
        <v>97</v>
      </c>
      <c r="BL37" t="s">
        <v>97</v>
      </c>
      <c r="BM37">
        <v>-8.6652808189999995</v>
      </c>
      <c r="BN37">
        <v>-124.6963495</v>
      </c>
      <c r="BO37">
        <v>-5.35578866</v>
      </c>
      <c r="BP37">
        <v>12.1477819</v>
      </c>
      <c r="BQ37">
        <v>23.889806530000001</v>
      </c>
      <c r="BR37">
        <v>-20.496716150000001</v>
      </c>
      <c r="BS37">
        <v>3.48</v>
      </c>
      <c r="BT37">
        <v>1.66</v>
      </c>
      <c r="BU37" t="s">
        <v>97</v>
      </c>
      <c r="BV37" t="s">
        <v>97</v>
      </c>
      <c r="BW37" t="s">
        <v>97</v>
      </c>
      <c r="BX37">
        <v>86.3</v>
      </c>
      <c r="BY37">
        <v>1951</v>
      </c>
      <c r="BZ37">
        <v>6.6</v>
      </c>
      <c r="CA37">
        <v>813069</v>
      </c>
      <c r="CB37">
        <v>666163</v>
      </c>
      <c r="CC37">
        <v>666163</v>
      </c>
      <c r="CD37">
        <v>518692</v>
      </c>
      <c r="CE37">
        <v>669242</v>
      </c>
      <c r="CF37">
        <v>571970</v>
      </c>
      <c r="CG37">
        <v>605141</v>
      </c>
      <c r="CH37">
        <v>571771</v>
      </c>
      <c r="CI37">
        <v>681624</v>
      </c>
      <c r="CJ37">
        <v>606192</v>
      </c>
      <c r="CK37">
        <v>53.9</v>
      </c>
      <c r="CL37" t="s">
        <v>97</v>
      </c>
      <c r="CM37" t="s">
        <v>97</v>
      </c>
      <c r="CN37" t="s">
        <v>97</v>
      </c>
      <c r="CO37" t="s">
        <v>97</v>
      </c>
      <c r="CP37" t="s">
        <v>97</v>
      </c>
      <c r="CQ37" t="s">
        <v>97</v>
      </c>
      <c r="CR37" t="s">
        <v>97</v>
      </c>
      <c r="CS37">
        <v>5</v>
      </c>
      <c r="CT37">
        <v>0</v>
      </c>
      <c r="CU37">
        <v>0</v>
      </c>
      <c r="CV37">
        <v>5</v>
      </c>
      <c r="CW37">
        <v>0</v>
      </c>
      <c r="CX37">
        <v>5</v>
      </c>
      <c r="CY37">
        <v>0</v>
      </c>
      <c r="CZ37">
        <v>5</v>
      </c>
      <c r="DA37" t="s">
        <v>107</v>
      </c>
      <c r="DB37" t="s">
        <v>107</v>
      </c>
      <c r="DC37">
        <v>134</v>
      </c>
      <c r="DD37">
        <v>0</v>
      </c>
      <c r="DE37">
        <v>-3.9E-2</v>
      </c>
      <c r="DF37" t="s">
        <v>97</v>
      </c>
      <c r="DG37" t="s">
        <v>97</v>
      </c>
    </row>
    <row r="38" spans="1:111" x14ac:dyDescent="0.2">
      <c r="A38">
        <v>2025</v>
      </c>
      <c r="B38" s="1">
        <v>45930</v>
      </c>
      <c r="C38" t="s">
        <v>95</v>
      </c>
      <c r="D38">
        <v>605483</v>
      </c>
      <c r="E38">
        <v>609280</v>
      </c>
      <c r="F38">
        <v>0</v>
      </c>
      <c r="G38">
        <v>1</v>
      </c>
      <c r="H38">
        <v>4</v>
      </c>
      <c r="I38" t="s">
        <v>96</v>
      </c>
      <c r="J38">
        <v>29</v>
      </c>
      <c r="K38">
        <v>2</v>
      </c>
      <c r="L38" t="s">
        <v>97</v>
      </c>
      <c r="M38" t="s">
        <v>132</v>
      </c>
      <c r="N38" t="s">
        <v>133</v>
      </c>
      <c r="O38">
        <f t="shared" si="0"/>
        <v>0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0</v>
      </c>
      <c r="U38">
        <f t="shared" si="6"/>
        <v>0</v>
      </c>
      <c r="V38">
        <f t="shared" si="7"/>
        <v>0</v>
      </c>
      <c r="W38">
        <f t="shared" si="8"/>
        <v>0</v>
      </c>
      <c r="X38">
        <f t="shared" si="9"/>
        <v>0</v>
      </c>
      <c r="Y38">
        <f t="shared" si="10"/>
        <v>1</v>
      </c>
      <c r="Z38">
        <f t="shared" si="11"/>
        <v>0</v>
      </c>
      <c r="AA38">
        <f t="shared" si="12"/>
        <v>0</v>
      </c>
      <c r="AB38">
        <f t="shared" si="13"/>
        <v>0</v>
      </c>
      <c r="AC38">
        <f t="shared" si="14"/>
        <v>0</v>
      </c>
      <c r="AD38">
        <f t="shared" si="15"/>
        <v>0</v>
      </c>
      <c r="AE38">
        <v>84.3</v>
      </c>
      <c r="AF38">
        <v>2.36</v>
      </c>
      <c r="AG38">
        <v>6.43</v>
      </c>
      <c r="AH38" t="s">
        <v>129</v>
      </c>
      <c r="AI38" t="s">
        <v>97</v>
      </c>
      <c r="AJ38" t="s">
        <v>97</v>
      </c>
      <c r="AK38" t="s">
        <v>97</v>
      </c>
      <c r="AL38" t="s">
        <v>97</v>
      </c>
      <c r="AM38">
        <v>6</v>
      </c>
      <c r="AN38" t="s">
        <v>130</v>
      </c>
      <c r="AO38" t="s">
        <v>102</v>
      </c>
      <c r="AP38" t="s">
        <v>122</v>
      </c>
      <c r="AQ38" t="s">
        <v>103</v>
      </c>
      <c r="AR38" t="s">
        <v>104</v>
      </c>
      <c r="AS38" t="s">
        <v>105</v>
      </c>
      <c r="AT38" t="s">
        <v>110</v>
      </c>
      <c r="AU38" t="s">
        <v>97</v>
      </c>
      <c r="AV38" t="s">
        <v>97</v>
      </c>
      <c r="AW38">
        <v>0.94</v>
      </c>
      <c r="AX38">
        <v>0.72</v>
      </c>
      <c r="AY38">
        <v>0.66</v>
      </c>
      <c r="AZ38">
        <v>2.2999999999999998</v>
      </c>
      <c r="BA38" t="s">
        <v>97</v>
      </c>
      <c r="BB38" t="s">
        <v>97</v>
      </c>
      <c r="BC38" t="s">
        <v>97</v>
      </c>
      <c r="BD38">
        <v>0</v>
      </c>
      <c r="BE38" t="s">
        <v>97</v>
      </c>
      <c r="BF38" t="s">
        <v>97</v>
      </c>
      <c r="BG38" t="s">
        <v>97</v>
      </c>
      <c r="BH38" t="s">
        <v>97</v>
      </c>
      <c r="BI38">
        <v>666163</v>
      </c>
      <c r="BJ38">
        <v>666163</v>
      </c>
      <c r="BK38" t="s">
        <v>97</v>
      </c>
      <c r="BL38" t="s">
        <v>97</v>
      </c>
      <c r="BM38">
        <v>-5.8596465990000004</v>
      </c>
      <c r="BN38">
        <v>-122.612995</v>
      </c>
      <c r="BO38">
        <v>-4.6833249769999998</v>
      </c>
      <c r="BP38">
        <v>10.63754428</v>
      </c>
      <c r="BQ38">
        <v>23.574679249999999</v>
      </c>
      <c r="BR38">
        <v>-24.141166170000002</v>
      </c>
      <c r="BS38">
        <v>3.41</v>
      </c>
      <c r="BT38">
        <v>1.66</v>
      </c>
      <c r="BU38" t="s">
        <v>97</v>
      </c>
      <c r="BV38" t="s">
        <v>97</v>
      </c>
      <c r="BW38" t="s">
        <v>97</v>
      </c>
      <c r="BX38">
        <v>84.7</v>
      </c>
      <c r="BY38">
        <v>1915</v>
      </c>
      <c r="BZ38">
        <v>6.5</v>
      </c>
      <c r="CA38">
        <v>813069</v>
      </c>
      <c r="CB38">
        <v>666163</v>
      </c>
      <c r="CC38">
        <v>666163</v>
      </c>
      <c r="CD38">
        <v>518692</v>
      </c>
      <c r="CE38">
        <v>669242</v>
      </c>
      <c r="CF38">
        <v>571970</v>
      </c>
      <c r="CG38">
        <v>605141</v>
      </c>
      <c r="CH38">
        <v>571771</v>
      </c>
      <c r="CI38">
        <v>681624</v>
      </c>
      <c r="CJ38">
        <v>606192</v>
      </c>
      <c r="CK38">
        <v>53.98</v>
      </c>
      <c r="CL38" t="s">
        <v>97</v>
      </c>
      <c r="CM38" t="s">
        <v>97</v>
      </c>
      <c r="CN38" t="s">
        <v>97</v>
      </c>
      <c r="CO38" t="s">
        <v>97</v>
      </c>
      <c r="CP38" t="s">
        <v>97</v>
      </c>
      <c r="CQ38" t="s">
        <v>97</v>
      </c>
      <c r="CR38" t="s">
        <v>97</v>
      </c>
      <c r="CS38">
        <v>5</v>
      </c>
      <c r="CT38">
        <v>0</v>
      </c>
      <c r="CU38">
        <v>0</v>
      </c>
      <c r="CV38">
        <v>5</v>
      </c>
      <c r="CW38">
        <v>0</v>
      </c>
      <c r="CX38">
        <v>5</v>
      </c>
      <c r="CY38">
        <v>0</v>
      </c>
      <c r="CZ38">
        <v>5</v>
      </c>
      <c r="DA38" t="s">
        <v>107</v>
      </c>
      <c r="DB38" t="s">
        <v>107</v>
      </c>
      <c r="DC38">
        <v>129</v>
      </c>
      <c r="DD38">
        <v>0</v>
      </c>
      <c r="DE38">
        <v>-5.5E-2</v>
      </c>
      <c r="DF38">
        <v>72.5</v>
      </c>
      <c r="DG38">
        <v>7.7</v>
      </c>
    </row>
    <row r="39" spans="1:111" x14ac:dyDescent="0.2">
      <c r="A39">
        <v>2025</v>
      </c>
      <c r="B39" s="1">
        <v>45930</v>
      </c>
      <c r="C39" t="s">
        <v>95</v>
      </c>
      <c r="D39">
        <v>605483</v>
      </c>
      <c r="E39">
        <v>609280</v>
      </c>
      <c r="F39">
        <v>0</v>
      </c>
      <c r="G39">
        <v>2</v>
      </c>
      <c r="H39">
        <v>4</v>
      </c>
      <c r="I39" t="s">
        <v>96</v>
      </c>
      <c r="J39">
        <v>29</v>
      </c>
      <c r="K39">
        <v>3</v>
      </c>
      <c r="L39" t="s">
        <v>97</v>
      </c>
      <c r="M39" t="s">
        <v>111</v>
      </c>
      <c r="N39" t="s">
        <v>112</v>
      </c>
      <c r="O39">
        <f t="shared" si="0"/>
        <v>0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1</v>
      </c>
      <c r="T39">
        <f t="shared" si="5"/>
        <v>0</v>
      </c>
      <c r="U39">
        <f t="shared" si="6"/>
        <v>0</v>
      </c>
      <c r="V39">
        <f t="shared" si="7"/>
        <v>0</v>
      </c>
      <c r="W39">
        <f t="shared" si="8"/>
        <v>0</v>
      </c>
      <c r="X39">
        <f t="shared" si="9"/>
        <v>0</v>
      </c>
      <c r="Y39">
        <f t="shared" si="10"/>
        <v>0</v>
      </c>
      <c r="Z39">
        <f t="shared" si="11"/>
        <v>0</v>
      </c>
      <c r="AA39">
        <f t="shared" si="12"/>
        <v>0</v>
      </c>
      <c r="AB39">
        <f t="shared" si="13"/>
        <v>0</v>
      </c>
      <c r="AC39">
        <f t="shared" si="14"/>
        <v>0</v>
      </c>
      <c r="AD39">
        <f t="shared" si="15"/>
        <v>0</v>
      </c>
      <c r="AE39">
        <v>82.5</v>
      </c>
      <c r="AF39">
        <v>1.97</v>
      </c>
      <c r="AG39">
        <v>6.49</v>
      </c>
      <c r="AH39" t="s">
        <v>100</v>
      </c>
      <c r="AI39" t="s">
        <v>97</v>
      </c>
      <c r="AJ39" t="s">
        <v>97</v>
      </c>
      <c r="AK39" t="s">
        <v>97</v>
      </c>
      <c r="AL39" t="s">
        <v>97</v>
      </c>
      <c r="AM39">
        <v>13</v>
      </c>
      <c r="AN39" t="s">
        <v>101</v>
      </c>
      <c r="AO39" t="s">
        <v>102</v>
      </c>
      <c r="AP39" t="s">
        <v>122</v>
      </c>
      <c r="AQ39" t="s">
        <v>103</v>
      </c>
      <c r="AR39" t="s">
        <v>104</v>
      </c>
      <c r="AS39" t="s">
        <v>105</v>
      </c>
      <c r="AT39" t="s">
        <v>106</v>
      </c>
      <c r="AU39" t="s">
        <v>97</v>
      </c>
      <c r="AV39" t="s">
        <v>97</v>
      </c>
      <c r="AW39">
        <v>-1.48</v>
      </c>
      <c r="AX39">
        <v>-0.71</v>
      </c>
      <c r="AY39">
        <v>-1.54</v>
      </c>
      <c r="AZ39">
        <v>-1.04</v>
      </c>
      <c r="BA39" t="s">
        <v>97</v>
      </c>
      <c r="BB39" t="s">
        <v>97</v>
      </c>
      <c r="BC39" t="s">
        <v>97</v>
      </c>
      <c r="BD39">
        <v>0</v>
      </c>
      <c r="BE39" t="s">
        <v>97</v>
      </c>
      <c r="BF39" t="s">
        <v>97</v>
      </c>
      <c r="BG39" t="s">
        <v>97</v>
      </c>
      <c r="BH39" t="s">
        <v>97</v>
      </c>
      <c r="BI39">
        <v>666163</v>
      </c>
      <c r="BJ39">
        <v>666163</v>
      </c>
      <c r="BK39" t="s">
        <v>97</v>
      </c>
      <c r="BL39" t="s">
        <v>97</v>
      </c>
      <c r="BM39">
        <v>-5.1323962339999998</v>
      </c>
      <c r="BN39">
        <v>-119.7508572</v>
      </c>
      <c r="BO39">
        <v>-9.2203020749999993</v>
      </c>
      <c r="BP39">
        <v>-13.118812610000001</v>
      </c>
      <c r="BQ39">
        <v>24.262829709999998</v>
      </c>
      <c r="BR39">
        <v>-37.2884995</v>
      </c>
      <c r="BS39">
        <v>3.51</v>
      </c>
      <c r="BT39">
        <v>1.66</v>
      </c>
      <c r="BU39" t="s">
        <v>97</v>
      </c>
      <c r="BV39" t="s">
        <v>97</v>
      </c>
      <c r="BW39" t="s">
        <v>97</v>
      </c>
      <c r="BX39">
        <v>82.8</v>
      </c>
      <c r="BY39">
        <v>2625</v>
      </c>
      <c r="BZ39">
        <v>6.7</v>
      </c>
      <c r="CA39">
        <v>813069</v>
      </c>
      <c r="CB39">
        <v>666163</v>
      </c>
      <c r="CC39">
        <v>666163</v>
      </c>
      <c r="CD39">
        <v>518692</v>
      </c>
      <c r="CE39">
        <v>669242</v>
      </c>
      <c r="CF39">
        <v>571970</v>
      </c>
      <c r="CG39">
        <v>605141</v>
      </c>
      <c r="CH39">
        <v>571771</v>
      </c>
      <c r="CI39">
        <v>681624</v>
      </c>
      <c r="CJ39">
        <v>606192</v>
      </c>
      <c r="CK39">
        <v>53.77</v>
      </c>
      <c r="CL39" t="s">
        <v>97</v>
      </c>
      <c r="CM39" t="s">
        <v>97</v>
      </c>
      <c r="CN39" t="s">
        <v>97</v>
      </c>
      <c r="CO39" t="s">
        <v>97</v>
      </c>
      <c r="CP39" t="s">
        <v>97</v>
      </c>
      <c r="CQ39" t="s">
        <v>97</v>
      </c>
      <c r="CR39" t="s">
        <v>97</v>
      </c>
      <c r="CS39">
        <v>5</v>
      </c>
      <c r="CT39">
        <v>0</v>
      </c>
      <c r="CU39">
        <v>0</v>
      </c>
      <c r="CV39">
        <v>5</v>
      </c>
      <c r="CW39">
        <v>0</v>
      </c>
      <c r="CX39">
        <v>5</v>
      </c>
      <c r="CY39">
        <v>0</v>
      </c>
      <c r="CZ39">
        <v>5</v>
      </c>
      <c r="DA39" t="s">
        <v>107</v>
      </c>
      <c r="DB39" t="s">
        <v>107</v>
      </c>
      <c r="DC39">
        <v>328</v>
      </c>
      <c r="DD39">
        <v>0</v>
      </c>
      <c r="DE39">
        <v>2.4E-2</v>
      </c>
      <c r="DF39" t="s">
        <v>97</v>
      </c>
      <c r="DG39" t="s">
        <v>97</v>
      </c>
    </row>
    <row r="40" spans="1:111" x14ac:dyDescent="0.2">
      <c r="A40">
        <v>2025</v>
      </c>
      <c r="B40" s="1">
        <v>45930</v>
      </c>
      <c r="C40" t="s">
        <v>95</v>
      </c>
      <c r="D40">
        <v>605483</v>
      </c>
      <c r="E40">
        <v>609280</v>
      </c>
      <c r="F40">
        <v>1</v>
      </c>
      <c r="G40">
        <v>2</v>
      </c>
      <c r="H40">
        <v>4</v>
      </c>
      <c r="I40" t="s">
        <v>96</v>
      </c>
      <c r="J40">
        <v>29</v>
      </c>
      <c r="K40">
        <v>4</v>
      </c>
      <c r="L40" t="s">
        <v>97</v>
      </c>
      <c r="M40" t="s">
        <v>111</v>
      </c>
      <c r="N40" t="s">
        <v>112</v>
      </c>
      <c r="O40">
        <f t="shared" si="0"/>
        <v>0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1</v>
      </c>
      <c r="U40">
        <f t="shared" si="6"/>
        <v>0</v>
      </c>
      <c r="V40">
        <f t="shared" si="7"/>
        <v>0</v>
      </c>
      <c r="W40">
        <f t="shared" si="8"/>
        <v>0</v>
      </c>
      <c r="X40">
        <f t="shared" si="9"/>
        <v>0</v>
      </c>
      <c r="Y40">
        <f t="shared" si="10"/>
        <v>0</v>
      </c>
      <c r="Z40">
        <f t="shared" si="11"/>
        <v>0</v>
      </c>
      <c r="AA40">
        <f t="shared" si="12"/>
        <v>0</v>
      </c>
      <c r="AB40">
        <f t="shared" si="13"/>
        <v>0</v>
      </c>
      <c r="AC40">
        <f t="shared" si="14"/>
        <v>0</v>
      </c>
      <c r="AD40">
        <f t="shared" si="15"/>
        <v>0</v>
      </c>
      <c r="AE40">
        <v>81.400000000000006</v>
      </c>
      <c r="AF40">
        <v>1.98</v>
      </c>
      <c r="AG40">
        <v>6.54</v>
      </c>
      <c r="AH40" t="s">
        <v>100</v>
      </c>
      <c r="AI40" t="s">
        <v>97</v>
      </c>
      <c r="AJ40" t="s">
        <v>97</v>
      </c>
      <c r="AK40" t="s">
        <v>97</v>
      </c>
      <c r="AL40" t="s">
        <v>97</v>
      </c>
      <c r="AM40">
        <v>14</v>
      </c>
      <c r="AN40" t="s">
        <v>101</v>
      </c>
      <c r="AO40" t="s">
        <v>102</v>
      </c>
      <c r="AP40" t="s">
        <v>122</v>
      </c>
      <c r="AQ40" t="s">
        <v>103</v>
      </c>
      <c r="AR40" t="s">
        <v>104</v>
      </c>
      <c r="AS40" t="s">
        <v>105</v>
      </c>
      <c r="AT40" t="s">
        <v>106</v>
      </c>
      <c r="AU40" t="s">
        <v>97</v>
      </c>
      <c r="AV40" t="s">
        <v>97</v>
      </c>
      <c r="AW40">
        <v>-1.08</v>
      </c>
      <c r="AX40">
        <v>-0.61</v>
      </c>
      <c r="AY40">
        <v>0.2</v>
      </c>
      <c r="AZ40">
        <v>1.0900000000000001</v>
      </c>
      <c r="BA40" t="s">
        <v>97</v>
      </c>
      <c r="BB40" t="s">
        <v>97</v>
      </c>
      <c r="BC40" t="s">
        <v>97</v>
      </c>
      <c r="BD40">
        <v>0</v>
      </c>
      <c r="BE40" t="s">
        <v>97</v>
      </c>
      <c r="BF40" t="s">
        <v>97</v>
      </c>
      <c r="BG40" t="s">
        <v>97</v>
      </c>
      <c r="BH40" t="s">
        <v>97</v>
      </c>
      <c r="BI40">
        <v>666163</v>
      </c>
      <c r="BJ40">
        <v>666163</v>
      </c>
      <c r="BK40" t="s">
        <v>97</v>
      </c>
      <c r="BL40" t="s">
        <v>97</v>
      </c>
      <c r="BM40">
        <v>-1.916566343</v>
      </c>
      <c r="BN40">
        <v>-118.5226418</v>
      </c>
      <c r="BO40">
        <v>-4.430224559</v>
      </c>
      <c r="BP40">
        <v>-9.8005424090000002</v>
      </c>
      <c r="BQ40">
        <v>23.818397050000002</v>
      </c>
      <c r="BR40">
        <v>-37.251083979999997</v>
      </c>
      <c r="BS40">
        <v>3.48</v>
      </c>
      <c r="BT40">
        <v>1.66</v>
      </c>
      <c r="BU40" t="s">
        <v>97</v>
      </c>
      <c r="BV40" t="s">
        <v>97</v>
      </c>
      <c r="BW40" t="s">
        <v>97</v>
      </c>
      <c r="BX40">
        <v>81.599999999999994</v>
      </c>
      <c r="BY40">
        <v>2496</v>
      </c>
      <c r="BZ40">
        <v>6.5</v>
      </c>
      <c r="CA40">
        <v>813069</v>
      </c>
      <c r="CB40">
        <v>666163</v>
      </c>
      <c r="CC40">
        <v>666163</v>
      </c>
      <c r="CD40">
        <v>518692</v>
      </c>
      <c r="CE40">
        <v>669242</v>
      </c>
      <c r="CF40">
        <v>571970</v>
      </c>
      <c r="CG40">
        <v>605141</v>
      </c>
      <c r="CH40">
        <v>571771</v>
      </c>
      <c r="CI40">
        <v>681624</v>
      </c>
      <c r="CJ40">
        <v>606192</v>
      </c>
      <c r="CK40">
        <v>54</v>
      </c>
      <c r="CL40" t="s">
        <v>97</v>
      </c>
      <c r="CM40" t="s">
        <v>97</v>
      </c>
      <c r="CN40" t="s">
        <v>97</v>
      </c>
      <c r="CO40" t="s">
        <v>97</v>
      </c>
      <c r="CP40" t="s">
        <v>97</v>
      </c>
      <c r="CQ40" t="s">
        <v>97</v>
      </c>
      <c r="CR40" t="s">
        <v>97</v>
      </c>
      <c r="CS40">
        <v>5</v>
      </c>
      <c r="CT40">
        <v>0</v>
      </c>
      <c r="CU40">
        <v>0</v>
      </c>
      <c r="CV40">
        <v>5</v>
      </c>
      <c r="CW40">
        <v>0</v>
      </c>
      <c r="CX40">
        <v>5</v>
      </c>
      <c r="CY40">
        <v>0</v>
      </c>
      <c r="CZ40">
        <v>5</v>
      </c>
      <c r="DA40" t="s">
        <v>107</v>
      </c>
      <c r="DB40" t="s">
        <v>107</v>
      </c>
      <c r="DC40">
        <v>321</v>
      </c>
      <c r="DD40">
        <v>0</v>
      </c>
      <c r="DE40">
        <v>4.2999999999999997E-2</v>
      </c>
      <c r="DF40" t="s">
        <v>97</v>
      </c>
      <c r="DG40" t="s">
        <v>97</v>
      </c>
    </row>
    <row r="41" spans="1:111" x14ac:dyDescent="0.2">
      <c r="A41">
        <v>2025</v>
      </c>
      <c r="B41" s="1">
        <v>45930</v>
      </c>
      <c r="C41" t="s">
        <v>95</v>
      </c>
      <c r="D41">
        <v>605483</v>
      </c>
      <c r="E41">
        <v>609280</v>
      </c>
      <c r="F41">
        <v>2</v>
      </c>
      <c r="G41">
        <v>2</v>
      </c>
      <c r="H41">
        <v>4</v>
      </c>
      <c r="I41" t="s">
        <v>96</v>
      </c>
      <c r="J41">
        <v>29</v>
      </c>
      <c r="K41">
        <v>5</v>
      </c>
      <c r="L41" t="s">
        <v>116</v>
      </c>
      <c r="M41" t="s">
        <v>98</v>
      </c>
      <c r="N41" t="s">
        <v>99</v>
      </c>
      <c r="O41">
        <f t="shared" si="0"/>
        <v>0</v>
      </c>
      <c r="P41">
        <f t="shared" si="1"/>
        <v>0</v>
      </c>
      <c r="Q41">
        <f t="shared" si="2"/>
        <v>1</v>
      </c>
      <c r="R41">
        <f t="shared" si="3"/>
        <v>0</v>
      </c>
      <c r="S41">
        <f t="shared" si="4"/>
        <v>0</v>
      </c>
      <c r="T41">
        <f t="shared" si="5"/>
        <v>0</v>
      </c>
      <c r="U41">
        <f t="shared" si="6"/>
        <v>0</v>
      </c>
      <c r="V41">
        <f t="shared" si="7"/>
        <v>0</v>
      </c>
      <c r="W41">
        <f t="shared" si="8"/>
        <v>0</v>
      </c>
      <c r="X41">
        <f t="shared" si="9"/>
        <v>0</v>
      </c>
      <c r="Y41">
        <f t="shared" si="10"/>
        <v>0</v>
      </c>
      <c r="Z41">
        <f t="shared" si="11"/>
        <v>0</v>
      </c>
      <c r="AA41">
        <f t="shared" si="12"/>
        <v>0</v>
      </c>
      <c r="AB41">
        <f t="shared" si="13"/>
        <v>0</v>
      </c>
      <c r="AC41">
        <f t="shared" si="14"/>
        <v>0</v>
      </c>
      <c r="AD41">
        <f t="shared" si="15"/>
        <v>0</v>
      </c>
      <c r="AE41">
        <v>97.2</v>
      </c>
      <c r="AF41">
        <v>2.02</v>
      </c>
      <c r="AG41">
        <v>6.54</v>
      </c>
      <c r="AH41" t="s">
        <v>145</v>
      </c>
      <c r="AI41" t="s">
        <v>97</v>
      </c>
      <c r="AJ41" t="s">
        <v>97</v>
      </c>
      <c r="AK41" t="s">
        <v>97</v>
      </c>
      <c r="AL41" t="s">
        <v>97</v>
      </c>
      <c r="AM41">
        <v>11</v>
      </c>
      <c r="AN41" t="s">
        <v>146</v>
      </c>
      <c r="AO41" t="s">
        <v>102</v>
      </c>
      <c r="AP41" t="s">
        <v>122</v>
      </c>
      <c r="AQ41" t="s">
        <v>103</v>
      </c>
      <c r="AR41" t="s">
        <v>104</v>
      </c>
      <c r="AS41" t="s">
        <v>105</v>
      </c>
      <c r="AT41" t="s">
        <v>110</v>
      </c>
      <c r="AU41">
        <v>2</v>
      </c>
      <c r="AV41" t="s">
        <v>97</v>
      </c>
      <c r="AW41">
        <v>0.3</v>
      </c>
      <c r="AX41">
        <v>1.51</v>
      </c>
      <c r="AY41">
        <v>-0.49</v>
      </c>
      <c r="AZ41">
        <v>3.59</v>
      </c>
      <c r="BA41" t="s">
        <v>97</v>
      </c>
      <c r="BB41" t="s">
        <v>97</v>
      </c>
      <c r="BC41" t="s">
        <v>97</v>
      </c>
      <c r="BD41">
        <v>0</v>
      </c>
      <c r="BE41" t="s">
        <v>97</v>
      </c>
      <c r="BF41" t="s">
        <v>97</v>
      </c>
      <c r="BG41" t="s">
        <v>97</v>
      </c>
      <c r="BH41" t="s">
        <v>97</v>
      </c>
      <c r="BI41">
        <v>666163</v>
      </c>
      <c r="BJ41">
        <v>666163</v>
      </c>
      <c r="BK41" t="s">
        <v>97</v>
      </c>
      <c r="BL41" t="s">
        <v>97</v>
      </c>
      <c r="BM41">
        <v>-7.4382556129999999</v>
      </c>
      <c r="BN41">
        <v>-141.2411055</v>
      </c>
      <c r="BO41">
        <v>-5.8295318260000002</v>
      </c>
      <c r="BP41">
        <v>5.6851079010000003</v>
      </c>
      <c r="BQ41">
        <v>32.972209759999998</v>
      </c>
      <c r="BR41">
        <v>-10.79781228</v>
      </c>
      <c r="BS41">
        <v>3.41</v>
      </c>
      <c r="BT41">
        <v>1.66</v>
      </c>
      <c r="BU41" t="s">
        <v>97</v>
      </c>
      <c r="BV41" t="s">
        <v>97</v>
      </c>
      <c r="BW41" t="s">
        <v>97</v>
      </c>
      <c r="BX41">
        <v>97.5</v>
      </c>
      <c r="BY41">
        <v>2473</v>
      </c>
      <c r="BZ41">
        <v>6.6</v>
      </c>
      <c r="CA41">
        <v>813069</v>
      </c>
      <c r="CB41">
        <v>666163</v>
      </c>
      <c r="CC41">
        <v>666163</v>
      </c>
      <c r="CD41">
        <v>518692</v>
      </c>
      <c r="CE41">
        <v>669242</v>
      </c>
      <c r="CF41">
        <v>571970</v>
      </c>
      <c r="CG41">
        <v>605141</v>
      </c>
      <c r="CH41">
        <v>571771</v>
      </c>
      <c r="CI41">
        <v>681624</v>
      </c>
      <c r="CJ41">
        <v>606192</v>
      </c>
      <c r="CK41">
        <v>53.9</v>
      </c>
      <c r="CL41" t="s">
        <v>97</v>
      </c>
      <c r="CM41">
        <v>0</v>
      </c>
      <c r="CN41">
        <v>0</v>
      </c>
      <c r="CO41">
        <v>1</v>
      </c>
      <c r="CP41">
        <v>0</v>
      </c>
      <c r="CQ41">
        <v>0</v>
      </c>
      <c r="CR41" t="s">
        <v>97</v>
      </c>
      <c r="CS41">
        <v>5</v>
      </c>
      <c r="CT41">
        <v>0</v>
      </c>
      <c r="CU41">
        <v>0</v>
      </c>
      <c r="CV41">
        <v>5</v>
      </c>
      <c r="CW41">
        <v>0</v>
      </c>
      <c r="CX41">
        <v>5</v>
      </c>
      <c r="CY41">
        <v>0</v>
      </c>
      <c r="CZ41">
        <v>5</v>
      </c>
      <c r="DA41" t="s">
        <v>107</v>
      </c>
      <c r="DB41" t="s">
        <v>107</v>
      </c>
      <c r="DC41">
        <v>155</v>
      </c>
      <c r="DD41">
        <v>1.0999999999999999E-2</v>
      </c>
      <c r="DE41">
        <v>-0.23200000000000001</v>
      </c>
      <c r="DF41">
        <v>60.7</v>
      </c>
      <c r="DG41">
        <v>5.3</v>
      </c>
    </row>
    <row r="42" spans="1:111" x14ac:dyDescent="0.2">
      <c r="A42">
        <v>2025</v>
      </c>
      <c r="B42" s="1">
        <v>45930</v>
      </c>
      <c r="C42" t="s">
        <v>95</v>
      </c>
      <c r="D42">
        <v>605483</v>
      </c>
      <c r="E42">
        <v>669720</v>
      </c>
      <c r="F42">
        <v>0</v>
      </c>
      <c r="G42">
        <v>0</v>
      </c>
      <c r="H42">
        <v>4</v>
      </c>
      <c r="I42" t="s">
        <v>96</v>
      </c>
      <c r="J42">
        <v>30</v>
      </c>
      <c r="K42">
        <v>1</v>
      </c>
      <c r="L42" t="s">
        <v>97</v>
      </c>
      <c r="M42" t="s">
        <v>132</v>
      </c>
      <c r="N42" t="s">
        <v>133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0</v>
      </c>
      <c r="U42">
        <f t="shared" si="6"/>
        <v>0</v>
      </c>
      <c r="V42">
        <f t="shared" si="7"/>
        <v>0</v>
      </c>
      <c r="W42">
        <f t="shared" si="8"/>
        <v>1</v>
      </c>
      <c r="X42">
        <f t="shared" si="9"/>
        <v>0</v>
      </c>
      <c r="Y42">
        <f t="shared" si="10"/>
        <v>0</v>
      </c>
      <c r="Z42">
        <f t="shared" si="11"/>
        <v>0</v>
      </c>
      <c r="AA42">
        <f t="shared" si="12"/>
        <v>0</v>
      </c>
      <c r="AB42">
        <f t="shared" si="13"/>
        <v>0</v>
      </c>
      <c r="AC42">
        <f t="shared" si="14"/>
        <v>0</v>
      </c>
      <c r="AD42">
        <f t="shared" si="15"/>
        <v>0</v>
      </c>
      <c r="AE42">
        <v>86</v>
      </c>
      <c r="AF42">
        <v>2.35</v>
      </c>
      <c r="AG42">
        <v>6.42</v>
      </c>
      <c r="AH42" t="s">
        <v>113</v>
      </c>
      <c r="AI42" t="s">
        <v>97</v>
      </c>
      <c r="AJ42" t="s">
        <v>97</v>
      </c>
      <c r="AK42" t="s">
        <v>97</v>
      </c>
      <c r="AL42" t="s">
        <v>97</v>
      </c>
      <c r="AM42">
        <v>9</v>
      </c>
      <c r="AN42" t="s">
        <v>114</v>
      </c>
      <c r="AO42" t="s">
        <v>102</v>
      </c>
      <c r="AP42" t="s">
        <v>122</v>
      </c>
      <c r="AQ42" t="s">
        <v>103</v>
      </c>
      <c r="AR42" t="s">
        <v>104</v>
      </c>
      <c r="AS42" t="s">
        <v>105</v>
      </c>
      <c r="AT42" t="s">
        <v>110</v>
      </c>
      <c r="AU42" t="s">
        <v>97</v>
      </c>
      <c r="AV42" t="s">
        <v>97</v>
      </c>
      <c r="AW42">
        <v>1.19</v>
      </c>
      <c r="AX42">
        <v>0.69</v>
      </c>
      <c r="AY42">
        <v>0.71</v>
      </c>
      <c r="AZ42">
        <v>1.67</v>
      </c>
      <c r="BA42" t="s">
        <v>97</v>
      </c>
      <c r="BB42" t="s">
        <v>97</v>
      </c>
      <c r="BC42" t="s">
        <v>97</v>
      </c>
      <c r="BD42">
        <v>1</v>
      </c>
      <c r="BE42" t="s">
        <v>97</v>
      </c>
      <c r="BF42" t="s">
        <v>97</v>
      </c>
      <c r="BG42" t="s">
        <v>97</v>
      </c>
      <c r="BH42" t="s">
        <v>97</v>
      </c>
      <c r="BI42">
        <v>666163</v>
      </c>
      <c r="BJ42">
        <v>666163</v>
      </c>
      <c r="BK42" t="s">
        <v>97</v>
      </c>
      <c r="BL42" t="s">
        <v>97</v>
      </c>
      <c r="BM42">
        <v>-6.3350955400000002</v>
      </c>
      <c r="BN42">
        <v>-124.941186</v>
      </c>
      <c r="BO42">
        <v>-6.4347631740000004</v>
      </c>
      <c r="BP42">
        <v>13.70791852</v>
      </c>
      <c r="BQ42">
        <v>25.360734529999998</v>
      </c>
      <c r="BR42">
        <v>-23.850939010000001</v>
      </c>
      <c r="BS42">
        <v>3.33</v>
      </c>
      <c r="BT42">
        <v>1.5</v>
      </c>
      <c r="BU42" t="s">
        <v>97</v>
      </c>
      <c r="BV42" t="s">
        <v>97</v>
      </c>
      <c r="BW42" t="s">
        <v>97</v>
      </c>
      <c r="BX42">
        <v>86.6</v>
      </c>
      <c r="BY42">
        <v>1862</v>
      </c>
      <c r="BZ42">
        <v>6.8</v>
      </c>
      <c r="CA42">
        <v>813069</v>
      </c>
      <c r="CB42">
        <v>666163</v>
      </c>
      <c r="CC42">
        <v>666163</v>
      </c>
      <c r="CD42">
        <v>518692</v>
      </c>
      <c r="CE42">
        <v>669242</v>
      </c>
      <c r="CF42">
        <v>571970</v>
      </c>
      <c r="CG42">
        <v>605141</v>
      </c>
      <c r="CH42">
        <v>571771</v>
      </c>
      <c r="CI42">
        <v>681624</v>
      </c>
      <c r="CJ42">
        <v>606192</v>
      </c>
      <c r="CK42">
        <v>53.75</v>
      </c>
      <c r="CL42" t="s">
        <v>97</v>
      </c>
      <c r="CM42" t="s">
        <v>97</v>
      </c>
      <c r="CN42" t="s">
        <v>97</v>
      </c>
      <c r="CO42" t="s">
        <v>97</v>
      </c>
      <c r="CP42" t="s">
        <v>97</v>
      </c>
      <c r="CQ42" t="s">
        <v>97</v>
      </c>
      <c r="CR42" t="s">
        <v>97</v>
      </c>
      <c r="CS42">
        <v>5</v>
      </c>
      <c r="CT42">
        <v>0</v>
      </c>
      <c r="CU42">
        <v>0</v>
      </c>
      <c r="CV42">
        <v>5</v>
      </c>
      <c r="CW42">
        <v>0</v>
      </c>
      <c r="CX42">
        <v>5</v>
      </c>
      <c r="CY42">
        <v>0</v>
      </c>
      <c r="CZ42">
        <v>5</v>
      </c>
      <c r="DA42" t="s">
        <v>107</v>
      </c>
      <c r="DB42" t="s">
        <v>107</v>
      </c>
      <c r="DC42">
        <v>133</v>
      </c>
      <c r="DD42">
        <v>0</v>
      </c>
      <c r="DE42">
        <v>-3.9E-2</v>
      </c>
      <c r="DF42">
        <v>77.099999999999994</v>
      </c>
      <c r="DG42">
        <v>7.5</v>
      </c>
    </row>
    <row r="43" spans="1:111" x14ac:dyDescent="0.2">
      <c r="A43">
        <v>2025</v>
      </c>
      <c r="B43" s="1">
        <v>45930</v>
      </c>
      <c r="C43" t="s">
        <v>95</v>
      </c>
      <c r="D43">
        <v>605483</v>
      </c>
      <c r="E43">
        <v>669720</v>
      </c>
      <c r="F43">
        <v>0</v>
      </c>
      <c r="G43">
        <v>1</v>
      </c>
      <c r="H43">
        <v>4</v>
      </c>
      <c r="I43" t="s">
        <v>96</v>
      </c>
      <c r="J43">
        <v>30</v>
      </c>
      <c r="K43">
        <v>2</v>
      </c>
      <c r="L43" t="s">
        <v>97</v>
      </c>
      <c r="M43" t="s">
        <v>132</v>
      </c>
      <c r="N43" t="s">
        <v>133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0</v>
      </c>
      <c r="U43">
        <f t="shared" si="6"/>
        <v>0</v>
      </c>
      <c r="V43">
        <f t="shared" si="7"/>
        <v>0</v>
      </c>
      <c r="W43">
        <f t="shared" si="8"/>
        <v>1</v>
      </c>
      <c r="X43">
        <f t="shared" si="9"/>
        <v>0</v>
      </c>
      <c r="Y43">
        <f t="shared" si="10"/>
        <v>0</v>
      </c>
      <c r="Z43">
        <f t="shared" si="11"/>
        <v>0</v>
      </c>
      <c r="AA43">
        <f t="shared" si="12"/>
        <v>0</v>
      </c>
      <c r="AB43">
        <f t="shared" si="13"/>
        <v>0</v>
      </c>
      <c r="AC43">
        <f t="shared" si="14"/>
        <v>0</v>
      </c>
      <c r="AD43">
        <f t="shared" si="15"/>
        <v>0</v>
      </c>
      <c r="AE43">
        <v>83.2</v>
      </c>
      <c r="AF43">
        <v>2.23</v>
      </c>
      <c r="AG43">
        <v>6.34</v>
      </c>
      <c r="AH43" t="s">
        <v>100</v>
      </c>
      <c r="AI43" t="s">
        <v>97</v>
      </c>
      <c r="AJ43" t="s">
        <v>97</v>
      </c>
      <c r="AK43" t="s">
        <v>97</v>
      </c>
      <c r="AL43" t="s">
        <v>97</v>
      </c>
      <c r="AM43">
        <v>14</v>
      </c>
      <c r="AN43" t="s">
        <v>101</v>
      </c>
      <c r="AO43" t="s">
        <v>102</v>
      </c>
      <c r="AP43" t="s">
        <v>122</v>
      </c>
      <c r="AQ43" t="s">
        <v>103</v>
      </c>
      <c r="AR43" t="s">
        <v>104</v>
      </c>
      <c r="AS43" t="s">
        <v>105</v>
      </c>
      <c r="AT43" t="s">
        <v>106</v>
      </c>
      <c r="AU43" t="s">
        <v>97</v>
      </c>
      <c r="AV43" t="s">
        <v>97</v>
      </c>
      <c r="AW43">
        <v>1.1100000000000001</v>
      </c>
      <c r="AX43">
        <v>0.88</v>
      </c>
      <c r="AY43">
        <v>0.82</v>
      </c>
      <c r="AZ43">
        <v>0.83</v>
      </c>
      <c r="BA43" t="s">
        <v>97</v>
      </c>
      <c r="BB43" t="s">
        <v>97</v>
      </c>
      <c r="BC43" t="s">
        <v>97</v>
      </c>
      <c r="BD43">
        <v>1</v>
      </c>
      <c r="BE43" t="s">
        <v>97</v>
      </c>
      <c r="BF43" t="s">
        <v>97</v>
      </c>
      <c r="BG43" t="s">
        <v>97</v>
      </c>
      <c r="BH43" t="s">
        <v>97</v>
      </c>
      <c r="BI43">
        <v>666163</v>
      </c>
      <c r="BJ43">
        <v>666163</v>
      </c>
      <c r="BK43" t="s">
        <v>97</v>
      </c>
      <c r="BL43" t="s">
        <v>97</v>
      </c>
      <c r="BM43">
        <v>-5.4630365550000004</v>
      </c>
      <c r="BN43">
        <v>-120.8512222</v>
      </c>
      <c r="BO43">
        <v>-7.953117282</v>
      </c>
      <c r="BP43">
        <v>11.98540908</v>
      </c>
      <c r="BQ43">
        <v>23.337196729999999</v>
      </c>
      <c r="BR43">
        <v>-22.14291167</v>
      </c>
      <c r="BS43">
        <v>3.3</v>
      </c>
      <c r="BT43">
        <v>1.5</v>
      </c>
      <c r="BU43" t="s">
        <v>97</v>
      </c>
      <c r="BV43" t="s">
        <v>97</v>
      </c>
      <c r="BW43" t="s">
        <v>97</v>
      </c>
      <c r="BX43">
        <v>83.8</v>
      </c>
      <c r="BY43">
        <v>1847</v>
      </c>
      <c r="BZ43">
        <v>6.8</v>
      </c>
      <c r="CA43">
        <v>813069</v>
      </c>
      <c r="CB43">
        <v>666163</v>
      </c>
      <c r="CC43">
        <v>666163</v>
      </c>
      <c r="CD43">
        <v>518692</v>
      </c>
      <c r="CE43">
        <v>669242</v>
      </c>
      <c r="CF43">
        <v>571970</v>
      </c>
      <c r="CG43">
        <v>605141</v>
      </c>
      <c r="CH43">
        <v>571771</v>
      </c>
      <c r="CI43">
        <v>681624</v>
      </c>
      <c r="CJ43">
        <v>606192</v>
      </c>
      <c r="CK43">
        <v>53.74</v>
      </c>
      <c r="CL43" t="s">
        <v>97</v>
      </c>
      <c r="CM43" t="s">
        <v>97</v>
      </c>
      <c r="CN43" t="s">
        <v>97</v>
      </c>
      <c r="CO43" t="s">
        <v>97</v>
      </c>
      <c r="CP43" t="s">
        <v>97</v>
      </c>
      <c r="CQ43" t="s">
        <v>97</v>
      </c>
      <c r="CR43" t="s">
        <v>97</v>
      </c>
      <c r="CS43">
        <v>5</v>
      </c>
      <c r="CT43">
        <v>0</v>
      </c>
      <c r="CU43">
        <v>0</v>
      </c>
      <c r="CV43">
        <v>5</v>
      </c>
      <c r="CW43">
        <v>0</v>
      </c>
      <c r="CX43">
        <v>5</v>
      </c>
      <c r="CY43">
        <v>0</v>
      </c>
      <c r="CZ43">
        <v>5</v>
      </c>
      <c r="DA43" t="s">
        <v>107</v>
      </c>
      <c r="DB43" t="s">
        <v>107</v>
      </c>
      <c r="DC43">
        <v>128</v>
      </c>
      <c r="DD43">
        <v>0</v>
      </c>
      <c r="DE43">
        <v>2.8000000000000001E-2</v>
      </c>
      <c r="DF43" t="s">
        <v>97</v>
      </c>
      <c r="DG43" t="s">
        <v>97</v>
      </c>
    </row>
    <row r="44" spans="1:111" x14ac:dyDescent="0.2">
      <c r="A44">
        <v>2025</v>
      </c>
      <c r="B44" s="1">
        <v>45930</v>
      </c>
      <c r="C44" t="s">
        <v>95</v>
      </c>
      <c r="D44">
        <v>605483</v>
      </c>
      <c r="E44">
        <v>669720</v>
      </c>
      <c r="F44">
        <v>1</v>
      </c>
      <c r="G44">
        <v>1</v>
      </c>
      <c r="H44">
        <v>4</v>
      </c>
      <c r="I44" t="s">
        <v>96</v>
      </c>
      <c r="J44">
        <v>30</v>
      </c>
      <c r="K44">
        <v>3</v>
      </c>
      <c r="L44" t="s">
        <v>97</v>
      </c>
      <c r="M44" t="s">
        <v>132</v>
      </c>
      <c r="N44" t="s">
        <v>133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0</v>
      </c>
      <c r="U44">
        <f t="shared" si="6"/>
        <v>0</v>
      </c>
      <c r="V44">
        <f t="shared" si="7"/>
        <v>0</v>
      </c>
      <c r="W44">
        <f t="shared" si="8"/>
        <v>1</v>
      </c>
      <c r="X44">
        <f t="shared" si="9"/>
        <v>0</v>
      </c>
      <c r="Y44">
        <f t="shared" si="10"/>
        <v>0</v>
      </c>
      <c r="Z44">
        <f t="shared" si="11"/>
        <v>0</v>
      </c>
      <c r="AA44">
        <f t="shared" si="12"/>
        <v>0</v>
      </c>
      <c r="AB44">
        <f t="shared" si="13"/>
        <v>0</v>
      </c>
      <c r="AC44">
        <f t="shared" si="14"/>
        <v>0</v>
      </c>
      <c r="AD44">
        <f t="shared" si="15"/>
        <v>0</v>
      </c>
      <c r="AE44">
        <v>87.2</v>
      </c>
      <c r="AF44">
        <v>2.37</v>
      </c>
      <c r="AG44">
        <v>6.37</v>
      </c>
      <c r="AH44" t="s">
        <v>113</v>
      </c>
      <c r="AI44" t="s">
        <v>97</v>
      </c>
      <c r="AJ44" t="s">
        <v>97</v>
      </c>
      <c r="AK44" t="s">
        <v>97</v>
      </c>
      <c r="AL44" t="s">
        <v>97</v>
      </c>
      <c r="AM44">
        <v>9</v>
      </c>
      <c r="AN44" t="s">
        <v>114</v>
      </c>
      <c r="AO44" t="s">
        <v>102</v>
      </c>
      <c r="AP44" t="s">
        <v>122</v>
      </c>
      <c r="AQ44" t="s">
        <v>103</v>
      </c>
      <c r="AR44" t="s">
        <v>104</v>
      </c>
      <c r="AS44" t="s">
        <v>105</v>
      </c>
      <c r="AT44" t="s">
        <v>110</v>
      </c>
      <c r="AU44" t="s">
        <v>97</v>
      </c>
      <c r="AV44" t="s">
        <v>97</v>
      </c>
      <c r="AW44">
        <v>1.35</v>
      </c>
      <c r="AX44">
        <v>0.79</v>
      </c>
      <c r="AY44">
        <v>0.63</v>
      </c>
      <c r="AZ44">
        <v>1.67</v>
      </c>
      <c r="BA44" t="s">
        <v>97</v>
      </c>
      <c r="BB44" t="s">
        <v>97</v>
      </c>
      <c r="BC44" t="s">
        <v>97</v>
      </c>
      <c r="BD44">
        <v>1</v>
      </c>
      <c r="BE44" t="s">
        <v>97</v>
      </c>
      <c r="BF44" t="s">
        <v>97</v>
      </c>
      <c r="BG44" t="s">
        <v>97</v>
      </c>
      <c r="BH44" t="s">
        <v>97</v>
      </c>
      <c r="BI44">
        <v>666163</v>
      </c>
      <c r="BJ44">
        <v>666163</v>
      </c>
      <c r="BK44" t="s">
        <v>97</v>
      </c>
      <c r="BL44" t="s">
        <v>97</v>
      </c>
      <c r="BM44">
        <v>-6.978970908</v>
      </c>
      <c r="BN44">
        <v>-126.76125639999999</v>
      </c>
      <c r="BO44">
        <v>-6.8054917159999997</v>
      </c>
      <c r="BP44">
        <v>15.92848736</v>
      </c>
      <c r="BQ44">
        <v>25.274410100000001</v>
      </c>
      <c r="BR44">
        <v>-22.42458444</v>
      </c>
      <c r="BS44">
        <v>3.33</v>
      </c>
      <c r="BT44">
        <v>1.5</v>
      </c>
      <c r="BU44" t="s">
        <v>97</v>
      </c>
      <c r="BV44" t="s">
        <v>97</v>
      </c>
      <c r="BW44" t="s">
        <v>97</v>
      </c>
      <c r="BX44">
        <v>87.9</v>
      </c>
      <c r="BY44">
        <v>1898</v>
      </c>
      <c r="BZ44">
        <v>6.7</v>
      </c>
      <c r="CA44">
        <v>813069</v>
      </c>
      <c r="CB44">
        <v>666163</v>
      </c>
      <c r="CC44">
        <v>666163</v>
      </c>
      <c r="CD44">
        <v>518692</v>
      </c>
      <c r="CE44">
        <v>669242</v>
      </c>
      <c r="CF44">
        <v>571970</v>
      </c>
      <c r="CG44">
        <v>605141</v>
      </c>
      <c r="CH44">
        <v>571771</v>
      </c>
      <c r="CI44">
        <v>681624</v>
      </c>
      <c r="CJ44">
        <v>606192</v>
      </c>
      <c r="CK44">
        <v>53.79</v>
      </c>
      <c r="CL44" t="s">
        <v>97</v>
      </c>
      <c r="CM44" t="s">
        <v>97</v>
      </c>
      <c r="CN44" t="s">
        <v>97</v>
      </c>
      <c r="CO44" t="s">
        <v>97</v>
      </c>
      <c r="CP44" t="s">
        <v>97</v>
      </c>
      <c r="CQ44" t="s">
        <v>97</v>
      </c>
      <c r="CR44" t="s">
        <v>97</v>
      </c>
      <c r="CS44">
        <v>5</v>
      </c>
      <c r="CT44">
        <v>0</v>
      </c>
      <c r="CU44">
        <v>0</v>
      </c>
      <c r="CV44">
        <v>5</v>
      </c>
      <c r="CW44">
        <v>0</v>
      </c>
      <c r="CX44">
        <v>5</v>
      </c>
      <c r="CY44">
        <v>0</v>
      </c>
      <c r="CZ44">
        <v>5</v>
      </c>
      <c r="DA44" t="s">
        <v>107</v>
      </c>
      <c r="DB44" t="s">
        <v>107</v>
      </c>
      <c r="DC44">
        <v>131</v>
      </c>
      <c r="DD44">
        <v>0</v>
      </c>
      <c r="DE44">
        <v>-6.4000000000000001E-2</v>
      </c>
      <c r="DF44">
        <v>78.599999999999994</v>
      </c>
      <c r="DG44">
        <v>7.3</v>
      </c>
    </row>
    <row r="45" spans="1:111" x14ac:dyDescent="0.2">
      <c r="A45">
        <v>2025</v>
      </c>
      <c r="B45" s="1">
        <v>45930</v>
      </c>
      <c r="C45" t="s">
        <v>95</v>
      </c>
      <c r="D45">
        <v>605483</v>
      </c>
      <c r="E45">
        <v>669720</v>
      </c>
      <c r="F45">
        <v>1</v>
      </c>
      <c r="G45">
        <v>2</v>
      </c>
      <c r="H45">
        <v>4</v>
      </c>
      <c r="I45" t="s">
        <v>96</v>
      </c>
      <c r="J45">
        <v>30</v>
      </c>
      <c r="K45">
        <v>4</v>
      </c>
      <c r="L45" t="s">
        <v>97</v>
      </c>
      <c r="M45" t="s">
        <v>132</v>
      </c>
      <c r="N45" t="s">
        <v>133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0</v>
      </c>
      <c r="U45">
        <f t="shared" si="6"/>
        <v>0</v>
      </c>
      <c r="V45">
        <f t="shared" si="7"/>
        <v>0</v>
      </c>
      <c r="W45">
        <f t="shared" si="8"/>
        <v>0</v>
      </c>
      <c r="X45">
        <f t="shared" si="9"/>
        <v>0</v>
      </c>
      <c r="Y45">
        <f t="shared" si="10"/>
        <v>1</v>
      </c>
      <c r="Z45">
        <f t="shared" si="11"/>
        <v>0</v>
      </c>
      <c r="AA45">
        <f t="shared" si="12"/>
        <v>0</v>
      </c>
      <c r="AB45">
        <f t="shared" si="13"/>
        <v>0</v>
      </c>
      <c r="AC45">
        <f t="shared" si="14"/>
        <v>0</v>
      </c>
      <c r="AD45">
        <f t="shared" si="15"/>
        <v>0</v>
      </c>
      <c r="AE45">
        <v>80.900000000000006</v>
      </c>
      <c r="AF45">
        <v>2.23</v>
      </c>
      <c r="AG45">
        <v>6.31</v>
      </c>
      <c r="AH45" t="s">
        <v>100</v>
      </c>
      <c r="AI45" t="s">
        <v>97</v>
      </c>
      <c r="AJ45" t="s">
        <v>97</v>
      </c>
      <c r="AK45" t="s">
        <v>97</v>
      </c>
      <c r="AL45" t="s">
        <v>97</v>
      </c>
      <c r="AM45">
        <v>13</v>
      </c>
      <c r="AN45" t="s">
        <v>101</v>
      </c>
      <c r="AO45" t="s">
        <v>102</v>
      </c>
      <c r="AP45" t="s">
        <v>122</v>
      </c>
      <c r="AQ45" t="s">
        <v>103</v>
      </c>
      <c r="AR45" t="s">
        <v>104</v>
      </c>
      <c r="AS45" t="s">
        <v>105</v>
      </c>
      <c r="AT45" t="s">
        <v>106</v>
      </c>
      <c r="AU45" t="s">
        <v>97</v>
      </c>
      <c r="AV45" t="s">
        <v>97</v>
      </c>
      <c r="AW45">
        <v>0.95</v>
      </c>
      <c r="AX45">
        <v>0.91</v>
      </c>
      <c r="AY45">
        <v>-0.2</v>
      </c>
      <c r="AZ45">
        <v>0.95</v>
      </c>
      <c r="BA45" t="s">
        <v>97</v>
      </c>
      <c r="BB45" t="s">
        <v>97</v>
      </c>
      <c r="BC45" t="s">
        <v>97</v>
      </c>
      <c r="BD45">
        <v>1</v>
      </c>
      <c r="BE45" t="s">
        <v>97</v>
      </c>
      <c r="BF45" t="s">
        <v>97</v>
      </c>
      <c r="BG45" t="s">
        <v>97</v>
      </c>
      <c r="BH45" t="s">
        <v>97</v>
      </c>
      <c r="BI45">
        <v>666163</v>
      </c>
      <c r="BJ45">
        <v>666163</v>
      </c>
      <c r="BK45" t="s">
        <v>97</v>
      </c>
      <c r="BL45" t="s">
        <v>97</v>
      </c>
      <c r="BM45">
        <v>-7.3095777389999999</v>
      </c>
      <c r="BN45">
        <v>-117.4549707</v>
      </c>
      <c r="BO45">
        <v>-7.0543264849999998</v>
      </c>
      <c r="BP45">
        <v>10.206621930000001</v>
      </c>
      <c r="BQ45">
        <v>22.72917352</v>
      </c>
      <c r="BR45">
        <v>-22.59958275</v>
      </c>
      <c r="BS45">
        <v>3.32</v>
      </c>
      <c r="BT45">
        <v>1.5</v>
      </c>
      <c r="BU45" t="s">
        <v>97</v>
      </c>
      <c r="BV45" t="s">
        <v>97</v>
      </c>
      <c r="BW45" t="s">
        <v>97</v>
      </c>
      <c r="BX45">
        <v>81.5</v>
      </c>
      <c r="BY45">
        <v>1778</v>
      </c>
      <c r="BZ45">
        <v>6.9</v>
      </c>
      <c r="CA45">
        <v>813069</v>
      </c>
      <c r="CB45">
        <v>666163</v>
      </c>
      <c r="CC45">
        <v>666163</v>
      </c>
      <c r="CD45">
        <v>518692</v>
      </c>
      <c r="CE45">
        <v>669242</v>
      </c>
      <c r="CF45">
        <v>571970</v>
      </c>
      <c r="CG45">
        <v>605141</v>
      </c>
      <c r="CH45">
        <v>571771</v>
      </c>
      <c r="CI45">
        <v>681624</v>
      </c>
      <c r="CJ45">
        <v>606192</v>
      </c>
      <c r="CK45">
        <v>53.62</v>
      </c>
      <c r="CL45" t="s">
        <v>97</v>
      </c>
      <c r="CM45" t="s">
        <v>97</v>
      </c>
      <c r="CN45" t="s">
        <v>97</v>
      </c>
      <c r="CO45" t="s">
        <v>97</v>
      </c>
      <c r="CP45" t="s">
        <v>97</v>
      </c>
      <c r="CQ45" t="s">
        <v>97</v>
      </c>
      <c r="CR45" t="s">
        <v>97</v>
      </c>
      <c r="CS45">
        <v>5</v>
      </c>
      <c r="CT45">
        <v>0</v>
      </c>
      <c r="CU45">
        <v>0</v>
      </c>
      <c r="CV45">
        <v>5</v>
      </c>
      <c r="CW45">
        <v>0</v>
      </c>
      <c r="CX45">
        <v>5</v>
      </c>
      <c r="CY45">
        <v>0</v>
      </c>
      <c r="CZ45">
        <v>5</v>
      </c>
      <c r="DA45" t="s">
        <v>107</v>
      </c>
      <c r="DB45" t="s">
        <v>107</v>
      </c>
      <c r="DC45">
        <v>134</v>
      </c>
      <c r="DD45">
        <v>0</v>
      </c>
      <c r="DE45">
        <v>4.8000000000000001E-2</v>
      </c>
      <c r="DF45" t="s">
        <v>97</v>
      </c>
      <c r="DG45" t="s">
        <v>97</v>
      </c>
    </row>
    <row r="46" spans="1:111" x14ac:dyDescent="0.2">
      <c r="A46">
        <v>2025</v>
      </c>
      <c r="B46" s="1">
        <v>45930</v>
      </c>
      <c r="C46" t="s">
        <v>95</v>
      </c>
      <c r="D46">
        <v>605483</v>
      </c>
      <c r="E46">
        <v>669720</v>
      </c>
      <c r="F46">
        <v>2</v>
      </c>
      <c r="G46">
        <v>2</v>
      </c>
      <c r="H46">
        <v>4</v>
      </c>
      <c r="I46" t="s">
        <v>96</v>
      </c>
      <c r="J46">
        <v>30</v>
      </c>
      <c r="K46">
        <v>5</v>
      </c>
      <c r="L46" t="s">
        <v>97</v>
      </c>
      <c r="M46" t="s">
        <v>111</v>
      </c>
      <c r="N46" t="s">
        <v>112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0</v>
      </c>
      <c r="S46">
        <f t="shared" si="4"/>
        <v>0</v>
      </c>
      <c r="T46">
        <f t="shared" si="5"/>
        <v>0</v>
      </c>
      <c r="U46">
        <f t="shared" si="6"/>
        <v>1</v>
      </c>
      <c r="V46">
        <f t="shared" si="7"/>
        <v>0</v>
      </c>
      <c r="W46">
        <f t="shared" si="8"/>
        <v>0</v>
      </c>
      <c r="X46">
        <f t="shared" si="9"/>
        <v>0</v>
      </c>
      <c r="Y46">
        <f t="shared" si="10"/>
        <v>0</v>
      </c>
      <c r="Z46">
        <f t="shared" si="11"/>
        <v>0</v>
      </c>
      <c r="AA46">
        <f t="shared" si="12"/>
        <v>0</v>
      </c>
      <c r="AB46">
        <f t="shared" si="13"/>
        <v>0</v>
      </c>
      <c r="AC46">
        <f t="shared" si="14"/>
        <v>0</v>
      </c>
      <c r="AD46">
        <f t="shared" si="15"/>
        <v>0</v>
      </c>
      <c r="AE46">
        <v>83.8</v>
      </c>
      <c r="AF46">
        <v>1.96</v>
      </c>
      <c r="AG46">
        <v>6.51</v>
      </c>
      <c r="AH46" t="s">
        <v>100</v>
      </c>
      <c r="AI46" t="s">
        <v>97</v>
      </c>
      <c r="AJ46" t="s">
        <v>97</v>
      </c>
      <c r="AK46" t="s">
        <v>97</v>
      </c>
      <c r="AL46" t="s">
        <v>97</v>
      </c>
      <c r="AM46">
        <v>13</v>
      </c>
      <c r="AN46" t="s">
        <v>101</v>
      </c>
      <c r="AO46" t="s">
        <v>102</v>
      </c>
      <c r="AP46" t="s">
        <v>122</v>
      </c>
      <c r="AQ46" t="s">
        <v>103</v>
      </c>
      <c r="AR46" t="s">
        <v>104</v>
      </c>
      <c r="AS46" t="s">
        <v>105</v>
      </c>
      <c r="AT46" t="s">
        <v>106</v>
      </c>
      <c r="AU46" t="s">
        <v>97</v>
      </c>
      <c r="AV46" t="s">
        <v>97</v>
      </c>
      <c r="AW46">
        <v>-1.0900000000000001</v>
      </c>
      <c r="AX46">
        <v>-0.28999999999999998</v>
      </c>
      <c r="AY46">
        <v>-1.1000000000000001</v>
      </c>
      <c r="AZ46">
        <v>0.17</v>
      </c>
      <c r="BA46" t="s">
        <v>97</v>
      </c>
      <c r="BB46" t="s">
        <v>97</v>
      </c>
      <c r="BC46" t="s">
        <v>97</v>
      </c>
      <c r="BD46">
        <v>1</v>
      </c>
      <c r="BE46" t="s">
        <v>97</v>
      </c>
      <c r="BF46" t="s">
        <v>97</v>
      </c>
      <c r="BG46" t="s">
        <v>97</v>
      </c>
      <c r="BH46" t="s">
        <v>97</v>
      </c>
      <c r="BI46">
        <v>666163</v>
      </c>
      <c r="BJ46">
        <v>666163</v>
      </c>
      <c r="BK46" t="s">
        <v>97</v>
      </c>
      <c r="BL46" t="s">
        <v>97</v>
      </c>
      <c r="BM46">
        <v>-4.951024522</v>
      </c>
      <c r="BN46">
        <v>-121.73991959999999</v>
      </c>
      <c r="BO46">
        <v>-7.6463580039999997</v>
      </c>
      <c r="BP46">
        <v>-9.7412388360000008</v>
      </c>
      <c r="BQ46">
        <v>25.946075149999999</v>
      </c>
      <c r="BR46">
        <v>-33.615284490000001</v>
      </c>
      <c r="BS46">
        <v>3.35</v>
      </c>
      <c r="BT46">
        <v>1.5</v>
      </c>
      <c r="BU46" t="s">
        <v>97</v>
      </c>
      <c r="BV46" t="s">
        <v>97</v>
      </c>
      <c r="BW46" t="s">
        <v>97</v>
      </c>
      <c r="BX46">
        <v>84.2</v>
      </c>
      <c r="BY46">
        <v>2706</v>
      </c>
      <c r="BZ46">
        <v>6.9</v>
      </c>
      <c r="CA46">
        <v>813069</v>
      </c>
      <c r="CB46">
        <v>666163</v>
      </c>
      <c r="CC46">
        <v>666163</v>
      </c>
      <c r="CD46">
        <v>518692</v>
      </c>
      <c r="CE46">
        <v>669242</v>
      </c>
      <c r="CF46">
        <v>571970</v>
      </c>
      <c r="CG46">
        <v>605141</v>
      </c>
      <c r="CH46">
        <v>571771</v>
      </c>
      <c r="CI46">
        <v>681624</v>
      </c>
      <c r="CJ46">
        <v>606192</v>
      </c>
      <c r="CK46">
        <v>53.64</v>
      </c>
      <c r="CL46" t="s">
        <v>97</v>
      </c>
      <c r="CM46" t="s">
        <v>97</v>
      </c>
      <c r="CN46" t="s">
        <v>97</v>
      </c>
      <c r="CO46" t="s">
        <v>97</v>
      </c>
      <c r="CP46" t="s">
        <v>97</v>
      </c>
      <c r="CQ46" t="s">
        <v>97</v>
      </c>
      <c r="CR46" t="s">
        <v>97</v>
      </c>
      <c r="CS46">
        <v>5</v>
      </c>
      <c r="CT46">
        <v>0</v>
      </c>
      <c r="CU46">
        <v>0</v>
      </c>
      <c r="CV46">
        <v>5</v>
      </c>
      <c r="CW46">
        <v>0</v>
      </c>
      <c r="CX46">
        <v>5</v>
      </c>
      <c r="CY46">
        <v>0</v>
      </c>
      <c r="CZ46">
        <v>5</v>
      </c>
      <c r="DA46" t="s">
        <v>107</v>
      </c>
      <c r="DB46" t="s">
        <v>107</v>
      </c>
      <c r="DC46">
        <v>327</v>
      </c>
      <c r="DD46">
        <v>0</v>
      </c>
      <c r="DE46">
        <v>0.104</v>
      </c>
      <c r="DF46" t="s">
        <v>97</v>
      </c>
      <c r="DG46" t="s">
        <v>97</v>
      </c>
    </row>
    <row r="47" spans="1:111" x14ac:dyDescent="0.2">
      <c r="A47">
        <v>2025</v>
      </c>
      <c r="B47" s="1">
        <v>45930</v>
      </c>
      <c r="C47" t="s">
        <v>95</v>
      </c>
      <c r="D47">
        <v>605483</v>
      </c>
      <c r="E47">
        <v>669720</v>
      </c>
      <c r="F47">
        <v>3</v>
      </c>
      <c r="G47">
        <v>2</v>
      </c>
      <c r="H47">
        <v>4</v>
      </c>
      <c r="I47" t="s">
        <v>96</v>
      </c>
      <c r="J47">
        <v>30</v>
      </c>
      <c r="K47">
        <v>6</v>
      </c>
      <c r="L47" t="s">
        <v>116</v>
      </c>
      <c r="M47" t="s">
        <v>132</v>
      </c>
      <c r="N47" t="s">
        <v>133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0</v>
      </c>
      <c r="S47">
        <f t="shared" si="4"/>
        <v>0</v>
      </c>
      <c r="T47">
        <f t="shared" si="5"/>
        <v>0</v>
      </c>
      <c r="U47">
        <f t="shared" si="6"/>
        <v>0</v>
      </c>
      <c r="V47">
        <f t="shared" si="7"/>
        <v>0</v>
      </c>
      <c r="W47">
        <f t="shared" si="8"/>
        <v>0</v>
      </c>
      <c r="X47">
        <f t="shared" si="9"/>
        <v>1</v>
      </c>
      <c r="Y47">
        <f t="shared" si="10"/>
        <v>0</v>
      </c>
      <c r="Z47">
        <f t="shared" si="11"/>
        <v>0</v>
      </c>
      <c r="AA47">
        <f t="shared" si="12"/>
        <v>0</v>
      </c>
      <c r="AB47">
        <f t="shared" si="13"/>
        <v>0</v>
      </c>
      <c r="AC47">
        <f t="shared" si="14"/>
        <v>0</v>
      </c>
      <c r="AD47">
        <f t="shared" si="15"/>
        <v>0</v>
      </c>
      <c r="AE47">
        <v>86.3</v>
      </c>
      <c r="AF47">
        <v>2.17</v>
      </c>
      <c r="AG47">
        <v>6.41</v>
      </c>
      <c r="AH47" t="s">
        <v>113</v>
      </c>
      <c r="AI47" t="s">
        <v>97</v>
      </c>
      <c r="AJ47" t="s">
        <v>97</v>
      </c>
      <c r="AK47" t="s">
        <v>97</v>
      </c>
      <c r="AL47" t="s">
        <v>97</v>
      </c>
      <c r="AM47">
        <v>12</v>
      </c>
      <c r="AN47" t="s">
        <v>147</v>
      </c>
      <c r="AO47" t="s">
        <v>102</v>
      </c>
      <c r="AP47" t="s">
        <v>122</v>
      </c>
      <c r="AQ47" t="s">
        <v>103</v>
      </c>
      <c r="AR47" t="s">
        <v>104</v>
      </c>
      <c r="AS47" t="s">
        <v>105</v>
      </c>
      <c r="AT47" t="s">
        <v>110</v>
      </c>
      <c r="AU47">
        <v>2</v>
      </c>
      <c r="AV47" t="s">
        <v>97</v>
      </c>
      <c r="AW47">
        <v>1.24</v>
      </c>
      <c r="AX47">
        <v>0.97</v>
      </c>
      <c r="AY47">
        <v>0.94</v>
      </c>
      <c r="AZ47">
        <v>2.81</v>
      </c>
      <c r="BA47" t="s">
        <v>97</v>
      </c>
      <c r="BB47" t="s">
        <v>97</v>
      </c>
      <c r="BC47" t="s">
        <v>97</v>
      </c>
      <c r="BD47">
        <v>1</v>
      </c>
      <c r="BE47" t="s">
        <v>97</v>
      </c>
      <c r="BF47" t="s">
        <v>97</v>
      </c>
      <c r="BG47" t="s">
        <v>97</v>
      </c>
      <c r="BH47" t="s">
        <v>97</v>
      </c>
      <c r="BI47">
        <v>666163</v>
      </c>
      <c r="BJ47">
        <v>666163</v>
      </c>
      <c r="BK47" t="s">
        <v>97</v>
      </c>
      <c r="BL47" t="s">
        <v>97</v>
      </c>
      <c r="BM47">
        <v>-5.4967764309999998</v>
      </c>
      <c r="BN47">
        <v>-125.54102450000001</v>
      </c>
      <c r="BO47">
        <v>-4.3187604549999996</v>
      </c>
      <c r="BP47">
        <v>14.27056305</v>
      </c>
      <c r="BQ47">
        <v>26.370181290000001</v>
      </c>
      <c r="BR47">
        <v>-21.265824840000001</v>
      </c>
      <c r="BS47">
        <v>3.33</v>
      </c>
      <c r="BT47">
        <v>1.5</v>
      </c>
      <c r="BU47" t="s">
        <v>97</v>
      </c>
      <c r="BV47" t="s">
        <v>97</v>
      </c>
      <c r="BW47" t="s">
        <v>97</v>
      </c>
      <c r="BX47">
        <v>86.9</v>
      </c>
      <c r="BY47">
        <v>1952</v>
      </c>
      <c r="BZ47">
        <v>6.8</v>
      </c>
      <c r="CA47">
        <v>813069</v>
      </c>
      <c r="CB47">
        <v>666163</v>
      </c>
      <c r="CC47">
        <v>666163</v>
      </c>
      <c r="CD47">
        <v>518692</v>
      </c>
      <c r="CE47">
        <v>669242</v>
      </c>
      <c r="CF47">
        <v>571970</v>
      </c>
      <c r="CG47">
        <v>605141</v>
      </c>
      <c r="CH47">
        <v>571771</v>
      </c>
      <c r="CI47">
        <v>681624</v>
      </c>
      <c r="CJ47">
        <v>606192</v>
      </c>
      <c r="CK47">
        <v>53.71</v>
      </c>
      <c r="CL47" t="s">
        <v>97</v>
      </c>
      <c r="CM47">
        <v>0</v>
      </c>
      <c r="CN47">
        <v>0</v>
      </c>
      <c r="CO47">
        <v>1</v>
      </c>
      <c r="CP47">
        <v>0</v>
      </c>
      <c r="CQ47">
        <v>0</v>
      </c>
      <c r="CR47" t="s">
        <v>97</v>
      </c>
      <c r="CS47">
        <v>5</v>
      </c>
      <c r="CT47">
        <v>0</v>
      </c>
      <c r="CU47">
        <v>0</v>
      </c>
      <c r="CV47">
        <v>5</v>
      </c>
      <c r="CW47">
        <v>0</v>
      </c>
      <c r="CX47">
        <v>5</v>
      </c>
      <c r="CY47">
        <v>0</v>
      </c>
      <c r="CZ47">
        <v>5</v>
      </c>
      <c r="DA47" t="s">
        <v>107</v>
      </c>
      <c r="DB47" t="s">
        <v>107</v>
      </c>
      <c r="DC47">
        <v>135</v>
      </c>
      <c r="DD47">
        <v>8.0000000000000002E-3</v>
      </c>
      <c r="DE47">
        <v>-0.33200000000000002</v>
      </c>
      <c r="DF47">
        <v>72.2</v>
      </c>
      <c r="DG47">
        <v>6.9</v>
      </c>
    </row>
    <row r="48" spans="1:111" x14ac:dyDescent="0.2">
      <c r="A48">
        <v>2025</v>
      </c>
      <c r="B48" s="1">
        <v>45930</v>
      </c>
      <c r="C48" t="s">
        <v>95</v>
      </c>
      <c r="D48">
        <v>605483</v>
      </c>
      <c r="E48">
        <v>668715</v>
      </c>
      <c r="F48">
        <v>0</v>
      </c>
      <c r="G48">
        <v>0</v>
      </c>
      <c r="H48">
        <v>4</v>
      </c>
      <c r="I48" t="s">
        <v>96</v>
      </c>
      <c r="J48">
        <v>31</v>
      </c>
      <c r="K48">
        <v>1</v>
      </c>
      <c r="L48" t="s">
        <v>97</v>
      </c>
      <c r="M48" t="s">
        <v>98</v>
      </c>
      <c r="N48" t="s">
        <v>99</v>
      </c>
      <c r="O48">
        <f t="shared" si="0"/>
        <v>0</v>
      </c>
      <c r="P48">
        <f t="shared" si="1"/>
        <v>0</v>
      </c>
      <c r="Q48">
        <f t="shared" si="2"/>
        <v>1</v>
      </c>
      <c r="R48">
        <f t="shared" si="3"/>
        <v>0</v>
      </c>
      <c r="S48">
        <f t="shared" si="4"/>
        <v>0</v>
      </c>
      <c r="T48">
        <f t="shared" si="5"/>
        <v>0</v>
      </c>
      <c r="U48">
        <f t="shared" si="6"/>
        <v>0</v>
      </c>
      <c r="V48">
        <f t="shared" si="7"/>
        <v>0</v>
      </c>
      <c r="W48">
        <f t="shared" si="8"/>
        <v>0</v>
      </c>
      <c r="X48">
        <f t="shared" si="9"/>
        <v>0</v>
      </c>
      <c r="Y48">
        <f t="shared" si="10"/>
        <v>0</v>
      </c>
      <c r="Z48">
        <f t="shared" si="11"/>
        <v>0</v>
      </c>
      <c r="AA48">
        <f t="shared" si="12"/>
        <v>0</v>
      </c>
      <c r="AB48">
        <f t="shared" si="13"/>
        <v>0</v>
      </c>
      <c r="AC48">
        <f t="shared" si="14"/>
        <v>0</v>
      </c>
      <c r="AD48">
        <f t="shared" si="15"/>
        <v>0</v>
      </c>
      <c r="AE48">
        <v>96.5</v>
      </c>
      <c r="AF48">
        <v>1.86</v>
      </c>
      <c r="AG48">
        <v>6.55</v>
      </c>
      <c r="AH48" t="s">
        <v>108</v>
      </c>
      <c r="AI48" t="s">
        <v>97</v>
      </c>
      <c r="AJ48" t="s">
        <v>97</v>
      </c>
      <c r="AK48" t="s">
        <v>97</v>
      </c>
      <c r="AL48" t="s">
        <v>97</v>
      </c>
      <c r="AM48">
        <v>3</v>
      </c>
      <c r="AN48" t="s">
        <v>109</v>
      </c>
      <c r="AO48" t="s">
        <v>102</v>
      </c>
      <c r="AP48" t="s">
        <v>122</v>
      </c>
      <c r="AQ48" t="s">
        <v>103</v>
      </c>
      <c r="AR48" t="s">
        <v>104</v>
      </c>
      <c r="AS48" t="s">
        <v>105</v>
      </c>
      <c r="AT48" t="s">
        <v>110</v>
      </c>
      <c r="AU48" t="s">
        <v>97</v>
      </c>
      <c r="AV48" t="s">
        <v>97</v>
      </c>
      <c r="AW48">
        <v>0.48</v>
      </c>
      <c r="AX48">
        <v>1.53</v>
      </c>
      <c r="AY48">
        <v>0.3</v>
      </c>
      <c r="AZ48">
        <v>3.25</v>
      </c>
      <c r="BA48" t="s">
        <v>97</v>
      </c>
      <c r="BB48" t="s">
        <v>97</v>
      </c>
      <c r="BC48" t="s">
        <v>97</v>
      </c>
      <c r="BD48">
        <v>2</v>
      </c>
      <c r="BE48" t="s">
        <v>97</v>
      </c>
      <c r="BF48" t="s">
        <v>97</v>
      </c>
      <c r="BG48" t="s">
        <v>97</v>
      </c>
      <c r="BH48" t="s">
        <v>97</v>
      </c>
      <c r="BI48">
        <v>666163</v>
      </c>
      <c r="BJ48">
        <v>666163</v>
      </c>
      <c r="BK48" t="s">
        <v>97</v>
      </c>
      <c r="BL48" t="s">
        <v>97</v>
      </c>
      <c r="BM48">
        <v>-5.278226568</v>
      </c>
      <c r="BN48">
        <v>-140.31698040000001</v>
      </c>
      <c r="BO48">
        <v>-6.7512739650000002</v>
      </c>
      <c r="BP48">
        <v>7.5093908889999996</v>
      </c>
      <c r="BQ48">
        <v>31.122223479999999</v>
      </c>
      <c r="BR48">
        <v>-10.588488999999999</v>
      </c>
      <c r="BS48">
        <v>3.42</v>
      </c>
      <c r="BT48">
        <v>1.59</v>
      </c>
      <c r="BU48" t="s">
        <v>97</v>
      </c>
      <c r="BV48" t="s">
        <v>97</v>
      </c>
      <c r="BW48" t="s">
        <v>97</v>
      </c>
      <c r="BX48">
        <v>97.2</v>
      </c>
      <c r="BY48">
        <v>2584</v>
      </c>
      <c r="BZ48">
        <v>6.7</v>
      </c>
      <c r="CA48">
        <v>813069</v>
      </c>
      <c r="CB48">
        <v>666163</v>
      </c>
      <c r="CC48">
        <v>666163</v>
      </c>
      <c r="CD48">
        <v>518692</v>
      </c>
      <c r="CE48">
        <v>669242</v>
      </c>
      <c r="CF48">
        <v>571970</v>
      </c>
      <c r="CG48">
        <v>605141</v>
      </c>
      <c r="CH48">
        <v>571771</v>
      </c>
      <c r="CI48">
        <v>681624</v>
      </c>
      <c r="CJ48">
        <v>606192</v>
      </c>
      <c r="CK48">
        <v>53.79</v>
      </c>
      <c r="CL48" t="s">
        <v>97</v>
      </c>
      <c r="CM48" t="s">
        <v>97</v>
      </c>
      <c r="CN48" t="s">
        <v>97</v>
      </c>
      <c r="CO48" t="s">
        <v>97</v>
      </c>
      <c r="CP48" t="s">
        <v>97</v>
      </c>
      <c r="CQ48" t="s">
        <v>97</v>
      </c>
      <c r="CR48" t="s">
        <v>97</v>
      </c>
      <c r="CS48">
        <v>5</v>
      </c>
      <c r="CT48">
        <v>0</v>
      </c>
      <c r="CU48">
        <v>0</v>
      </c>
      <c r="CV48">
        <v>5</v>
      </c>
      <c r="CW48">
        <v>0</v>
      </c>
      <c r="CX48">
        <v>5</v>
      </c>
      <c r="CY48">
        <v>0</v>
      </c>
      <c r="CZ48">
        <v>5</v>
      </c>
      <c r="DA48" t="s">
        <v>107</v>
      </c>
      <c r="DB48" t="s">
        <v>107</v>
      </c>
      <c r="DC48">
        <v>158</v>
      </c>
      <c r="DD48">
        <v>0</v>
      </c>
      <c r="DE48">
        <v>-4.2999999999999997E-2</v>
      </c>
      <c r="DF48" t="s">
        <v>97</v>
      </c>
      <c r="DG48" t="s">
        <v>97</v>
      </c>
    </row>
    <row r="49" spans="1:111" x14ac:dyDescent="0.2">
      <c r="A49">
        <v>2025</v>
      </c>
      <c r="B49" s="1">
        <v>45930</v>
      </c>
      <c r="C49" t="s">
        <v>95</v>
      </c>
      <c r="D49">
        <v>605483</v>
      </c>
      <c r="E49">
        <v>668715</v>
      </c>
      <c r="F49">
        <v>0</v>
      </c>
      <c r="G49">
        <v>1</v>
      </c>
      <c r="H49">
        <v>4</v>
      </c>
      <c r="I49" t="s">
        <v>96</v>
      </c>
      <c r="J49">
        <v>31</v>
      </c>
      <c r="K49">
        <v>2</v>
      </c>
      <c r="L49" t="s">
        <v>97</v>
      </c>
      <c r="M49" t="s">
        <v>132</v>
      </c>
      <c r="N49" t="s">
        <v>133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0</v>
      </c>
      <c r="S49">
        <f t="shared" si="4"/>
        <v>0</v>
      </c>
      <c r="T49">
        <f t="shared" si="5"/>
        <v>0</v>
      </c>
      <c r="U49">
        <f t="shared" si="6"/>
        <v>0</v>
      </c>
      <c r="V49">
        <f t="shared" si="7"/>
        <v>0</v>
      </c>
      <c r="W49">
        <f t="shared" si="8"/>
        <v>0</v>
      </c>
      <c r="X49">
        <f t="shared" si="9"/>
        <v>1</v>
      </c>
      <c r="Y49">
        <f t="shared" si="10"/>
        <v>0</v>
      </c>
      <c r="Z49">
        <f t="shared" si="11"/>
        <v>0</v>
      </c>
      <c r="AA49">
        <f t="shared" si="12"/>
        <v>0</v>
      </c>
      <c r="AB49">
        <f t="shared" si="13"/>
        <v>0</v>
      </c>
      <c r="AC49">
        <f t="shared" si="14"/>
        <v>0</v>
      </c>
      <c r="AD49">
        <f t="shared" si="15"/>
        <v>0</v>
      </c>
      <c r="AE49">
        <v>86.1</v>
      </c>
      <c r="AF49">
        <v>2.19</v>
      </c>
      <c r="AG49">
        <v>6.33</v>
      </c>
      <c r="AH49" t="s">
        <v>100</v>
      </c>
      <c r="AI49" t="s">
        <v>97</v>
      </c>
      <c r="AJ49" t="s">
        <v>97</v>
      </c>
      <c r="AK49" t="s">
        <v>97</v>
      </c>
      <c r="AL49" t="s">
        <v>97</v>
      </c>
      <c r="AM49">
        <v>14</v>
      </c>
      <c r="AN49" t="s">
        <v>101</v>
      </c>
      <c r="AO49" t="s">
        <v>102</v>
      </c>
      <c r="AP49" t="s">
        <v>122</v>
      </c>
      <c r="AQ49" t="s">
        <v>103</v>
      </c>
      <c r="AR49" t="s">
        <v>104</v>
      </c>
      <c r="AS49" t="s">
        <v>105</v>
      </c>
      <c r="AT49" t="s">
        <v>106</v>
      </c>
      <c r="AU49" t="s">
        <v>97</v>
      </c>
      <c r="AV49" t="s">
        <v>97</v>
      </c>
      <c r="AW49">
        <v>1.04</v>
      </c>
      <c r="AX49">
        <v>0.6</v>
      </c>
      <c r="AY49">
        <v>0.54</v>
      </c>
      <c r="AZ49">
        <v>0.7</v>
      </c>
      <c r="BA49" t="s">
        <v>97</v>
      </c>
      <c r="BB49" t="s">
        <v>97</v>
      </c>
      <c r="BC49" t="s">
        <v>97</v>
      </c>
      <c r="BD49">
        <v>2</v>
      </c>
      <c r="BE49" t="s">
        <v>97</v>
      </c>
      <c r="BF49" t="s">
        <v>97</v>
      </c>
      <c r="BG49" t="s">
        <v>97</v>
      </c>
      <c r="BH49" t="s">
        <v>97</v>
      </c>
      <c r="BI49">
        <v>666163</v>
      </c>
      <c r="BJ49">
        <v>666163</v>
      </c>
      <c r="BK49" t="s">
        <v>97</v>
      </c>
      <c r="BL49" t="s">
        <v>97</v>
      </c>
      <c r="BM49">
        <v>-6.0636082729999998</v>
      </c>
      <c r="BN49">
        <v>-125.0860575</v>
      </c>
      <c r="BO49">
        <v>-8.3809853780000001</v>
      </c>
      <c r="BP49">
        <v>12.144532079999999</v>
      </c>
      <c r="BQ49">
        <v>24.298165319999999</v>
      </c>
      <c r="BR49">
        <v>-24.405448320000001</v>
      </c>
      <c r="BS49">
        <v>3.38</v>
      </c>
      <c r="BT49">
        <v>1.59</v>
      </c>
      <c r="BU49" t="s">
        <v>97</v>
      </c>
      <c r="BV49" t="s">
        <v>97</v>
      </c>
      <c r="BW49" t="s">
        <v>97</v>
      </c>
      <c r="BX49">
        <v>86.8</v>
      </c>
      <c r="BY49">
        <v>1855</v>
      </c>
      <c r="BZ49">
        <v>6.7</v>
      </c>
      <c r="CA49">
        <v>813069</v>
      </c>
      <c r="CB49">
        <v>666163</v>
      </c>
      <c r="CC49">
        <v>666163</v>
      </c>
      <c r="CD49">
        <v>518692</v>
      </c>
      <c r="CE49">
        <v>669242</v>
      </c>
      <c r="CF49">
        <v>571970</v>
      </c>
      <c r="CG49">
        <v>605141</v>
      </c>
      <c r="CH49">
        <v>571771</v>
      </c>
      <c r="CI49">
        <v>681624</v>
      </c>
      <c r="CJ49">
        <v>606192</v>
      </c>
      <c r="CK49">
        <v>53.78</v>
      </c>
      <c r="CL49" t="s">
        <v>97</v>
      </c>
      <c r="CM49" t="s">
        <v>97</v>
      </c>
      <c r="CN49" t="s">
        <v>97</v>
      </c>
      <c r="CO49" t="s">
        <v>97</v>
      </c>
      <c r="CP49" t="s">
        <v>97</v>
      </c>
      <c r="CQ49" t="s">
        <v>97</v>
      </c>
      <c r="CR49" t="s">
        <v>97</v>
      </c>
      <c r="CS49">
        <v>5</v>
      </c>
      <c r="CT49">
        <v>0</v>
      </c>
      <c r="CU49">
        <v>0</v>
      </c>
      <c r="CV49">
        <v>5</v>
      </c>
      <c r="CW49">
        <v>0</v>
      </c>
      <c r="CX49">
        <v>5</v>
      </c>
      <c r="CY49">
        <v>0</v>
      </c>
      <c r="CZ49">
        <v>5</v>
      </c>
      <c r="DA49" t="s">
        <v>107</v>
      </c>
      <c r="DB49" t="s">
        <v>107</v>
      </c>
      <c r="DC49">
        <v>134</v>
      </c>
      <c r="DD49">
        <v>0</v>
      </c>
      <c r="DE49">
        <v>2.7E-2</v>
      </c>
      <c r="DF49" t="s">
        <v>97</v>
      </c>
      <c r="DG49" t="s">
        <v>97</v>
      </c>
    </row>
    <row r="50" spans="1:111" x14ac:dyDescent="0.2">
      <c r="A50">
        <v>2025</v>
      </c>
      <c r="B50" s="1">
        <v>45930</v>
      </c>
      <c r="C50" t="s">
        <v>95</v>
      </c>
      <c r="D50">
        <v>605483</v>
      </c>
      <c r="E50">
        <v>668715</v>
      </c>
      <c r="F50">
        <v>1</v>
      </c>
      <c r="G50">
        <v>1</v>
      </c>
      <c r="H50">
        <v>4</v>
      </c>
      <c r="I50" t="s">
        <v>96</v>
      </c>
      <c r="J50">
        <v>31</v>
      </c>
      <c r="K50">
        <v>3</v>
      </c>
      <c r="L50" t="s">
        <v>97</v>
      </c>
      <c r="M50" t="s">
        <v>98</v>
      </c>
      <c r="N50" t="s">
        <v>99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0</v>
      </c>
      <c r="U50">
        <f t="shared" si="6"/>
        <v>0</v>
      </c>
      <c r="V50">
        <f t="shared" si="7"/>
        <v>0</v>
      </c>
      <c r="W50">
        <f t="shared" si="8"/>
        <v>0</v>
      </c>
      <c r="X50">
        <f t="shared" si="9"/>
        <v>0</v>
      </c>
      <c r="Y50">
        <f t="shared" si="10"/>
        <v>0</v>
      </c>
      <c r="Z50">
        <f t="shared" si="11"/>
        <v>0</v>
      </c>
      <c r="AA50">
        <f t="shared" si="12"/>
        <v>0</v>
      </c>
      <c r="AB50">
        <f t="shared" si="13"/>
        <v>0</v>
      </c>
      <c r="AC50">
        <f t="shared" si="14"/>
        <v>0</v>
      </c>
      <c r="AD50">
        <f t="shared" si="15"/>
        <v>0</v>
      </c>
      <c r="AE50">
        <v>96.2</v>
      </c>
      <c r="AF50">
        <v>1.85</v>
      </c>
      <c r="AG50">
        <v>6.54</v>
      </c>
      <c r="AH50" t="s">
        <v>108</v>
      </c>
      <c r="AI50" t="s">
        <v>97</v>
      </c>
      <c r="AJ50" t="s">
        <v>97</v>
      </c>
      <c r="AK50" t="s">
        <v>97</v>
      </c>
      <c r="AL50" t="s">
        <v>97</v>
      </c>
      <c r="AM50">
        <v>1</v>
      </c>
      <c r="AN50" t="s">
        <v>109</v>
      </c>
      <c r="AO50" t="s">
        <v>102</v>
      </c>
      <c r="AP50" t="s">
        <v>122</v>
      </c>
      <c r="AQ50" t="s">
        <v>103</v>
      </c>
      <c r="AR50" t="s">
        <v>104</v>
      </c>
      <c r="AS50" t="s">
        <v>105</v>
      </c>
      <c r="AT50" t="s">
        <v>110</v>
      </c>
      <c r="AU50" t="s">
        <v>97</v>
      </c>
      <c r="AV50" t="s">
        <v>97</v>
      </c>
      <c r="AW50">
        <v>0.46</v>
      </c>
      <c r="AX50">
        <v>1.54</v>
      </c>
      <c r="AY50">
        <v>-0.48</v>
      </c>
      <c r="AZ50">
        <v>2.8</v>
      </c>
      <c r="BA50" t="s">
        <v>97</v>
      </c>
      <c r="BB50" t="s">
        <v>97</v>
      </c>
      <c r="BC50" t="s">
        <v>97</v>
      </c>
      <c r="BD50">
        <v>2</v>
      </c>
      <c r="BE50" t="s">
        <v>97</v>
      </c>
      <c r="BF50" t="s">
        <v>97</v>
      </c>
      <c r="BG50" t="s">
        <v>97</v>
      </c>
      <c r="BH50" t="s">
        <v>97</v>
      </c>
      <c r="BI50">
        <v>666163</v>
      </c>
      <c r="BJ50">
        <v>666163</v>
      </c>
      <c r="BK50" t="s">
        <v>97</v>
      </c>
      <c r="BL50" t="s">
        <v>97</v>
      </c>
      <c r="BM50">
        <v>-7.2855436070000001</v>
      </c>
      <c r="BN50">
        <v>-139.7115263</v>
      </c>
      <c r="BO50">
        <v>-7.8740239350000003</v>
      </c>
      <c r="BP50">
        <v>7.6451699680000003</v>
      </c>
      <c r="BQ50">
        <v>31.13891521</v>
      </c>
      <c r="BR50">
        <v>-10.369216290000001</v>
      </c>
      <c r="BS50">
        <v>3.35</v>
      </c>
      <c r="BT50">
        <v>1.59</v>
      </c>
      <c r="BU50" t="s">
        <v>97</v>
      </c>
      <c r="BV50" t="s">
        <v>97</v>
      </c>
      <c r="BW50" t="s">
        <v>97</v>
      </c>
      <c r="BX50">
        <v>96.9</v>
      </c>
      <c r="BY50">
        <v>2523</v>
      </c>
      <c r="BZ50">
        <v>6.8</v>
      </c>
      <c r="CA50">
        <v>813069</v>
      </c>
      <c r="CB50">
        <v>666163</v>
      </c>
      <c r="CC50">
        <v>666163</v>
      </c>
      <c r="CD50">
        <v>518692</v>
      </c>
      <c r="CE50">
        <v>669242</v>
      </c>
      <c r="CF50">
        <v>571970</v>
      </c>
      <c r="CG50">
        <v>605141</v>
      </c>
      <c r="CH50">
        <v>571771</v>
      </c>
      <c r="CI50">
        <v>681624</v>
      </c>
      <c r="CJ50">
        <v>606192</v>
      </c>
      <c r="CK50">
        <v>53.72</v>
      </c>
      <c r="CL50" t="s">
        <v>97</v>
      </c>
      <c r="CM50" t="s">
        <v>97</v>
      </c>
      <c r="CN50" t="s">
        <v>97</v>
      </c>
      <c r="CO50" t="s">
        <v>97</v>
      </c>
      <c r="CP50" t="s">
        <v>97</v>
      </c>
      <c r="CQ50" t="s">
        <v>97</v>
      </c>
      <c r="CR50" t="s">
        <v>97</v>
      </c>
      <c r="CS50">
        <v>5</v>
      </c>
      <c r="CT50">
        <v>0</v>
      </c>
      <c r="CU50">
        <v>0</v>
      </c>
      <c r="CV50">
        <v>5</v>
      </c>
      <c r="CW50">
        <v>0</v>
      </c>
      <c r="CX50">
        <v>5</v>
      </c>
      <c r="CY50">
        <v>0</v>
      </c>
      <c r="CZ50">
        <v>5</v>
      </c>
      <c r="DA50" t="s">
        <v>107</v>
      </c>
      <c r="DB50" t="s">
        <v>107</v>
      </c>
      <c r="DC50">
        <v>157</v>
      </c>
      <c r="DD50">
        <v>0</v>
      </c>
      <c r="DE50">
        <v>-6.2E-2</v>
      </c>
      <c r="DF50" t="s">
        <v>97</v>
      </c>
      <c r="DG50" t="s">
        <v>97</v>
      </c>
    </row>
    <row r="51" spans="1:111" x14ac:dyDescent="0.2">
      <c r="A51">
        <v>2025</v>
      </c>
      <c r="B51" s="1">
        <v>45930</v>
      </c>
      <c r="C51" t="s">
        <v>95</v>
      </c>
      <c r="D51">
        <v>605483</v>
      </c>
      <c r="E51">
        <v>668715</v>
      </c>
      <c r="F51">
        <v>1</v>
      </c>
      <c r="G51">
        <v>2</v>
      </c>
      <c r="H51">
        <v>4</v>
      </c>
      <c r="I51" t="s">
        <v>96</v>
      </c>
      <c r="J51">
        <v>31</v>
      </c>
      <c r="K51">
        <v>4</v>
      </c>
      <c r="L51" t="s">
        <v>119</v>
      </c>
      <c r="M51" t="s">
        <v>98</v>
      </c>
      <c r="N51" t="s">
        <v>99</v>
      </c>
      <c r="O51">
        <f t="shared" si="0"/>
        <v>0</v>
      </c>
      <c r="P51">
        <f t="shared" si="1"/>
        <v>1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0</v>
      </c>
      <c r="U51">
        <f t="shared" si="6"/>
        <v>0</v>
      </c>
      <c r="V51">
        <f t="shared" si="7"/>
        <v>0</v>
      </c>
      <c r="W51">
        <f t="shared" si="8"/>
        <v>0</v>
      </c>
      <c r="X51">
        <f t="shared" si="9"/>
        <v>0</v>
      </c>
      <c r="Y51">
        <f t="shared" si="10"/>
        <v>0</v>
      </c>
      <c r="Z51">
        <f t="shared" si="11"/>
        <v>0</v>
      </c>
      <c r="AA51">
        <f t="shared" si="12"/>
        <v>0</v>
      </c>
      <c r="AB51">
        <f t="shared" si="13"/>
        <v>0</v>
      </c>
      <c r="AC51">
        <f t="shared" si="14"/>
        <v>0</v>
      </c>
      <c r="AD51">
        <f t="shared" si="15"/>
        <v>0</v>
      </c>
      <c r="AE51">
        <v>96.7</v>
      </c>
      <c r="AF51">
        <v>1.88</v>
      </c>
      <c r="AG51">
        <v>6.58</v>
      </c>
      <c r="AH51" t="s">
        <v>120</v>
      </c>
      <c r="AI51" t="s">
        <v>97</v>
      </c>
      <c r="AJ51" t="s">
        <v>97</v>
      </c>
      <c r="AK51" t="s">
        <v>97</v>
      </c>
      <c r="AL51" t="s">
        <v>97</v>
      </c>
      <c r="AM51">
        <v>1</v>
      </c>
      <c r="AN51" t="s">
        <v>148</v>
      </c>
      <c r="AO51" t="s">
        <v>102</v>
      </c>
      <c r="AP51" t="s">
        <v>122</v>
      </c>
      <c r="AQ51" t="s">
        <v>103</v>
      </c>
      <c r="AR51" t="s">
        <v>104</v>
      </c>
      <c r="AS51" t="s">
        <v>105</v>
      </c>
      <c r="AT51" t="s">
        <v>123</v>
      </c>
      <c r="AU51">
        <v>1</v>
      </c>
      <c r="AV51" t="s">
        <v>127</v>
      </c>
      <c r="AW51">
        <v>0.24</v>
      </c>
      <c r="AX51">
        <v>1.4</v>
      </c>
      <c r="AY51">
        <v>-0.53</v>
      </c>
      <c r="AZ51">
        <v>3.22</v>
      </c>
      <c r="BA51" t="s">
        <v>97</v>
      </c>
      <c r="BB51" t="s">
        <v>97</v>
      </c>
      <c r="BC51" t="s">
        <v>97</v>
      </c>
      <c r="BD51">
        <v>2</v>
      </c>
      <c r="BE51">
        <v>123.54</v>
      </c>
      <c r="BF51">
        <v>175.15</v>
      </c>
      <c r="BG51" t="s">
        <v>97</v>
      </c>
      <c r="BH51" t="s">
        <v>97</v>
      </c>
      <c r="BI51">
        <v>666163</v>
      </c>
      <c r="BJ51">
        <v>666163</v>
      </c>
      <c r="BK51" t="s">
        <v>97</v>
      </c>
      <c r="BL51" t="s">
        <v>97</v>
      </c>
      <c r="BM51">
        <v>-7.021343742</v>
      </c>
      <c r="BN51">
        <v>-140.5709363</v>
      </c>
      <c r="BO51">
        <v>-6.6539619490000002</v>
      </c>
      <c r="BP51">
        <v>4.7435880560000001</v>
      </c>
      <c r="BQ51">
        <v>30.279011000000001</v>
      </c>
      <c r="BR51">
        <v>-12.28301139</v>
      </c>
      <c r="BS51">
        <v>3.37</v>
      </c>
      <c r="BT51">
        <v>1.59</v>
      </c>
      <c r="BU51">
        <v>9</v>
      </c>
      <c r="BV51">
        <v>50.5</v>
      </c>
      <c r="BW51">
        <v>-17</v>
      </c>
      <c r="BX51">
        <v>97.7</v>
      </c>
      <c r="BY51">
        <v>2456</v>
      </c>
      <c r="BZ51">
        <v>6.8</v>
      </c>
      <c r="CA51">
        <v>813069</v>
      </c>
      <c r="CB51">
        <v>666163</v>
      </c>
      <c r="CC51">
        <v>666163</v>
      </c>
      <c r="CD51">
        <v>518692</v>
      </c>
      <c r="CE51">
        <v>669242</v>
      </c>
      <c r="CF51">
        <v>571970</v>
      </c>
      <c r="CG51">
        <v>605141</v>
      </c>
      <c r="CH51">
        <v>571771</v>
      </c>
      <c r="CI51">
        <v>681624</v>
      </c>
      <c r="CJ51">
        <v>606192</v>
      </c>
      <c r="CK51">
        <v>53.73</v>
      </c>
      <c r="CL51">
        <v>9.7000000000000003E-2</v>
      </c>
      <c r="CM51">
        <v>9.2999999999999999E-2</v>
      </c>
      <c r="CN51">
        <v>0</v>
      </c>
      <c r="CO51">
        <v>1</v>
      </c>
      <c r="CP51">
        <v>0</v>
      </c>
      <c r="CQ51">
        <v>0</v>
      </c>
      <c r="CR51">
        <v>1</v>
      </c>
      <c r="CS51">
        <v>5</v>
      </c>
      <c r="CT51">
        <v>0</v>
      </c>
      <c r="CU51">
        <v>0</v>
      </c>
      <c r="CV51">
        <v>5</v>
      </c>
      <c r="CW51">
        <v>0</v>
      </c>
      <c r="CX51">
        <v>5</v>
      </c>
      <c r="CY51">
        <v>0</v>
      </c>
      <c r="CZ51">
        <v>5</v>
      </c>
      <c r="DA51" t="s">
        <v>107</v>
      </c>
      <c r="DB51" t="s">
        <v>107</v>
      </c>
      <c r="DC51">
        <v>160</v>
      </c>
      <c r="DD51">
        <v>4.0000000000000001E-3</v>
      </c>
      <c r="DE51">
        <v>-0.182</v>
      </c>
      <c r="DF51">
        <v>63.2</v>
      </c>
      <c r="DG51">
        <v>5.8</v>
      </c>
    </row>
    <row r="52" spans="1:111" x14ac:dyDescent="0.2">
      <c r="A52">
        <v>2025</v>
      </c>
      <c r="B52" s="1">
        <v>45930</v>
      </c>
      <c r="C52" t="s">
        <v>95</v>
      </c>
      <c r="D52">
        <v>605483</v>
      </c>
      <c r="E52">
        <v>682829</v>
      </c>
      <c r="F52">
        <v>0</v>
      </c>
      <c r="G52">
        <v>0</v>
      </c>
      <c r="H52">
        <v>5</v>
      </c>
      <c r="I52" t="s">
        <v>96</v>
      </c>
      <c r="J52">
        <v>35</v>
      </c>
      <c r="K52">
        <v>1</v>
      </c>
      <c r="L52" t="s">
        <v>97</v>
      </c>
      <c r="M52" t="s">
        <v>111</v>
      </c>
      <c r="N52" t="s">
        <v>112</v>
      </c>
      <c r="O52">
        <f t="shared" si="0"/>
        <v>0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0</v>
      </c>
      <c r="U52">
        <f t="shared" si="6"/>
        <v>0</v>
      </c>
      <c r="V52">
        <f t="shared" si="7"/>
        <v>1</v>
      </c>
      <c r="W52">
        <f t="shared" si="8"/>
        <v>0</v>
      </c>
      <c r="X52">
        <f t="shared" si="9"/>
        <v>0</v>
      </c>
      <c r="Y52">
        <f t="shared" si="10"/>
        <v>0</v>
      </c>
      <c r="Z52">
        <f t="shared" si="11"/>
        <v>0</v>
      </c>
      <c r="AA52">
        <f t="shared" si="12"/>
        <v>0</v>
      </c>
      <c r="AB52">
        <f t="shared" si="13"/>
        <v>0</v>
      </c>
      <c r="AC52">
        <f t="shared" si="14"/>
        <v>0</v>
      </c>
      <c r="AD52">
        <f t="shared" si="15"/>
        <v>0</v>
      </c>
      <c r="AE52">
        <v>80.3</v>
      </c>
      <c r="AF52">
        <v>2.06</v>
      </c>
      <c r="AG52">
        <v>6.61</v>
      </c>
      <c r="AH52" t="s">
        <v>108</v>
      </c>
      <c r="AI52" t="s">
        <v>97</v>
      </c>
      <c r="AJ52" t="s">
        <v>97</v>
      </c>
      <c r="AK52" t="s">
        <v>97</v>
      </c>
      <c r="AL52" t="s">
        <v>97</v>
      </c>
      <c r="AM52">
        <v>5</v>
      </c>
      <c r="AN52" t="s">
        <v>109</v>
      </c>
      <c r="AO52" t="s">
        <v>102</v>
      </c>
      <c r="AP52" t="s">
        <v>122</v>
      </c>
      <c r="AQ52" t="s">
        <v>103</v>
      </c>
      <c r="AR52" t="s">
        <v>104</v>
      </c>
      <c r="AS52" t="s">
        <v>105</v>
      </c>
      <c r="AT52" t="s">
        <v>110</v>
      </c>
      <c r="AU52" t="s">
        <v>97</v>
      </c>
      <c r="AV52" t="s">
        <v>97</v>
      </c>
      <c r="AW52">
        <v>-1.33</v>
      </c>
      <c r="AX52">
        <v>-0.66</v>
      </c>
      <c r="AY52">
        <v>0.02</v>
      </c>
      <c r="AZ52">
        <v>2.4</v>
      </c>
      <c r="BA52" t="s">
        <v>97</v>
      </c>
      <c r="BB52" t="s">
        <v>97</v>
      </c>
      <c r="BC52" t="s">
        <v>97</v>
      </c>
      <c r="BD52">
        <v>0</v>
      </c>
      <c r="BE52" t="s">
        <v>97</v>
      </c>
      <c r="BF52" t="s">
        <v>97</v>
      </c>
      <c r="BG52" t="s">
        <v>97</v>
      </c>
      <c r="BH52" t="s">
        <v>97</v>
      </c>
      <c r="BI52">
        <v>666163</v>
      </c>
      <c r="BJ52">
        <v>666163</v>
      </c>
      <c r="BK52" t="s">
        <v>97</v>
      </c>
      <c r="BL52" t="s">
        <v>97</v>
      </c>
      <c r="BM52">
        <v>-2.007650248</v>
      </c>
      <c r="BN52">
        <v>-116.84362280000001</v>
      </c>
      <c r="BO52">
        <v>-1.3276337920000001</v>
      </c>
      <c r="BP52">
        <v>-11.71969419</v>
      </c>
      <c r="BQ52">
        <v>24.108892480000002</v>
      </c>
      <c r="BR52">
        <v>-38.151307420000002</v>
      </c>
      <c r="BS52">
        <v>3.68</v>
      </c>
      <c r="BT52">
        <v>1.74</v>
      </c>
      <c r="BU52" t="s">
        <v>97</v>
      </c>
      <c r="BV52" t="s">
        <v>97</v>
      </c>
      <c r="BW52" t="s">
        <v>97</v>
      </c>
      <c r="BX52">
        <v>80.5</v>
      </c>
      <c r="BY52">
        <v>2624</v>
      </c>
      <c r="BZ52">
        <v>6.6</v>
      </c>
      <c r="CA52">
        <v>813069</v>
      </c>
      <c r="CB52">
        <v>666163</v>
      </c>
      <c r="CC52">
        <v>666163</v>
      </c>
      <c r="CD52">
        <v>518692</v>
      </c>
      <c r="CE52">
        <v>669242</v>
      </c>
      <c r="CF52">
        <v>571970</v>
      </c>
      <c r="CG52">
        <v>605141</v>
      </c>
      <c r="CH52">
        <v>571771</v>
      </c>
      <c r="CI52">
        <v>681624</v>
      </c>
      <c r="CJ52">
        <v>606192</v>
      </c>
      <c r="CK52">
        <v>53.87</v>
      </c>
      <c r="CL52" t="s">
        <v>97</v>
      </c>
      <c r="CM52" t="s">
        <v>97</v>
      </c>
      <c r="CN52" t="s">
        <v>97</v>
      </c>
      <c r="CO52" t="s">
        <v>97</v>
      </c>
      <c r="CP52" t="s">
        <v>97</v>
      </c>
      <c r="CQ52" t="s">
        <v>97</v>
      </c>
      <c r="CR52" t="s">
        <v>97</v>
      </c>
      <c r="CS52">
        <v>5</v>
      </c>
      <c r="CT52">
        <v>0</v>
      </c>
      <c r="CU52">
        <v>0</v>
      </c>
      <c r="CV52">
        <v>5</v>
      </c>
      <c r="CW52">
        <v>0</v>
      </c>
      <c r="CX52">
        <v>5</v>
      </c>
      <c r="CY52">
        <v>0</v>
      </c>
      <c r="CZ52">
        <v>5</v>
      </c>
      <c r="DA52" t="s">
        <v>107</v>
      </c>
      <c r="DB52" t="s">
        <v>107</v>
      </c>
      <c r="DC52">
        <v>322</v>
      </c>
      <c r="DD52">
        <v>0</v>
      </c>
      <c r="DE52">
        <v>-3.9E-2</v>
      </c>
      <c r="DF52" t="s">
        <v>97</v>
      </c>
      <c r="DG52" t="s">
        <v>97</v>
      </c>
    </row>
    <row r="53" spans="1:111" x14ac:dyDescent="0.2">
      <c r="A53">
        <v>2025</v>
      </c>
      <c r="B53" s="1">
        <v>45930</v>
      </c>
      <c r="C53" t="s">
        <v>95</v>
      </c>
      <c r="D53">
        <v>605483</v>
      </c>
      <c r="E53">
        <v>682829</v>
      </c>
      <c r="F53">
        <v>0</v>
      </c>
      <c r="G53">
        <v>1</v>
      </c>
      <c r="H53">
        <v>5</v>
      </c>
      <c r="I53" t="s">
        <v>96</v>
      </c>
      <c r="J53">
        <v>35</v>
      </c>
      <c r="K53">
        <v>2</v>
      </c>
      <c r="L53" t="s">
        <v>97</v>
      </c>
      <c r="M53" t="s">
        <v>138</v>
      </c>
      <c r="N53" t="s">
        <v>139</v>
      </c>
      <c r="O53">
        <f t="shared" si="0"/>
        <v>0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0</v>
      </c>
      <c r="U53">
        <f t="shared" si="6"/>
        <v>0</v>
      </c>
      <c r="V53">
        <f t="shared" si="7"/>
        <v>0</v>
      </c>
      <c r="W53">
        <f t="shared" si="8"/>
        <v>0</v>
      </c>
      <c r="X53">
        <f t="shared" si="9"/>
        <v>0</v>
      </c>
      <c r="Y53">
        <f t="shared" si="10"/>
        <v>0</v>
      </c>
      <c r="Z53">
        <f t="shared" si="11"/>
        <v>0</v>
      </c>
      <c r="AA53">
        <f t="shared" si="12"/>
        <v>1</v>
      </c>
      <c r="AB53">
        <f t="shared" si="13"/>
        <v>0</v>
      </c>
      <c r="AC53">
        <f t="shared" si="14"/>
        <v>0</v>
      </c>
      <c r="AD53">
        <f t="shared" si="15"/>
        <v>0</v>
      </c>
      <c r="AE53">
        <v>88.1</v>
      </c>
      <c r="AF53">
        <v>2.0099999999999998</v>
      </c>
      <c r="AG53">
        <v>6.59</v>
      </c>
      <c r="AH53" t="s">
        <v>100</v>
      </c>
      <c r="AI53" t="s">
        <v>97</v>
      </c>
      <c r="AJ53" t="s">
        <v>97</v>
      </c>
      <c r="AK53" t="s">
        <v>97</v>
      </c>
      <c r="AL53" t="s">
        <v>97</v>
      </c>
      <c r="AM53">
        <v>13</v>
      </c>
      <c r="AN53" t="s">
        <v>101</v>
      </c>
      <c r="AO53" t="s">
        <v>102</v>
      </c>
      <c r="AP53" t="s">
        <v>122</v>
      </c>
      <c r="AQ53" t="s">
        <v>103</v>
      </c>
      <c r="AR53" t="s">
        <v>104</v>
      </c>
      <c r="AS53" t="s">
        <v>105</v>
      </c>
      <c r="AT53" t="s">
        <v>106</v>
      </c>
      <c r="AU53" t="s">
        <v>97</v>
      </c>
      <c r="AV53" t="s">
        <v>97</v>
      </c>
      <c r="AW53">
        <v>-0.45</v>
      </c>
      <c r="AX53">
        <v>0.7</v>
      </c>
      <c r="AY53">
        <v>-0.82</v>
      </c>
      <c r="AZ53">
        <v>0.8</v>
      </c>
      <c r="BA53" t="s">
        <v>97</v>
      </c>
      <c r="BB53" t="s">
        <v>97</v>
      </c>
      <c r="BC53" t="s">
        <v>97</v>
      </c>
      <c r="BD53">
        <v>0</v>
      </c>
      <c r="BE53" t="s">
        <v>97</v>
      </c>
      <c r="BF53" t="s">
        <v>97</v>
      </c>
      <c r="BG53" t="s">
        <v>97</v>
      </c>
      <c r="BH53" t="s">
        <v>97</v>
      </c>
      <c r="BI53">
        <v>666163</v>
      </c>
      <c r="BJ53">
        <v>666163</v>
      </c>
      <c r="BK53" t="s">
        <v>97</v>
      </c>
      <c r="BL53" t="s">
        <v>97</v>
      </c>
      <c r="BM53">
        <v>-5.969689003</v>
      </c>
      <c r="BN53">
        <v>-128.08139560000001</v>
      </c>
      <c r="BO53">
        <v>-9.5189675309999995</v>
      </c>
      <c r="BP53">
        <v>-3.911809034</v>
      </c>
      <c r="BQ53">
        <v>24.036983809999999</v>
      </c>
      <c r="BR53">
        <v>-22.7503645</v>
      </c>
      <c r="BS53">
        <v>3.7</v>
      </c>
      <c r="BT53">
        <v>1.74</v>
      </c>
      <c r="BU53" t="s">
        <v>97</v>
      </c>
      <c r="BV53" t="s">
        <v>97</v>
      </c>
      <c r="BW53" t="s">
        <v>97</v>
      </c>
      <c r="BX53">
        <v>89</v>
      </c>
      <c r="BY53">
        <v>2461</v>
      </c>
      <c r="BZ53">
        <v>6.7</v>
      </c>
      <c r="CA53">
        <v>813069</v>
      </c>
      <c r="CB53">
        <v>666163</v>
      </c>
      <c r="CC53">
        <v>666163</v>
      </c>
      <c r="CD53">
        <v>518692</v>
      </c>
      <c r="CE53">
        <v>669242</v>
      </c>
      <c r="CF53">
        <v>571970</v>
      </c>
      <c r="CG53">
        <v>605141</v>
      </c>
      <c r="CH53">
        <v>571771</v>
      </c>
      <c r="CI53">
        <v>681624</v>
      </c>
      <c r="CJ53">
        <v>606192</v>
      </c>
      <c r="CK53">
        <v>53.8</v>
      </c>
      <c r="CL53" t="s">
        <v>97</v>
      </c>
      <c r="CM53" t="s">
        <v>97</v>
      </c>
      <c r="CN53" t="s">
        <v>97</v>
      </c>
      <c r="CO53" t="s">
        <v>97</v>
      </c>
      <c r="CP53" t="s">
        <v>97</v>
      </c>
      <c r="CQ53" t="s">
        <v>97</v>
      </c>
      <c r="CR53" t="s">
        <v>97</v>
      </c>
      <c r="CS53">
        <v>5</v>
      </c>
      <c r="CT53">
        <v>0</v>
      </c>
      <c r="CU53">
        <v>0</v>
      </c>
      <c r="CV53">
        <v>5</v>
      </c>
      <c r="CW53">
        <v>0</v>
      </c>
      <c r="CX53">
        <v>5</v>
      </c>
      <c r="CY53">
        <v>0</v>
      </c>
      <c r="CZ53">
        <v>5</v>
      </c>
      <c r="DA53" t="s">
        <v>107</v>
      </c>
      <c r="DB53" t="s">
        <v>107</v>
      </c>
      <c r="DC53">
        <v>174</v>
      </c>
      <c r="DD53">
        <v>0</v>
      </c>
      <c r="DE53">
        <v>3.1E-2</v>
      </c>
      <c r="DF53" t="s">
        <v>97</v>
      </c>
      <c r="DG53" t="s">
        <v>97</v>
      </c>
    </row>
    <row r="54" spans="1:111" x14ac:dyDescent="0.2">
      <c r="A54">
        <v>2025</v>
      </c>
      <c r="B54" s="1">
        <v>45930</v>
      </c>
      <c r="C54" t="s">
        <v>95</v>
      </c>
      <c r="D54">
        <v>605483</v>
      </c>
      <c r="E54">
        <v>682829</v>
      </c>
      <c r="F54">
        <v>1</v>
      </c>
      <c r="G54">
        <v>1</v>
      </c>
      <c r="H54">
        <v>5</v>
      </c>
      <c r="I54" t="s">
        <v>96</v>
      </c>
      <c r="J54">
        <v>35</v>
      </c>
      <c r="K54">
        <v>3</v>
      </c>
      <c r="L54" t="s">
        <v>97</v>
      </c>
      <c r="M54" t="s">
        <v>138</v>
      </c>
      <c r="N54" t="s">
        <v>139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0</v>
      </c>
      <c r="T54">
        <f t="shared" si="5"/>
        <v>0</v>
      </c>
      <c r="U54">
        <f t="shared" si="6"/>
        <v>0</v>
      </c>
      <c r="V54">
        <f t="shared" si="7"/>
        <v>0</v>
      </c>
      <c r="W54">
        <f t="shared" si="8"/>
        <v>0</v>
      </c>
      <c r="X54">
        <f t="shared" si="9"/>
        <v>0</v>
      </c>
      <c r="Y54">
        <f t="shared" si="10"/>
        <v>0</v>
      </c>
      <c r="Z54">
        <f t="shared" si="11"/>
        <v>0</v>
      </c>
      <c r="AA54">
        <f t="shared" si="12"/>
        <v>0</v>
      </c>
      <c r="AB54">
        <f t="shared" si="13"/>
        <v>0</v>
      </c>
      <c r="AC54">
        <f t="shared" si="14"/>
        <v>1</v>
      </c>
      <c r="AD54">
        <f t="shared" si="15"/>
        <v>0</v>
      </c>
      <c r="AE54">
        <v>88.2</v>
      </c>
      <c r="AF54">
        <v>1.93</v>
      </c>
      <c r="AG54">
        <v>6.61</v>
      </c>
      <c r="AH54" t="s">
        <v>129</v>
      </c>
      <c r="AI54" t="s">
        <v>97</v>
      </c>
      <c r="AJ54" t="s">
        <v>97</v>
      </c>
      <c r="AK54" t="s">
        <v>97</v>
      </c>
      <c r="AL54" t="s">
        <v>97</v>
      </c>
      <c r="AM54">
        <v>7</v>
      </c>
      <c r="AN54" t="s">
        <v>130</v>
      </c>
      <c r="AO54" t="s">
        <v>102</v>
      </c>
      <c r="AP54" t="s">
        <v>122</v>
      </c>
      <c r="AQ54" t="s">
        <v>103</v>
      </c>
      <c r="AR54" t="s">
        <v>104</v>
      </c>
      <c r="AS54" t="s">
        <v>105</v>
      </c>
      <c r="AT54" t="s">
        <v>110</v>
      </c>
      <c r="AU54" t="s">
        <v>97</v>
      </c>
      <c r="AV54" t="s">
        <v>97</v>
      </c>
      <c r="AW54">
        <v>-0.43</v>
      </c>
      <c r="AX54">
        <v>0.68</v>
      </c>
      <c r="AY54">
        <v>-0.43</v>
      </c>
      <c r="AZ54">
        <v>2.02</v>
      </c>
      <c r="BA54" t="s">
        <v>97</v>
      </c>
      <c r="BB54" t="s">
        <v>97</v>
      </c>
      <c r="BC54" t="s">
        <v>97</v>
      </c>
      <c r="BD54">
        <v>0</v>
      </c>
      <c r="BE54" t="s">
        <v>97</v>
      </c>
      <c r="BF54" t="s">
        <v>97</v>
      </c>
      <c r="BG54" t="s">
        <v>97</v>
      </c>
      <c r="BH54" t="s">
        <v>97</v>
      </c>
      <c r="BI54">
        <v>666163</v>
      </c>
      <c r="BJ54">
        <v>666163</v>
      </c>
      <c r="BK54" t="s">
        <v>97</v>
      </c>
      <c r="BL54" t="s">
        <v>97</v>
      </c>
      <c r="BM54">
        <v>-4.9008359710000002</v>
      </c>
      <c r="BN54">
        <v>-128.43742209999999</v>
      </c>
      <c r="BO54">
        <v>-6.6119676209999998</v>
      </c>
      <c r="BP54">
        <v>-3.8316499909999999</v>
      </c>
      <c r="BQ54">
        <v>23.88174875</v>
      </c>
      <c r="BR54">
        <v>-23.49114763</v>
      </c>
      <c r="BS54">
        <v>3.65</v>
      </c>
      <c r="BT54">
        <v>1.74</v>
      </c>
      <c r="BU54">
        <v>4</v>
      </c>
      <c r="BV54">
        <v>85.2</v>
      </c>
      <c r="BW54">
        <v>-31</v>
      </c>
      <c r="BX54">
        <v>89.2</v>
      </c>
      <c r="BY54">
        <v>2421</v>
      </c>
      <c r="BZ54">
        <v>6.6</v>
      </c>
      <c r="CA54">
        <v>813069</v>
      </c>
      <c r="CB54">
        <v>666163</v>
      </c>
      <c r="CC54">
        <v>666163</v>
      </c>
      <c r="CD54">
        <v>518692</v>
      </c>
      <c r="CE54">
        <v>669242</v>
      </c>
      <c r="CF54">
        <v>571970</v>
      </c>
      <c r="CG54">
        <v>605141</v>
      </c>
      <c r="CH54">
        <v>571771</v>
      </c>
      <c r="CI54">
        <v>681624</v>
      </c>
      <c r="CJ54">
        <v>606192</v>
      </c>
      <c r="CK54">
        <v>53.86</v>
      </c>
      <c r="CL54" t="s">
        <v>97</v>
      </c>
      <c r="CM54" t="s">
        <v>97</v>
      </c>
      <c r="CN54" t="s">
        <v>97</v>
      </c>
      <c r="CO54" t="s">
        <v>97</v>
      </c>
      <c r="CP54" t="s">
        <v>97</v>
      </c>
      <c r="CQ54" t="s">
        <v>97</v>
      </c>
      <c r="CR54" t="s">
        <v>97</v>
      </c>
      <c r="CS54">
        <v>5</v>
      </c>
      <c r="CT54">
        <v>0</v>
      </c>
      <c r="CU54">
        <v>0</v>
      </c>
      <c r="CV54">
        <v>5</v>
      </c>
      <c r="CW54">
        <v>0</v>
      </c>
      <c r="CX54">
        <v>5</v>
      </c>
      <c r="CY54">
        <v>0</v>
      </c>
      <c r="CZ54">
        <v>5</v>
      </c>
      <c r="DA54" t="s">
        <v>107</v>
      </c>
      <c r="DB54" t="s">
        <v>107</v>
      </c>
      <c r="DC54">
        <v>172</v>
      </c>
      <c r="DD54">
        <v>0</v>
      </c>
      <c r="DE54">
        <v>-6.0999999999999999E-2</v>
      </c>
      <c r="DF54">
        <v>77.3</v>
      </c>
      <c r="DG54">
        <v>7.8</v>
      </c>
    </row>
    <row r="55" spans="1:111" x14ac:dyDescent="0.2">
      <c r="A55">
        <v>2025</v>
      </c>
      <c r="B55" s="1">
        <v>45930</v>
      </c>
      <c r="C55" t="s">
        <v>95</v>
      </c>
      <c r="D55">
        <v>605483</v>
      </c>
      <c r="E55">
        <v>682829</v>
      </c>
      <c r="F55">
        <v>1</v>
      </c>
      <c r="G55">
        <v>2</v>
      </c>
      <c r="H55">
        <v>5</v>
      </c>
      <c r="I55" t="s">
        <v>96</v>
      </c>
      <c r="J55">
        <v>35</v>
      </c>
      <c r="K55">
        <v>4</v>
      </c>
      <c r="L55" t="s">
        <v>97</v>
      </c>
      <c r="M55" t="s">
        <v>111</v>
      </c>
      <c r="N55" t="s">
        <v>112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0</v>
      </c>
      <c r="T55">
        <f t="shared" si="5"/>
        <v>0</v>
      </c>
      <c r="U55">
        <f t="shared" si="6"/>
        <v>1</v>
      </c>
      <c r="V55">
        <f t="shared" si="7"/>
        <v>0</v>
      </c>
      <c r="W55">
        <f t="shared" si="8"/>
        <v>0</v>
      </c>
      <c r="X55">
        <f t="shared" si="9"/>
        <v>0</v>
      </c>
      <c r="Y55">
        <f t="shared" si="10"/>
        <v>0</v>
      </c>
      <c r="Z55">
        <f t="shared" si="11"/>
        <v>0</v>
      </c>
      <c r="AA55">
        <f t="shared" si="12"/>
        <v>0</v>
      </c>
      <c r="AB55">
        <f t="shared" si="13"/>
        <v>0</v>
      </c>
      <c r="AC55">
        <f t="shared" si="14"/>
        <v>0</v>
      </c>
      <c r="AD55">
        <f t="shared" si="15"/>
        <v>0</v>
      </c>
      <c r="AE55">
        <v>81.900000000000006</v>
      </c>
      <c r="AF55">
        <v>1.93</v>
      </c>
      <c r="AG55">
        <v>6.53</v>
      </c>
      <c r="AH55" t="s">
        <v>100</v>
      </c>
      <c r="AI55" t="s">
        <v>97</v>
      </c>
      <c r="AJ55" t="s">
        <v>97</v>
      </c>
      <c r="AK55" t="s">
        <v>97</v>
      </c>
      <c r="AL55" t="s">
        <v>97</v>
      </c>
      <c r="AM55">
        <v>14</v>
      </c>
      <c r="AN55" t="s">
        <v>101</v>
      </c>
      <c r="AO55" t="s">
        <v>102</v>
      </c>
      <c r="AP55" t="s">
        <v>122</v>
      </c>
      <c r="AQ55" t="s">
        <v>103</v>
      </c>
      <c r="AR55" t="s">
        <v>104</v>
      </c>
      <c r="AS55" t="s">
        <v>105</v>
      </c>
      <c r="AT55" t="s">
        <v>106</v>
      </c>
      <c r="AU55" t="s">
        <v>97</v>
      </c>
      <c r="AV55" t="s">
        <v>97</v>
      </c>
      <c r="AW55">
        <v>-0.56999999999999995</v>
      </c>
      <c r="AX55">
        <v>-0.72</v>
      </c>
      <c r="AY55">
        <v>0.13</v>
      </c>
      <c r="AZ55">
        <v>0.19</v>
      </c>
      <c r="BA55" t="s">
        <v>97</v>
      </c>
      <c r="BB55" t="s">
        <v>97</v>
      </c>
      <c r="BC55" t="s">
        <v>97</v>
      </c>
      <c r="BD55">
        <v>0</v>
      </c>
      <c r="BE55" t="s">
        <v>97</v>
      </c>
      <c r="BF55" t="s">
        <v>97</v>
      </c>
      <c r="BG55" t="s">
        <v>97</v>
      </c>
      <c r="BH55" t="s">
        <v>97</v>
      </c>
      <c r="BI55">
        <v>666163</v>
      </c>
      <c r="BJ55">
        <v>666163</v>
      </c>
      <c r="BK55" t="s">
        <v>97</v>
      </c>
      <c r="BL55" t="s">
        <v>97</v>
      </c>
      <c r="BM55">
        <v>-2.9799761629999999</v>
      </c>
      <c r="BN55">
        <v>-119.1771111</v>
      </c>
      <c r="BO55">
        <v>-6.423659818</v>
      </c>
      <c r="BP55">
        <v>-4.9145915440000003</v>
      </c>
      <c r="BQ55">
        <v>22.241516919999999</v>
      </c>
      <c r="BR55">
        <v>-38.042222049999999</v>
      </c>
      <c r="BS55">
        <v>3.68</v>
      </c>
      <c r="BT55">
        <v>1.77</v>
      </c>
      <c r="BU55" t="s">
        <v>97</v>
      </c>
      <c r="BV55" t="s">
        <v>97</v>
      </c>
      <c r="BW55" t="s">
        <v>97</v>
      </c>
      <c r="BX55">
        <v>82.7</v>
      </c>
      <c r="BY55">
        <v>2601</v>
      </c>
      <c r="BZ55">
        <v>6.8</v>
      </c>
      <c r="CA55">
        <v>813069</v>
      </c>
      <c r="CB55">
        <v>666163</v>
      </c>
      <c r="CC55">
        <v>666163</v>
      </c>
      <c r="CD55">
        <v>518692</v>
      </c>
      <c r="CE55">
        <v>669242</v>
      </c>
      <c r="CF55">
        <v>571970</v>
      </c>
      <c r="CG55">
        <v>605141</v>
      </c>
      <c r="CH55">
        <v>571771</v>
      </c>
      <c r="CI55">
        <v>681624</v>
      </c>
      <c r="CJ55">
        <v>606192</v>
      </c>
      <c r="CK55">
        <v>53.74</v>
      </c>
      <c r="CL55" t="s">
        <v>97</v>
      </c>
      <c r="CM55" t="s">
        <v>97</v>
      </c>
      <c r="CN55" t="s">
        <v>97</v>
      </c>
      <c r="CO55" t="s">
        <v>97</v>
      </c>
      <c r="CP55" t="s">
        <v>97</v>
      </c>
      <c r="CQ55" t="s">
        <v>97</v>
      </c>
      <c r="CR55" t="s">
        <v>97</v>
      </c>
      <c r="CS55">
        <v>5</v>
      </c>
      <c r="CT55">
        <v>0</v>
      </c>
      <c r="CU55">
        <v>0</v>
      </c>
      <c r="CV55">
        <v>5</v>
      </c>
      <c r="CW55">
        <v>0</v>
      </c>
      <c r="CX55">
        <v>5</v>
      </c>
      <c r="CY55">
        <v>0</v>
      </c>
      <c r="CZ55">
        <v>5</v>
      </c>
      <c r="DA55" t="s">
        <v>107</v>
      </c>
      <c r="DB55" t="s">
        <v>107</v>
      </c>
      <c r="DC55">
        <v>322</v>
      </c>
      <c r="DD55">
        <v>0</v>
      </c>
      <c r="DE55">
        <v>4.2999999999999997E-2</v>
      </c>
      <c r="DF55" t="s">
        <v>97</v>
      </c>
      <c r="DG55" t="s">
        <v>97</v>
      </c>
    </row>
    <row r="56" spans="1:111" x14ac:dyDescent="0.2">
      <c r="A56">
        <v>2025</v>
      </c>
      <c r="B56" s="1">
        <v>45930</v>
      </c>
      <c r="C56" t="s">
        <v>95</v>
      </c>
      <c r="D56">
        <v>605483</v>
      </c>
      <c r="E56">
        <v>682829</v>
      </c>
      <c r="F56">
        <v>2</v>
      </c>
      <c r="G56">
        <v>2</v>
      </c>
      <c r="H56">
        <v>5</v>
      </c>
      <c r="I56" t="s">
        <v>96</v>
      </c>
      <c r="J56">
        <v>35</v>
      </c>
      <c r="K56">
        <v>5</v>
      </c>
      <c r="L56" t="s">
        <v>116</v>
      </c>
      <c r="M56" t="s">
        <v>132</v>
      </c>
      <c r="N56" t="s">
        <v>133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0</v>
      </c>
      <c r="T56">
        <f t="shared" si="5"/>
        <v>0</v>
      </c>
      <c r="U56">
        <f t="shared" si="6"/>
        <v>0</v>
      </c>
      <c r="V56">
        <f t="shared" si="7"/>
        <v>0</v>
      </c>
      <c r="W56">
        <f t="shared" si="8"/>
        <v>1</v>
      </c>
      <c r="X56">
        <f t="shared" si="9"/>
        <v>0</v>
      </c>
      <c r="Y56">
        <f t="shared" si="10"/>
        <v>0</v>
      </c>
      <c r="Z56">
        <f t="shared" si="11"/>
        <v>0</v>
      </c>
      <c r="AA56">
        <f t="shared" si="12"/>
        <v>0</v>
      </c>
      <c r="AB56">
        <f t="shared" si="13"/>
        <v>0</v>
      </c>
      <c r="AC56">
        <f t="shared" si="14"/>
        <v>0</v>
      </c>
      <c r="AD56">
        <f t="shared" si="15"/>
        <v>0</v>
      </c>
      <c r="AE56">
        <v>79.400000000000006</v>
      </c>
      <c r="AF56">
        <v>2.2799999999999998</v>
      </c>
      <c r="AG56">
        <v>6.35</v>
      </c>
      <c r="AH56" t="s">
        <v>113</v>
      </c>
      <c r="AI56" t="s">
        <v>97</v>
      </c>
      <c r="AJ56" t="s">
        <v>97</v>
      </c>
      <c r="AK56" t="s">
        <v>97</v>
      </c>
      <c r="AL56" t="s">
        <v>97</v>
      </c>
      <c r="AM56">
        <v>6</v>
      </c>
      <c r="AN56" t="s">
        <v>149</v>
      </c>
      <c r="AO56" t="s">
        <v>102</v>
      </c>
      <c r="AP56" t="s">
        <v>122</v>
      </c>
      <c r="AQ56" t="s">
        <v>103</v>
      </c>
      <c r="AR56" t="s">
        <v>104</v>
      </c>
      <c r="AS56" t="s">
        <v>105</v>
      </c>
      <c r="AT56" t="s">
        <v>110</v>
      </c>
      <c r="AU56">
        <v>2</v>
      </c>
      <c r="AV56" t="s">
        <v>97</v>
      </c>
      <c r="AW56">
        <v>1.22</v>
      </c>
      <c r="AX56">
        <v>0.61</v>
      </c>
      <c r="AY56">
        <v>0.42</v>
      </c>
      <c r="AZ56">
        <v>2.58</v>
      </c>
      <c r="BA56" t="s">
        <v>97</v>
      </c>
      <c r="BB56" t="s">
        <v>97</v>
      </c>
      <c r="BC56" t="s">
        <v>97</v>
      </c>
      <c r="BD56">
        <v>0</v>
      </c>
      <c r="BE56" t="s">
        <v>97</v>
      </c>
      <c r="BF56" t="s">
        <v>97</v>
      </c>
      <c r="BG56" t="s">
        <v>97</v>
      </c>
      <c r="BH56" t="s">
        <v>97</v>
      </c>
      <c r="BI56">
        <v>666163</v>
      </c>
      <c r="BJ56">
        <v>666163</v>
      </c>
      <c r="BK56" t="s">
        <v>97</v>
      </c>
      <c r="BL56" t="s">
        <v>97</v>
      </c>
      <c r="BM56">
        <v>-6.4410640839999997</v>
      </c>
      <c r="BN56">
        <v>-115.4380633</v>
      </c>
      <c r="BO56">
        <v>-2.6683509189999999</v>
      </c>
      <c r="BP56">
        <v>12.118410259999999</v>
      </c>
      <c r="BQ56">
        <v>20.673522760000001</v>
      </c>
      <c r="BR56">
        <v>-26.43619288</v>
      </c>
      <c r="BS56">
        <v>3.65</v>
      </c>
      <c r="BT56">
        <v>1.74</v>
      </c>
      <c r="BU56" t="s">
        <v>97</v>
      </c>
      <c r="BV56" t="s">
        <v>97</v>
      </c>
      <c r="BW56" t="s">
        <v>97</v>
      </c>
      <c r="BX56">
        <v>80.3</v>
      </c>
      <c r="BY56">
        <v>1716</v>
      </c>
      <c r="BZ56">
        <v>6.9</v>
      </c>
      <c r="CA56">
        <v>813069</v>
      </c>
      <c r="CB56">
        <v>666163</v>
      </c>
      <c r="CC56">
        <v>666163</v>
      </c>
      <c r="CD56">
        <v>518692</v>
      </c>
      <c r="CE56">
        <v>669242</v>
      </c>
      <c r="CF56">
        <v>571970</v>
      </c>
      <c r="CG56">
        <v>605141</v>
      </c>
      <c r="CH56">
        <v>571771</v>
      </c>
      <c r="CI56">
        <v>681624</v>
      </c>
      <c r="CJ56">
        <v>606192</v>
      </c>
      <c r="CK56">
        <v>53.62</v>
      </c>
      <c r="CL56" t="s">
        <v>97</v>
      </c>
      <c r="CM56">
        <v>0</v>
      </c>
      <c r="CN56">
        <v>0</v>
      </c>
      <c r="CO56">
        <v>1</v>
      </c>
      <c r="CP56">
        <v>0</v>
      </c>
      <c r="CQ56">
        <v>0</v>
      </c>
      <c r="CR56" t="s">
        <v>97</v>
      </c>
      <c r="CS56">
        <v>5</v>
      </c>
      <c r="CT56">
        <v>0</v>
      </c>
      <c r="CU56">
        <v>0</v>
      </c>
      <c r="CV56">
        <v>5</v>
      </c>
      <c r="CW56">
        <v>0</v>
      </c>
      <c r="CX56">
        <v>5</v>
      </c>
      <c r="CY56">
        <v>0</v>
      </c>
      <c r="CZ56">
        <v>5</v>
      </c>
      <c r="DA56" t="s">
        <v>107</v>
      </c>
      <c r="DB56" t="s">
        <v>107</v>
      </c>
      <c r="DC56">
        <v>132</v>
      </c>
      <c r="DD56">
        <v>1.0999999999999999E-2</v>
      </c>
      <c r="DE56">
        <v>-0.23200000000000001</v>
      </c>
      <c r="DF56" t="s">
        <v>97</v>
      </c>
      <c r="DG56" t="s">
        <v>97</v>
      </c>
    </row>
    <row r="57" spans="1:111" x14ac:dyDescent="0.2">
      <c r="A57">
        <v>2025</v>
      </c>
      <c r="B57" s="1">
        <v>45930</v>
      </c>
      <c r="C57" t="s">
        <v>95</v>
      </c>
      <c r="D57">
        <v>605483</v>
      </c>
      <c r="E57">
        <v>663886</v>
      </c>
      <c r="F57">
        <v>0</v>
      </c>
      <c r="G57">
        <v>0</v>
      </c>
      <c r="H57">
        <v>5</v>
      </c>
      <c r="I57" t="s">
        <v>96</v>
      </c>
      <c r="J57">
        <v>36</v>
      </c>
      <c r="K57">
        <v>1</v>
      </c>
      <c r="L57" t="s">
        <v>97</v>
      </c>
      <c r="M57" t="s">
        <v>132</v>
      </c>
      <c r="N57" t="s">
        <v>133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0</v>
      </c>
      <c r="T57">
        <f t="shared" si="5"/>
        <v>0</v>
      </c>
      <c r="U57">
        <f t="shared" si="6"/>
        <v>0</v>
      </c>
      <c r="V57">
        <f t="shared" si="7"/>
        <v>0</v>
      </c>
      <c r="W57">
        <f t="shared" si="8"/>
        <v>0</v>
      </c>
      <c r="X57">
        <f t="shared" si="9"/>
        <v>1</v>
      </c>
      <c r="Y57">
        <f t="shared" si="10"/>
        <v>0</v>
      </c>
      <c r="Z57">
        <f t="shared" si="11"/>
        <v>0</v>
      </c>
      <c r="AA57">
        <f t="shared" si="12"/>
        <v>0</v>
      </c>
      <c r="AB57">
        <f t="shared" si="13"/>
        <v>0</v>
      </c>
      <c r="AC57">
        <f t="shared" si="14"/>
        <v>0</v>
      </c>
      <c r="AD57">
        <f t="shared" si="15"/>
        <v>0</v>
      </c>
      <c r="AE57">
        <v>86.6</v>
      </c>
      <c r="AF57">
        <v>2.2999999999999998</v>
      </c>
      <c r="AG57">
        <v>6.42</v>
      </c>
      <c r="AH57" t="s">
        <v>100</v>
      </c>
      <c r="AI57" t="s">
        <v>97</v>
      </c>
      <c r="AJ57" t="s">
        <v>97</v>
      </c>
      <c r="AK57" t="s">
        <v>97</v>
      </c>
      <c r="AL57" t="s">
        <v>97</v>
      </c>
      <c r="AM57">
        <v>12</v>
      </c>
      <c r="AN57" t="s">
        <v>101</v>
      </c>
      <c r="AO57" t="s">
        <v>102</v>
      </c>
      <c r="AP57" t="s">
        <v>122</v>
      </c>
      <c r="AQ57" t="s">
        <v>103</v>
      </c>
      <c r="AR57" t="s">
        <v>104</v>
      </c>
      <c r="AS57" t="s">
        <v>105</v>
      </c>
      <c r="AT57" t="s">
        <v>106</v>
      </c>
      <c r="AU57" t="s">
        <v>97</v>
      </c>
      <c r="AV57" t="s">
        <v>97</v>
      </c>
      <c r="AW57">
        <v>1.23</v>
      </c>
      <c r="AX57">
        <v>0.82</v>
      </c>
      <c r="AY57">
        <v>1.3</v>
      </c>
      <c r="AZ57">
        <v>3.27</v>
      </c>
      <c r="BA57" t="s">
        <v>97</v>
      </c>
      <c r="BB57" t="s">
        <v>97</v>
      </c>
      <c r="BC57" t="s">
        <v>97</v>
      </c>
      <c r="BD57">
        <v>1</v>
      </c>
      <c r="BE57" t="s">
        <v>97</v>
      </c>
      <c r="BF57" t="s">
        <v>97</v>
      </c>
      <c r="BG57" t="s">
        <v>97</v>
      </c>
      <c r="BH57" t="s">
        <v>97</v>
      </c>
      <c r="BI57">
        <v>666163</v>
      </c>
      <c r="BJ57">
        <v>666163</v>
      </c>
      <c r="BK57" t="s">
        <v>97</v>
      </c>
      <c r="BL57" t="s">
        <v>97</v>
      </c>
      <c r="BM57">
        <v>-4.9488612649999997</v>
      </c>
      <c r="BN57">
        <v>-126.0657937</v>
      </c>
      <c r="BO57">
        <v>-2.9873345859999998</v>
      </c>
      <c r="BP57">
        <v>14.14694793</v>
      </c>
      <c r="BQ57">
        <v>25.703685830000001</v>
      </c>
      <c r="BR57">
        <v>-23.046053570000002</v>
      </c>
      <c r="BS57">
        <v>3.33</v>
      </c>
      <c r="BT57">
        <v>1.53</v>
      </c>
      <c r="BU57" t="s">
        <v>97</v>
      </c>
      <c r="BV57" t="s">
        <v>97</v>
      </c>
      <c r="BW57" t="s">
        <v>97</v>
      </c>
      <c r="BX57">
        <v>87.2</v>
      </c>
      <c r="BY57">
        <v>1819</v>
      </c>
      <c r="BZ57">
        <v>6.6</v>
      </c>
      <c r="CA57">
        <v>813069</v>
      </c>
      <c r="CB57">
        <v>666163</v>
      </c>
      <c r="CC57">
        <v>666163</v>
      </c>
      <c r="CD57">
        <v>518692</v>
      </c>
      <c r="CE57">
        <v>669242</v>
      </c>
      <c r="CF57">
        <v>571970</v>
      </c>
      <c r="CG57">
        <v>605141</v>
      </c>
      <c r="CH57">
        <v>571771</v>
      </c>
      <c r="CI57">
        <v>681624</v>
      </c>
      <c r="CJ57">
        <v>606192</v>
      </c>
      <c r="CK57">
        <v>53.86</v>
      </c>
      <c r="CL57" t="s">
        <v>97</v>
      </c>
      <c r="CM57" t="s">
        <v>97</v>
      </c>
      <c r="CN57" t="s">
        <v>97</v>
      </c>
      <c r="CO57" t="s">
        <v>97</v>
      </c>
      <c r="CP57" t="s">
        <v>97</v>
      </c>
      <c r="CQ57" t="s">
        <v>97</v>
      </c>
      <c r="CR57" t="s">
        <v>97</v>
      </c>
      <c r="CS57">
        <v>5</v>
      </c>
      <c r="CT57">
        <v>0</v>
      </c>
      <c r="CU57">
        <v>0</v>
      </c>
      <c r="CV57">
        <v>5</v>
      </c>
      <c r="CW57">
        <v>0</v>
      </c>
      <c r="CX57">
        <v>5</v>
      </c>
      <c r="CY57">
        <v>0</v>
      </c>
      <c r="CZ57">
        <v>5</v>
      </c>
      <c r="DA57" t="s">
        <v>107</v>
      </c>
      <c r="DB57" t="s">
        <v>107</v>
      </c>
      <c r="DC57">
        <v>129</v>
      </c>
      <c r="DD57">
        <v>0</v>
      </c>
      <c r="DE57">
        <v>3.9E-2</v>
      </c>
      <c r="DF57" t="s">
        <v>97</v>
      </c>
      <c r="DG57" t="s">
        <v>97</v>
      </c>
    </row>
    <row r="58" spans="1:111" x14ac:dyDescent="0.2">
      <c r="A58">
        <v>2025</v>
      </c>
      <c r="B58" s="1">
        <v>45930</v>
      </c>
      <c r="C58" t="s">
        <v>95</v>
      </c>
      <c r="D58">
        <v>605483</v>
      </c>
      <c r="E58">
        <v>663886</v>
      </c>
      <c r="F58">
        <v>1</v>
      </c>
      <c r="G58">
        <v>0</v>
      </c>
      <c r="H58">
        <v>5</v>
      </c>
      <c r="I58" t="s">
        <v>96</v>
      </c>
      <c r="J58">
        <v>36</v>
      </c>
      <c r="K58">
        <v>2</v>
      </c>
      <c r="L58" t="s">
        <v>119</v>
      </c>
      <c r="M58" t="s">
        <v>98</v>
      </c>
      <c r="N58" t="s">
        <v>99</v>
      </c>
      <c r="O58">
        <f t="shared" si="0"/>
        <v>1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0</v>
      </c>
      <c r="T58">
        <f t="shared" si="5"/>
        <v>0</v>
      </c>
      <c r="U58">
        <f t="shared" si="6"/>
        <v>0</v>
      </c>
      <c r="V58">
        <f t="shared" si="7"/>
        <v>0</v>
      </c>
      <c r="W58">
        <f t="shared" si="8"/>
        <v>0</v>
      </c>
      <c r="X58">
        <f t="shared" si="9"/>
        <v>0</v>
      </c>
      <c r="Y58">
        <f t="shared" si="10"/>
        <v>0</v>
      </c>
      <c r="Z58">
        <f t="shared" si="11"/>
        <v>0</v>
      </c>
      <c r="AA58">
        <f t="shared" si="12"/>
        <v>0</v>
      </c>
      <c r="AB58">
        <f t="shared" si="13"/>
        <v>0</v>
      </c>
      <c r="AC58">
        <f t="shared" si="14"/>
        <v>0</v>
      </c>
      <c r="AD58">
        <f t="shared" si="15"/>
        <v>0</v>
      </c>
      <c r="AE58">
        <v>95.2</v>
      </c>
      <c r="AF58">
        <v>2.1</v>
      </c>
      <c r="AG58">
        <v>6.57</v>
      </c>
      <c r="AH58" t="s">
        <v>120</v>
      </c>
      <c r="AI58" t="s">
        <v>97</v>
      </c>
      <c r="AJ58" t="s">
        <v>97</v>
      </c>
      <c r="AK58" t="s">
        <v>97</v>
      </c>
      <c r="AL58" t="s">
        <v>97</v>
      </c>
      <c r="AM58">
        <v>1</v>
      </c>
      <c r="AN58" t="s">
        <v>150</v>
      </c>
      <c r="AO58" t="s">
        <v>102</v>
      </c>
      <c r="AP58" t="s">
        <v>122</v>
      </c>
      <c r="AQ58" t="s">
        <v>103</v>
      </c>
      <c r="AR58" t="s">
        <v>104</v>
      </c>
      <c r="AS58" t="s">
        <v>105</v>
      </c>
      <c r="AT58" t="s">
        <v>123</v>
      </c>
      <c r="AU58">
        <v>8</v>
      </c>
      <c r="AV58" t="s">
        <v>124</v>
      </c>
      <c r="AW58">
        <v>0.28999999999999998</v>
      </c>
      <c r="AX58">
        <v>1.68</v>
      </c>
      <c r="AY58">
        <v>-0.52</v>
      </c>
      <c r="AZ58">
        <v>3.33</v>
      </c>
      <c r="BA58" t="s">
        <v>97</v>
      </c>
      <c r="BB58" t="s">
        <v>97</v>
      </c>
      <c r="BC58" t="s">
        <v>97</v>
      </c>
      <c r="BD58">
        <v>1</v>
      </c>
      <c r="BE58">
        <v>125.32</v>
      </c>
      <c r="BF58">
        <v>106.03</v>
      </c>
      <c r="BG58" t="s">
        <v>97</v>
      </c>
      <c r="BH58" t="s">
        <v>97</v>
      </c>
      <c r="BI58">
        <v>666163</v>
      </c>
      <c r="BJ58">
        <v>666163</v>
      </c>
      <c r="BK58" t="s">
        <v>97</v>
      </c>
      <c r="BL58" t="s">
        <v>97</v>
      </c>
      <c r="BM58">
        <v>-7.5758089579999996</v>
      </c>
      <c r="BN58">
        <v>-138.41999100000001</v>
      </c>
      <c r="BO58">
        <v>-6.6875617099999998</v>
      </c>
      <c r="BP58">
        <v>5.3967342540000001</v>
      </c>
      <c r="BQ58">
        <v>30.600949830000001</v>
      </c>
      <c r="BR58">
        <v>-9.2661944869999999</v>
      </c>
      <c r="BS58">
        <v>3.3</v>
      </c>
      <c r="BT58">
        <v>1.53</v>
      </c>
      <c r="BU58">
        <v>234</v>
      </c>
      <c r="BV58">
        <v>75.5</v>
      </c>
      <c r="BW58">
        <v>47</v>
      </c>
      <c r="BX58">
        <v>95.9</v>
      </c>
      <c r="BY58">
        <v>2492</v>
      </c>
      <c r="BZ58">
        <v>6.7</v>
      </c>
      <c r="CA58">
        <v>813069</v>
      </c>
      <c r="CB58">
        <v>666163</v>
      </c>
      <c r="CC58">
        <v>666163</v>
      </c>
      <c r="CD58">
        <v>518692</v>
      </c>
      <c r="CE58">
        <v>669242</v>
      </c>
      <c r="CF58">
        <v>571970</v>
      </c>
      <c r="CG58">
        <v>605141</v>
      </c>
      <c r="CH58">
        <v>571771</v>
      </c>
      <c r="CI58">
        <v>681624</v>
      </c>
      <c r="CJ58">
        <v>606192</v>
      </c>
      <c r="CK58">
        <v>53.79</v>
      </c>
      <c r="CL58">
        <v>0.10299999999999999</v>
      </c>
      <c r="CM58">
        <v>0.106</v>
      </c>
      <c r="CN58">
        <v>0</v>
      </c>
      <c r="CO58">
        <v>1</v>
      </c>
      <c r="CP58">
        <v>0</v>
      </c>
      <c r="CQ58">
        <v>0</v>
      </c>
      <c r="CR58">
        <v>3</v>
      </c>
      <c r="CS58">
        <v>5</v>
      </c>
      <c r="CT58">
        <v>0</v>
      </c>
      <c r="CU58">
        <v>0</v>
      </c>
      <c r="CV58">
        <v>5</v>
      </c>
      <c r="CW58">
        <v>0</v>
      </c>
      <c r="CX58">
        <v>5</v>
      </c>
      <c r="CY58">
        <v>0</v>
      </c>
      <c r="CZ58">
        <v>5</v>
      </c>
      <c r="DA58" t="s">
        <v>107</v>
      </c>
      <c r="DB58" t="s">
        <v>107</v>
      </c>
      <c r="DC58">
        <v>155</v>
      </c>
      <c r="DD58">
        <v>7.0000000000000001E-3</v>
      </c>
      <c r="DE58">
        <v>-0.29299999999999998</v>
      </c>
      <c r="DF58">
        <v>70.099999999999994</v>
      </c>
      <c r="DG58">
        <v>6.6</v>
      </c>
    </row>
    <row r="59" spans="1:111" x14ac:dyDescent="0.2">
      <c r="A59">
        <v>2025</v>
      </c>
      <c r="B59" s="1">
        <v>45930</v>
      </c>
      <c r="C59" t="s">
        <v>95</v>
      </c>
      <c r="D59">
        <v>605483</v>
      </c>
      <c r="E59">
        <v>663647</v>
      </c>
      <c r="F59">
        <v>0</v>
      </c>
      <c r="G59">
        <v>0</v>
      </c>
      <c r="H59">
        <v>5</v>
      </c>
      <c r="I59" t="s">
        <v>96</v>
      </c>
      <c r="J59">
        <v>37</v>
      </c>
      <c r="K59">
        <v>1</v>
      </c>
      <c r="L59" t="s">
        <v>97</v>
      </c>
      <c r="M59" t="s">
        <v>98</v>
      </c>
      <c r="N59" t="s">
        <v>99</v>
      </c>
      <c r="O59">
        <f t="shared" si="0"/>
        <v>0</v>
      </c>
      <c r="P59">
        <f t="shared" si="1"/>
        <v>0</v>
      </c>
      <c r="Q59">
        <f t="shared" si="2"/>
        <v>1</v>
      </c>
      <c r="R59">
        <f t="shared" si="3"/>
        <v>0</v>
      </c>
      <c r="S59">
        <f t="shared" si="4"/>
        <v>0</v>
      </c>
      <c r="T59">
        <f t="shared" si="5"/>
        <v>0</v>
      </c>
      <c r="U59">
        <f t="shared" si="6"/>
        <v>0</v>
      </c>
      <c r="V59">
        <f t="shared" si="7"/>
        <v>0</v>
      </c>
      <c r="W59">
        <f t="shared" si="8"/>
        <v>0</v>
      </c>
      <c r="X59">
        <f t="shared" si="9"/>
        <v>0</v>
      </c>
      <c r="Y59">
        <f t="shared" si="10"/>
        <v>0</v>
      </c>
      <c r="Z59">
        <f t="shared" si="11"/>
        <v>0</v>
      </c>
      <c r="AA59">
        <f t="shared" si="12"/>
        <v>0</v>
      </c>
      <c r="AB59">
        <f t="shared" si="13"/>
        <v>0</v>
      </c>
      <c r="AC59">
        <f t="shared" si="14"/>
        <v>0</v>
      </c>
      <c r="AD59">
        <f t="shared" si="15"/>
        <v>0</v>
      </c>
      <c r="AE59">
        <v>96.5</v>
      </c>
      <c r="AF59">
        <v>1.92</v>
      </c>
      <c r="AG59">
        <v>6.58</v>
      </c>
      <c r="AH59" t="s">
        <v>100</v>
      </c>
      <c r="AI59" t="s">
        <v>97</v>
      </c>
      <c r="AJ59" t="s">
        <v>97</v>
      </c>
      <c r="AK59" t="s">
        <v>97</v>
      </c>
      <c r="AL59" t="s">
        <v>97</v>
      </c>
      <c r="AM59">
        <v>12</v>
      </c>
      <c r="AN59" t="s">
        <v>101</v>
      </c>
      <c r="AO59" t="s">
        <v>102</v>
      </c>
      <c r="AP59" t="s">
        <v>122</v>
      </c>
      <c r="AQ59" t="s">
        <v>103</v>
      </c>
      <c r="AR59" t="s">
        <v>104</v>
      </c>
      <c r="AS59" t="s">
        <v>105</v>
      </c>
      <c r="AT59" t="s">
        <v>106</v>
      </c>
      <c r="AU59" t="s">
        <v>97</v>
      </c>
      <c r="AV59" t="s">
        <v>97</v>
      </c>
      <c r="AW59">
        <v>0.62</v>
      </c>
      <c r="AX59">
        <v>1.54</v>
      </c>
      <c r="AY59">
        <v>1.01</v>
      </c>
      <c r="AZ59">
        <v>3.67</v>
      </c>
      <c r="BA59" t="s">
        <v>97</v>
      </c>
      <c r="BB59" t="s">
        <v>97</v>
      </c>
      <c r="BC59" t="s">
        <v>97</v>
      </c>
      <c r="BD59">
        <v>2</v>
      </c>
      <c r="BE59" t="s">
        <v>97</v>
      </c>
      <c r="BF59" t="s">
        <v>97</v>
      </c>
      <c r="BG59" t="s">
        <v>97</v>
      </c>
      <c r="BH59" t="s">
        <v>97</v>
      </c>
      <c r="BI59">
        <v>666163</v>
      </c>
      <c r="BJ59">
        <v>666163</v>
      </c>
      <c r="BK59" t="s">
        <v>97</v>
      </c>
      <c r="BL59" t="s">
        <v>97</v>
      </c>
      <c r="BM59">
        <v>-3.85455835</v>
      </c>
      <c r="BN59">
        <v>-140.43222040000001</v>
      </c>
      <c r="BO59">
        <v>-5.764317943</v>
      </c>
      <c r="BP59">
        <v>9.0930846790000004</v>
      </c>
      <c r="BQ59">
        <v>31.449646619999999</v>
      </c>
      <c r="BR59">
        <v>-10.63334268</v>
      </c>
      <c r="BS59">
        <v>3.26</v>
      </c>
      <c r="BT59">
        <v>1.53</v>
      </c>
      <c r="BU59" t="s">
        <v>97</v>
      </c>
      <c r="BV59" t="s">
        <v>97</v>
      </c>
      <c r="BW59" t="s">
        <v>97</v>
      </c>
      <c r="BX59">
        <v>97.4</v>
      </c>
      <c r="BY59">
        <v>2529</v>
      </c>
      <c r="BZ59">
        <v>6.8</v>
      </c>
      <c r="CA59">
        <v>813069</v>
      </c>
      <c r="CB59">
        <v>666163</v>
      </c>
      <c r="CC59">
        <v>666163</v>
      </c>
      <c r="CD59">
        <v>518692</v>
      </c>
      <c r="CE59">
        <v>669242</v>
      </c>
      <c r="CF59">
        <v>571970</v>
      </c>
      <c r="CG59">
        <v>605141</v>
      </c>
      <c r="CH59">
        <v>571771</v>
      </c>
      <c r="CI59">
        <v>681624</v>
      </c>
      <c r="CJ59">
        <v>606192</v>
      </c>
      <c r="CK59">
        <v>53.71</v>
      </c>
      <c r="CL59" t="s">
        <v>97</v>
      </c>
      <c r="CM59" t="s">
        <v>97</v>
      </c>
      <c r="CN59" t="s">
        <v>97</v>
      </c>
      <c r="CO59" t="s">
        <v>97</v>
      </c>
      <c r="CP59" t="s">
        <v>97</v>
      </c>
      <c r="CQ59" t="s">
        <v>97</v>
      </c>
      <c r="CR59" t="s">
        <v>97</v>
      </c>
      <c r="CS59">
        <v>5</v>
      </c>
      <c r="CT59">
        <v>0</v>
      </c>
      <c r="CU59">
        <v>0</v>
      </c>
      <c r="CV59">
        <v>5</v>
      </c>
      <c r="CW59">
        <v>0</v>
      </c>
      <c r="CX59">
        <v>5</v>
      </c>
      <c r="CY59">
        <v>0</v>
      </c>
      <c r="CZ59">
        <v>5</v>
      </c>
      <c r="DA59" t="s">
        <v>107</v>
      </c>
      <c r="DB59" t="s">
        <v>107</v>
      </c>
      <c r="DC59">
        <v>157</v>
      </c>
      <c r="DD59">
        <v>0</v>
      </c>
      <c r="DE59">
        <v>3.6999999999999998E-2</v>
      </c>
      <c r="DF59" t="s">
        <v>97</v>
      </c>
      <c r="DG59" t="s">
        <v>97</v>
      </c>
    </row>
    <row r="60" spans="1:111" x14ac:dyDescent="0.2">
      <c r="A60">
        <v>2025</v>
      </c>
      <c r="B60" s="1">
        <v>45930</v>
      </c>
      <c r="C60" t="s">
        <v>95</v>
      </c>
      <c r="D60">
        <v>605483</v>
      </c>
      <c r="E60">
        <v>663647</v>
      </c>
      <c r="F60">
        <v>1</v>
      </c>
      <c r="G60">
        <v>0</v>
      </c>
      <c r="H60">
        <v>5</v>
      </c>
      <c r="I60" t="s">
        <v>96</v>
      </c>
      <c r="J60">
        <v>37</v>
      </c>
      <c r="K60">
        <v>2</v>
      </c>
      <c r="L60" t="s">
        <v>97</v>
      </c>
      <c r="M60" t="s">
        <v>132</v>
      </c>
      <c r="N60" t="s">
        <v>133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0</v>
      </c>
      <c r="T60">
        <f t="shared" si="5"/>
        <v>0</v>
      </c>
      <c r="U60">
        <f t="shared" si="6"/>
        <v>0</v>
      </c>
      <c r="V60">
        <f t="shared" si="7"/>
        <v>0</v>
      </c>
      <c r="W60">
        <f t="shared" si="8"/>
        <v>0</v>
      </c>
      <c r="X60">
        <f t="shared" si="9"/>
        <v>1</v>
      </c>
      <c r="Y60">
        <f t="shared" si="10"/>
        <v>0</v>
      </c>
      <c r="Z60">
        <f t="shared" si="11"/>
        <v>0</v>
      </c>
      <c r="AA60">
        <f t="shared" si="12"/>
        <v>0</v>
      </c>
      <c r="AB60">
        <f t="shared" si="13"/>
        <v>0</v>
      </c>
      <c r="AC60">
        <f t="shared" si="14"/>
        <v>0</v>
      </c>
      <c r="AD60">
        <f t="shared" si="15"/>
        <v>0</v>
      </c>
      <c r="AE60">
        <v>86.5</v>
      </c>
      <c r="AF60">
        <v>2.3199999999999998</v>
      </c>
      <c r="AG60">
        <v>6.38</v>
      </c>
      <c r="AH60" t="s">
        <v>113</v>
      </c>
      <c r="AI60" t="s">
        <v>97</v>
      </c>
      <c r="AJ60" t="s">
        <v>97</v>
      </c>
      <c r="AK60" t="s">
        <v>97</v>
      </c>
      <c r="AL60" t="s">
        <v>97</v>
      </c>
      <c r="AM60">
        <v>9</v>
      </c>
      <c r="AN60" t="s">
        <v>114</v>
      </c>
      <c r="AO60" t="s">
        <v>102</v>
      </c>
      <c r="AP60" t="s">
        <v>122</v>
      </c>
      <c r="AQ60" t="s">
        <v>103</v>
      </c>
      <c r="AR60" t="s">
        <v>104</v>
      </c>
      <c r="AS60" t="s">
        <v>105</v>
      </c>
      <c r="AT60" t="s">
        <v>110</v>
      </c>
      <c r="AU60" t="s">
        <v>97</v>
      </c>
      <c r="AV60" t="s">
        <v>97</v>
      </c>
      <c r="AW60">
        <v>0.95</v>
      </c>
      <c r="AX60">
        <v>1.02</v>
      </c>
      <c r="AY60">
        <v>0.68</v>
      </c>
      <c r="AZ60">
        <v>1.63</v>
      </c>
      <c r="BA60" t="s">
        <v>97</v>
      </c>
      <c r="BB60" t="s">
        <v>97</v>
      </c>
      <c r="BC60" t="s">
        <v>97</v>
      </c>
      <c r="BD60">
        <v>2</v>
      </c>
      <c r="BE60" t="s">
        <v>97</v>
      </c>
      <c r="BF60" t="s">
        <v>97</v>
      </c>
      <c r="BG60" t="s">
        <v>97</v>
      </c>
      <c r="BH60" t="s">
        <v>97</v>
      </c>
      <c r="BI60">
        <v>666163</v>
      </c>
      <c r="BJ60">
        <v>666163</v>
      </c>
      <c r="BK60" t="s">
        <v>97</v>
      </c>
      <c r="BL60" t="s">
        <v>97</v>
      </c>
      <c r="BM60">
        <v>-5.9014157389999999</v>
      </c>
      <c r="BN60">
        <v>-125.7097778</v>
      </c>
      <c r="BO60">
        <v>-7.2592136299999996</v>
      </c>
      <c r="BP60">
        <v>11.236740279999999</v>
      </c>
      <c r="BQ60">
        <v>24.681974239999999</v>
      </c>
      <c r="BR60">
        <v>-20.04709424</v>
      </c>
      <c r="BS60">
        <v>3.28</v>
      </c>
      <c r="BT60">
        <v>1.53</v>
      </c>
      <c r="BU60" t="s">
        <v>97</v>
      </c>
      <c r="BV60" t="s">
        <v>97</v>
      </c>
      <c r="BW60" t="s">
        <v>97</v>
      </c>
      <c r="BX60">
        <v>87.4</v>
      </c>
      <c r="BY60">
        <v>1702</v>
      </c>
      <c r="BZ60">
        <v>6.8</v>
      </c>
      <c r="CA60">
        <v>813069</v>
      </c>
      <c r="CB60">
        <v>666163</v>
      </c>
      <c r="CC60">
        <v>666163</v>
      </c>
      <c r="CD60">
        <v>518692</v>
      </c>
      <c r="CE60">
        <v>669242</v>
      </c>
      <c r="CF60">
        <v>571970</v>
      </c>
      <c r="CG60">
        <v>605141</v>
      </c>
      <c r="CH60">
        <v>571771</v>
      </c>
      <c r="CI60">
        <v>681624</v>
      </c>
      <c r="CJ60">
        <v>606192</v>
      </c>
      <c r="CK60">
        <v>53.67</v>
      </c>
      <c r="CL60" t="s">
        <v>97</v>
      </c>
      <c r="CM60" t="s">
        <v>97</v>
      </c>
      <c r="CN60" t="s">
        <v>97</v>
      </c>
      <c r="CO60" t="s">
        <v>97</v>
      </c>
      <c r="CP60" t="s">
        <v>97</v>
      </c>
      <c r="CQ60" t="s">
        <v>97</v>
      </c>
      <c r="CR60" t="s">
        <v>97</v>
      </c>
      <c r="CS60">
        <v>5</v>
      </c>
      <c r="CT60">
        <v>0</v>
      </c>
      <c r="CU60">
        <v>0</v>
      </c>
      <c r="CV60">
        <v>5</v>
      </c>
      <c r="CW60">
        <v>0</v>
      </c>
      <c r="CX60">
        <v>5</v>
      </c>
      <c r="CY60">
        <v>0</v>
      </c>
      <c r="CZ60">
        <v>5</v>
      </c>
      <c r="DA60" t="s">
        <v>107</v>
      </c>
      <c r="DB60" t="s">
        <v>107</v>
      </c>
      <c r="DC60">
        <v>133</v>
      </c>
      <c r="DD60">
        <v>0</v>
      </c>
      <c r="DE60">
        <v>-5.2999999999999999E-2</v>
      </c>
      <c r="DF60">
        <v>75.2</v>
      </c>
      <c r="DG60">
        <v>7.9</v>
      </c>
    </row>
    <row r="61" spans="1:111" x14ac:dyDescent="0.2">
      <c r="A61">
        <v>2025</v>
      </c>
      <c r="B61" s="1">
        <v>45930</v>
      </c>
      <c r="C61" t="s">
        <v>95</v>
      </c>
      <c r="D61">
        <v>605483</v>
      </c>
      <c r="E61">
        <v>663647</v>
      </c>
      <c r="F61">
        <v>1</v>
      </c>
      <c r="G61">
        <v>1</v>
      </c>
      <c r="H61">
        <v>5</v>
      </c>
      <c r="I61" t="s">
        <v>96</v>
      </c>
      <c r="J61">
        <v>37</v>
      </c>
      <c r="K61">
        <v>3</v>
      </c>
      <c r="L61" t="s">
        <v>119</v>
      </c>
      <c r="M61" t="s">
        <v>98</v>
      </c>
      <c r="N61" t="s">
        <v>99</v>
      </c>
      <c r="O61">
        <f t="shared" si="0"/>
        <v>1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0</v>
      </c>
      <c r="T61">
        <f t="shared" si="5"/>
        <v>0</v>
      </c>
      <c r="U61">
        <f t="shared" si="6"/>
        <v>0</v>
      </c>
      <c r="V61">
        <f t="shared" si="7"/>
        <v>0</v>
      </c>
      <c r="W61">
        <f t="shared" si="8"/>
        <v>0</v>
      </c>
      <c r="X61">
        <f t="shared" si="9"/>
        <v>0</v>
      </c>
      <c r="Y61">
        <f t="shared" si="10"/>
        <v>0</v>
      </c>
      <c r="Z61">
        <f t="shared" si="11"/>
        <v>0</v>
      </c>
      <c r="AA61">
        <f t="shared" si="12"/>
        <v>0</v>
      </c>
      <c r="AB61">
        <f t="shared" si="13"/>
        <v>0</v>
      </c>
      <c r="AC61">
        <f t="shared" si="14"/>
        <v>0</v>
      </c>
      <c r="AD61">
        <f t="shared" si="15"/>
        <v>0</v>
      </c>
      <c r="AE61">
        <v>96</v>
      </c>
      <c r="AF61">
        <v>1.93</v>
      </c>
      <c r="AG61">
        <v>6.53</v>
      </c>
      <c r="AH61" t="s">
        <v>120</v>
      </c>
      <c r="AI61" t="s">
        <v>97</v>
      </c>
      <c r="AJ61" t="s">
        <v>97</v>
      </c>
      <c r="AK61" t="s">
        <v>97</v>
      </c>
      <c r="AL61" t="s">
        <v>97</v>
      </c>
      <c r="AM61">
        <v>5</v>
      </c>
      <c r="AN61" t="s">
        <v>151</v>
      </c>
      <c r="AO61" t="s">
        <v>102</v>
      </c>
      <c r="AP61" t="s">
        <v>122</v>
      </c>
      <c r="AQ61" t="s">
        <v>103</v>
      </c>
      <c r="AR61" t="s">
        <v>104</v>
      </c>
      <c r="AS61" t="s">
        <v>105</v>
      </c>
      <c r="AT61" t="s">
        <v>123</v>
      </c>
      <c r="AU61">
        <v>4</v>
      </c>
      <c r="AV61" t="s">
        <v>127</v>
      </c>
      <c r="AW61">
        <v>0.56000000000000005</v>
      </c>
      <c r="AX61">
        <v>1.37</v>
      </c>
      <c r="AY61">
        <v>7.0000000000000007E-2</v>
      </c>
      <c r="AZ61">
        <v>2.54</v>
      </c>
      <c r="BA61" t="s">
        <v>97</v>
      </c>
      <c r="BB61" t="s">
        <v>97</v>
      </c>
      <c r="BC61" t="s">
        <v>97</v>
      </c>
      <c r="BD61">
        <v>2</v>
      </c>
      <c r="BE61">
        <v>130.36000000000001</v>
      </c>
      <c r="BF61">
        <v>146.58000000000001</v>
      </c>
      <c r="BG61" t="s">
        <v>97</v>
      </c>
      <c r="BH61" t="s">
        <v>97</v>
      </c>
      <c r="BI61">
        <v>666163</v>
      </c>
      <c r="BJ61">
        <v>666163</v>
      </c>
      <c r="BK61" t="s">
        <v>97</v>
      </c>
      <c r="BL61" t="s">
        <v>97</v>
      </c>
      <c r="BM61">
        <v>-6.2256896680000002</v>
      </c>
      <c r="BN61">
        <v>-139.5467237</v>
      </c>
      <c r="BO61">
        <v>-8.1688271290000003</v>
      </c>
      <c r="BP61">
        <v>8.5919612020000002</v>
      </c>
      <c r="BQ61">
        <v>29.000986959999999</v>
      </c>
      <c r="BR61">
        <v>-12.566546020000001</v>
      </c>
      <c r="BS61">
        <v>3.28</v>
      </c>
      <c r="BT61">
        <v>1.53</v>
      </c>
      <c r="BU61">
        <v>30</v>
      </c>
      <c r="BV61">
        <v>102.8</v>
      </c>
      <c r="BW61">
        <v>-3</v>
      </c>
      <c r="BX61">
        <v>97.1</v>
      </c>
      <c r="BY61">
        <v>2543</v>
      </c>
      <c r="BZ61">
        <v>6.8</v>
      </c>
      <c r="CA61">
        <v>813069</v>
      </c>
      <c r="CB61">
        <v>666163</v>
      </c>
      <c r="CC61">
        <v>666163</v>
      </c>
      <c r="CD61">
        <v>518692</v>
      </c>
      <c r="CE61">
        <v>669242</v>
      </c>
      <c r="CF61">
        <v>571970</v>
      </c>
      <c r="CG61">
        <v>605141</v>
      </c>
      <c r="CH61">
        <v>571771</v>
      </c>
      <c r="CI61">
        <v>681624</v>
      </c>
      <c r="CJ61">
        <v>606192</v>
      </c>
      <c r="CK61">
        <v>53.69</v>
      </c>
      <c r="CL61">
        <v>0.41699999999999998</v>
      </c>
      <c r="CM61">
        <v>0.375</v>
      </c>
      <c r="CN61">
        <v>0</v>
      </c>
      <c r="CO61">
        <v>1</v>
      </c>
      <c r="CP61">
        <v>0</v>
      </c>
      <c r="CQ61">
        <v>0</v>
      </c>
      <c r="CR61">
        <v>2</v>
      </c>
      <c r="CS61">
        <v>5</v>
      </c>
      <c r="CT61">
        <v>0</v>
      </c>
      <c r="CU61">
        <v>0</v>
      </c>
      <c r="CV61">
        <v>5</v>
      </c>
      <c r="CW61">
        <v>0</v>
      </c>
      <c r="CX61">
        <v>5</v>
      </c>
      <c r="CY61">
        <v>0</v>
      </c>
      <c r="CZ61">
        <v>5</v>
      </c>
      <c r="DA61" t="s">
        <v>107</v>
      </c>
      <c r="DB61" t="s">
        <v>107</v>
      </c>
      <c r="DC61">
        <v>159</v>
      </c>
      <c r="DD61">
        <v>4.0000000000000001E-3</v>
      </c>
      <c r="DE61">
        <v>-0.24399999999999999</v>
      </c>
      <c r="DF61">
        <v>72</v>
      </c>
      <c r="DG61">
        <v>6.4</v>
      </c>
    </row>
    <row r="62" spans="1:111" x14ac:dyDescent="0.2">
      <c r="A62">
        <v>2025</v>
      </c>
      <c r="B62" s="1">
        <v>45930</v>
      </c>
      <c r="C62" t="s">
        <v>95</v>
      </c>
      <c r="D62">
        <v>605483</v>
      </c>
      <c r="E62">
        <v>680574</v>
      </c>
      <c r="F62">
        <v>0</v>
      </c>
      <c r="G62">
        <v>0</v>
      </c>
      <c r="H62">
        <v>6</v>
      </c>
      <c r="I62" t="s">
        <v>96</v>
      </c>
      <c r="J62">
        <v>42</v>
      </c>
      <c r="K62">
        <v>1</v>
      </c>
      <c r="L62" t="s">
        <v>97</v>
      </c>
      <c r="M62" t="s">
        <v>98</v>
      </c>
      <c r="N62" t="s">
        <v>99</v>
      </c>
      <c r="O62">
        <f t="shared" si="0"/>
        <v>0</v>
      </c>
      <c r="P62">
        <f t="shared" si="1"/>
        <v>0</v>
      </c>
      <c r="Q62">
        <f t="shared" si="2"/>
        <v>1</v>
      </c>
      <c r="R62">
        <f t="shared" si="3"/>
        <v>0</v>
      </c>
      <c r="S62">
        <f t="shared" si="4"/>
        <v>0</v>
      </c>
      <c r="T62">
        <f t="shared" si="5"/>
        <v>0</v>
      </c>
      <c r="U62">
        <f t="shared" si="6"/>
        <v>0</v>
      </c>
      <c r="V62">
        <f t="shared" si="7"/>
        <v>0</v>
      </c>
      <c r="W62">
        <f t="shared" si="8"/>
        <v>0</v>
      </c>
      <c r="X62">
        <f t="shared" si="9"/>
        <v>0</v>
      </c>
      <c r="Y62">
        <f t="shared" si="10"/>
        <v>0</v>
      </c>
      <c r="Z62">
        <f t="shared" si="11"/>
        <v>0</v>
      </c>
      <c r="AA62">
        <f t="shared" si="12"/>
        <v>0</v>
      </c>
      <c r="AB62">
        <f t="shared" si="13"/>
        <v>0</v>
      </c>
      <c r="AC62">
        <f t="shared" si="14"/>
        <v>0</v>
      </c>
      <c r="AD62">
        <f t="shared" si="15"/>
        <v>0</v>
      </c>
      <c r="AE62">
        <v>93.5</v>
      </c>
      <c r="AF62">
        <v>2.14</v>
      </c>
      <c r="AG62">
        <v>6.56</v>
      </c>
      <c r="AH62" t="s">
        <v>108</v>
      </c>
      <c r="AI62" t="s">
        <v>97</v>
      </c>
      <c r="AJ62" t="s">
        <v>97</v>
      </c>
      <c r="AK62" t="s">
        <v>97</v>
      </c>
      <c r="AL62" t="s">
        <v>97</v>
      </c>
      <c r="AM62">
        <v>3</v>
      </c>
      <c r="AN62" t="s">
        <v>109</v>
      </c>
      <c r="AO62" t="s">
        <v>102</v>
      </c>
      <c r="AP62" t="s">
        <v>122</v>
      </c>
      <c r="AQ62" t="s">
        <v>103</v>
      </c>
      <c r="AR62" t="s">
        <v>104</v>
      </c>
      <c r="AS62" t="s">
        <v>105</v>
      </c>
      <c r="AT62" t="s">
        <v>110</v>
      </c>
      <c r="AU62" t="s">
        <v>97</v>
      </c>
      <c r="AV62" t="s">
        <v>97</v>
      </c>
      <c r="AW62">
        <v>0.28999999999999998</v>
      </c>
      <c r="AX62">
        <v>1.43</v>
      </c>
      <c r="AY62">
        <v>0.81</v>
      </c>
      <c r="AZ62">
        <v>3.13</v>
      </c>
      <c r="BA62" t="s">
        <v>97</v>
      </c>
      <c r="BB62" t="s">
        <v>97</v>
      </c>
      <c r="BC62" t="s">
        <v>97</v>
      </c>
      <c r="BD62">
        <v>0</v>
      </c>
      <c r="BE62" t="s">
        <v>97</v>
      </c>
      <c r="BF62" t="s">
        <v>97</v>
      </c>
      <c r="BG62" t="s">
        <v>97</v>
      </c>
      <c r="BH62" t="s">
        <v>97</v>
      </c>
      <c r="BI62">
        <v>666163</v>
      </c>
      <c r="BJ62">
        <v>666163</v>
      </c>
      <c r="BK62" t="s">
        <v>97</v>
      </c>
      <c r="BL62" t="s">
        <v>97</v>
      </c>
      <c r="BM62">
        <v>-4.1173479689999999</v>
      </c>
      <c r="BN62">
        <v>-136.02224179999999</v>
      </c>
      <c r="BO62">
        <v>-6.3046909869999999</v>
      </c>
      <c r="BP62">
        <v>4.5382400479999996</v>
      </c>
      <c r="BQ62">
        <v>28.71571685</v>
      </c>
      <c r="BR62">
        <v>-13.168318230000001</v>
      </c>
      <c r="BS62">
        <v>3.11</v>
      </c>
      <c r="BT62">
        <v>1.52</v>
      </c>
      <c r="BU62" t="s">
        <v>97</v>
      </c>
      <c r="BV62" t="s">
        <v>97</v>
      </c>
      <c r="BW62" t="s">
        <v>97</v>
      </c>
      <c r="BX62">
        <v>94.3</v>
      </c>
      <c r="BY62">
        <v>2370</v>
      </c>
      <c r="BZ62">
        <v>6.7</v>
      </c>
      <c r="CA62">
        <v>813069</v>
      </c>
      <c r="CB62">
        <v>666163</v>
      </c>
      <c r="CC62">
        <v>666163</v>
      </c>
      <c r="CD62">
        <v>518692</v>
      </c>
      <c r="CE62">
        <v>500743</v>
      </c>
      <c r="CF62">
        <v>571970</v>
      </c>
      <c r="CG62">
        <v>605141</v>
      </c>
      <c r="CH62">
        <v>571771</v>
      </c>
      <c r="CI62">
        <v>681624</v>
      </c>
      <c r="CJ62">
        <v>606192</v>
      </c>
      <c r="CK62">
        <v>53.83</v>
      </c>
      <c r="CL62" t="s">
        <v>97</v>
      </c>
      <c r="CM62" t="s">
        <v>97</v>
      </c>
      <c r="CN62" t="s">
        <v>97</v>
      </c>
      <c r="CO62" t="s">
        <v>97</v>
      </c>
      <c r="CP62" t="s">
        <v>97</v>
      </c>
      <c r="CQ62" t="s">
        <v>97</v>
      </c>
      <c r="CR62" t="s">
        <v>97</v>
      </c>
      <c r="CS62">
        <v>6</v>
      </c>
      <c r="CT62">
        <v>0</v>
      </c>
      <c r="CU62">
        <v>0</v>
      </c>
      <c r="CV62">
        <v>6</v>
      </c>
      <c r="CW62">
        <v>0</v>
      </c>
      <c r="CX62">
        <v>6</v>
      </c>
      <c r="CY62">
        <v>0</v>
      </c>
      <c r="CZ62">
        <v>6</v>
      </c>
      <c r="DA62" t="s">
        <v>107</v>
      </c>
      <c r="DB62" t="s">
        <v>107</v>
      </c>
      <c r="DC62">
        <v>154</v>
      </c>
      <c r="DD62">
        <v>0</v>
      </c>
      <c r="DE62">
        <v>-3.9E-2</v>
      </c>
      <c r="DF62" t="s">
        <v>97</v>
      </c>
      <c r="DG62" t="s">
        <v>97</v>
      </c>
    </row>
    <row r="63" spans="1:111" x14ac:dyDescent="0.2">
      <c r="A63">
        <v>2025</v>
      </c>
      <c r="B63" s="1">
        <v>45930</v>
      </c>
      <c r="C63" t="s">
        <v>95</v>
      </c>
      <c r="D63">
        <v>605483</v>
      </c>
      <c r="E63">
        <v>680574</v>
      </c>
      <c r="F63">
        <v>0</v>
      </c>
      <c r="G63">
        <v>1</v>
      </c>
      <c r="H63">
        <v>6</v>
      </c>
      <c r="I63" t="s">
        <v>96</v>
      </c>
      <c r="J63">
        <v>42</v>
      </c>
      <c r="K63">
        <v>2</v>
      </c>
      <c r="L63" t="s">
        <v>97</v>
      </c>
      <c r="M63" t="s">
        <v>132</v>
      </c>
      <c r="N63" t="s">
        <v>133</v>
      </c>
      <c r="O63">
        <f t="shared" si="0"/>
        <v>0</v>
      </c>
      <c r="P63">
        <f t="shared" si="1"/>
        <v>0</v>
      </c>
      <c r="Q63">
        <f t="shared" si="2"/>
        <v>0</v>
      </c>
      <c r="R63">
        <f t="shared" si="3"/>
        <v>0</v>
      </c>
      <c r="S63">
        <f t="shared" si="4"/>
        <v>0</v>
      </c>
      <c r="T63">
        <f t="shared" si="5"/>
        <v>0</v>
      </c>
      <c r="U63">
        <f t="shared" si="6"/>
        <v>0</v>
      </c>
      <c r="V63">
        <f t="shared" si="7"/>
        <v>0</v>
      </c>
      <c r="W63">
        <f t="shared" si="8"/>
        <v>1</v>
      </c>
      <c r="X63">
        <f t="shared" si="9"/>
        <v>0</v>
      </c>
      <c r="Y63">
        <f t="shared" si="10"/>
        <v>0</v>
      </c>
      <c r="Z63">
        <f t="shared" si="11"/>
        <v>0</v>
      </c>
      <c r="AA63">
        <f t="shared" si="12"/>
        <v>0</v>
      </c>
      <c r="AB63">
        <f t="shared" si="13"/>
        <v>0</v>
      </c>
      <c r="AC63">
        <f t="shared" si="14"/>
        <v>0</v>
      </c>
      <c r="AD63">
        <f t="shared" si="15"/>
        <v>0</v>
      </c>
      <c r="AE63">
        <v>86.3</v>
      </c>
      <c r="AF63">
        <v>2.2200000000000002</v>
      </c>
      <c r="AG63">
        <v>6.42</v>
      </c>
      <c r="AH63" t="s">
        <v>100</v>
      </c>
      <c r="AI63" t="s">
        <v>97</v>
      </c>
      <c r="AJ63" t="s">
        <v>97</v>
      </c>
      <c r="AK63" t="s">
        <v>97</v>
      </c>
      <c r="AL63" t="s">
        <v>97</v>
      </c>
      <c r="AM63">
        <v>14</v>
      </c>
      <c r="AN63" t="s">
        <v>101</v>
      </c>
      <c r="AO63" t="s">
        <v>102</v>
      </c>
      <c r="AP63" t="s">
        <v>122</v>
      </c>
      <c r="AQ63" t="s">
        <v>103</v>
      </c>
      <c r="AR63" t="s">
        <v>104</v>
      </c>
      <c r="AS63" t="s">
        <v>105</v>
      </c>
      <c r="AT63" t="s">
        <v>106</v>
      </c>
      <c r="AU63" t="s">
        <v>97</v>
      </c>
      <c r="AV63" t="s">
        <v>97</v>
      </c>
      <c r="AW63">
        <v>1.08</v>
      </c>
      <c r="AX63">
        <v>0.64</v>
      </c>
      <c r="AY63">
        <v>0.88</v>
      </c>
      <c r="AZ63">
        <v>1.43</v>
      </c>
      <c r="BA63" t="s">
        <v>97</v>
      </c>
      <c r="BB63" t="s">
        <v>97</v>
      </c>
      <c r="BC63" t="s">
        <v>97</v>
      </c>
      <c r="BD63">
        <v>0</v>
      </c>
      <c r="BE63" t="s">
        <v>97</v>
      </c>
      <c r="BF63" t="s">
        <v>97</v>
      </c>
      <c r="BG63" t="s">
        <v>97</v>
      </c>
      <c r="BH63" t="s">
        <v>97</v>
      </c>
      <c r="BI63">
        <v>666163</v>
      </c>
      <c r="BJ63">
        <v>666163</v>
      </c>
      <c r="BK63" t="s">
        <v>97</v>
      </c>
      <c r="BL63" t="s">
        <v>97</v>
      </c>
      <c r="BM63">
        <v>-5.4277295780000001</v>
      </c>
      <c r="BN63">
        <v>-125.43673769999999</v>
      </c>
      <c r="BO63">
        <v>-7.0249872570000003</v>
      </c>
      <c r="BP63">
        <v>12.504362</v>
      </c>
      <c r="BQ63">
        <v>24.629325789999999</v>
      </c>
      <c r="BR63">
        <v>-24.148714179999999</v>
      </c>
      <c r="BS63">
        <v>2.99</v>
      </c>
      <c r="BT63">
        <v>1.38</v>
      </c>
      <c r="BU63" t="s">
        <v>97</v>
      </c>
      <c r="BV63" t="s">
        <v>97</v>
      </c>
      <c r="BW63" t="s">
        <v>97</v>
      </c>
      <c r="BX63">
        <v>87.1</v>
      </c>
      <c r="BY63">
        <v>1668</v>
      </c>
      <c r="BZ63">
        <v>6.8</v>
      </c>
      <c r="CA63">
        <v>813069</v>
      </c>
      <c r="CB63">
        <v>666163</v>
      </c>
      <c r="CC63">
        <v>666163</v>
      </c>
      <c r="CD63">
        <v>518692</v>
      </c>
      <c r="CE63">
        <v>500743</v>
      </c>
      <c r="CF63">
        <v>571970</v>
      </c>
      <c r="CG63">
        <v>605141</v>
      </c>
      <c r="CH63">
        <v>571771</v>
      </c>
      <c r="CI63">
        <v>681624</v>
      </c>
      <c r="CJ63">
        <v>606192</v>
      </c>
      <c r="CK63">
        <v>53.71</v>
      </c>
      <c r="CL63" t="s">
        <v>97</v>
      </c>
      <c r="CM63" t="s">
        <v>97</v>
      </c>
      <c r="CN63" t="s">
        <v>97</v>
      </c>
      <c r="CO63" t="s">
        <v>97</v>
      </c>
      <c r="CP63" t="s">
        <v>97</v>
      </c>
      <c r="CQ63" t="s">
        <v>97</v>
      </c>
      <c r="CR63" t="s">
        <v>97</v>
      </c>
      <c r="CS63">
        <v>6</v>
      </c>
      <c r="CT63">
        <v>0</v>
      </c>
      <c r="CU63">
        <v>0</v>
      </c>
      <c r="CV63">
        <v>6</v>
      </c>
      <c r="CW63">
        <v>0</v>
      </c>
      <c r="CX63">
        <v>6</v>
      </c>
      <c r="CY63">
        <v>0</v>
      </c>
      <c r="CZ63">
        <v>6</v>
      </c>
      <c r="DA63" t="s">
        <v>107</v>
      </c>
      <c r="DB63" t="s">
        <v>107</v>
      </c>
      <c r="DC63">
        <v>132</v>
      </c>
      <c r="DD63">
        <v>0</v>
      </c>
      <c r="DE63">
        <v>3.1E-2</v>
      </c>
      <c r="DF63" t="s">
        <v>97</v>
      </c>
      <c r="DG63" t="s">
        <v>97</v>
      </c>
    </row>
    <row r="64" spans="1:111" x14ac:dyDescent="0.2">
      <c r="A64">
        <v>2025</v>
      </c>
      <c r="B64" s="1">
        <v>45930</v>
      </c>
      <c r="C64" t="s">
        <v>95</v>
      </c>
      <c r="D64">
        <v>605483</v>
      </c>
      <c r="E64">
        <v>680574</v>
      </c>
      <c r="F64">
        <v>1</v>
      </c>
      <c r="G64">
        <v>1</v>
      </c>
      <c r="H64">
        <v>6</v>
      </c>
      <c r="I64" t="s">
        <v>96</v>
      </c>
      <c r="J64">
        <v>42</v>
      </c>
      <c r="K64">
        <v>3</v>
      </c>
      <c r="L64" t="s">
        <v>97</v>
      </c>
      <c r="M64" t="s">
        <v>132</v>
      </c>
      <c r="N64" t="s">
        <v>133</v>
      </c>
      <c r="O64">
        <f t="shared" si="0"/>
        <v>0</v>
      </c>
      <c r="P64">
        <f t="shared" si="1"/>
        <v>0</v>
      </c>
      <c r="Q64">
        <f t="shared" si="2"/>
        <v>0</v>
      </c>
      <c r="R64">
        <f t="shared" si="3"/>
        <v>0</v>
      </c>
      <c r="S64">
        <f t="shared" si="4"/>
        <v>0</v>
      </c>
      <c r="T64">
        <f t="shared" si="5"/>
        <v>0</v>
      </c>
      <c r="U64">
        <f t="shared" si="6"/>
        <v>0</v>
      </c>
      <c r="V64">
        <f t="shared" si="7"/>
        <v>0</v>
      </c>
      <c r="W64">
        <f t="shared" si="8"/>
        <v>0</v>
      </c>
      <c r="X64">
        <f t="shared" si="9"/>
        <v>1</v>
      </c>
      <c r="Y64">
        <f t="shared" si="10"/>
        <v>0</v>
      </c>
      <c r="Z64">
        <f t="shared" si="11"/>
        <v>0</v>
      </c>
      <c r="AA64">
        <f t="shared" si="12"/>
        <v>0</v>
      </c>
      <c r="AB64">
        <f t="shared" si="13"/>
        <v>0</v>
      </c>
      <c r="AC64">
        <f t="shared" si="14"/>
        <v>0</v>
      </c>
      <c r="AD64">
        <f t="shared" si="15"/>
        <v>0</v>
      </c>
      <c r="AE64">
        <v>86.6</v>
      </c>
      <c r="AF64">
        <v>2.3199999999999998</v>
      </c>
      <c r="AG64">
        <v>6.39</v>
      </c>
      <c r="AH64" t="s">
        <v>113</v>
      </c>
      <c r="AI64" t="s">
        <v>97</v>
      </c>
      <c r="AJ64" t="s">
        <v>97</v>
      </c>
      <c r="AK64" t="s">
        <v>97</v>
      </c>
      <c r="AL64" t="s">
        <v>97</v>
      </c>
      <c r="AM64">
        <v>9</v>
      </c>
      <c r="AN64" t="s">
        <v>114</v>
      </c>
      <c r="AO64" t="s">
        <v>102</v>
      </c>
      <c r="AP64" t="s">
        <v>122</v>
      </c>
      <c r="AQ64" t="s">
        <v>103</v>
      </c>
      <c r="AR64" t="s">
        <v>104</v>
      </c>
      <c r="AS64" t="s">
        <v>105</v>
      </c>
      <c r="AT64" t="s">
        <v>110</v>
      </c>
      <c r="AU64" t="s">
        <v>97</v>
      </c>
      <c r="AV64" t="s">
        <v>97</v>
      </c>
      <c r="AW64">
        <v>1.1399999999999999</v>
      </c>
      <c r="AX64">
        <v>0.64</v>
      </c>
      <c r="AY64">
        <v>0.43</v>
      </c>
      <c r="AZ64">
        <v>1.27</v>
      </c>
      <c r="BA64" t="s">
        <v>97</v>
      </c>
      <c r="BB64" t="s">
        <v>97</v>
      </c>
      <c r="BC64" t="s">
        <v>97</v>
      </c>
      <c r="BD64">
        <v>0</v>
      </c>
      <c r="BE64" t="s">
        <v>97</v>
      </c>
      <c r="BF64" t="s">
        <v>97</v>
      </c>
      <c r="BG64" t="s">
        <v>97</v>
      </c>
      <c r="BH64" t="s">
        <v>97</v>
      </c>
      <c r="BI64">
        <v>666163</v>
      </c>
      <c r="BJ64">
        <v>666163</v>
      </c>
      <c r="BK64" t="s">
        <v>97</v>
      </c>
      <c r="BL64" t="s">
        <v>97</v>
      </c>
      <c r="BM64">
        <v>-6.8905562199999997</v>
      </c>
      <c r="BN64">
        <v>-125.8698828</v>
      </c>
      <c r="BO64">
        <v>-7.3904448</v>
      </c>
      <c r="BP64">
        <v>13.52700802</v>
      </c>
      <c r="BQ64">
        <v>24.377175210000001</v>
      </c>
      <c r="BR64">
        <v>-24.101998309999999</v>
      </c>
      <c r="BS64">
        <v>3.06</v>
      </c>
      <c r="BT64">
        <v>1.38</v>
      </c>
      <c r="BU64" t="s">
        <v>97</v>
      </c>
      <c r="BV64" t="s">
        <v>97</v>
      </c>
      <c r="BW64" t="s">
        <v>97</v>
      </c>
      <c r="BX64">
        <v>87.3</v>
      </c>
      <c r="BY64">
        <v>1825</v>
      </c>
      <c r="BZ64">
        <v>6.7</v>
      </c>
      <c r="CA64">
        <v>813069</v>
      </c>
      <c r="CB64">
        <v>666163</v>
      </c>
      <c r="CC64">
        <v>666163</v>
      </c>
      <c r="CD64">
        <v>518692</v>
      </c>
      <c r="CE64">
        <v>500743</v>
      </c>
      <c r="CF64">
        <v>571970</v>
      </c>
      <c r="CG64">
        <v>605141</v>
      </c>
      <c r="CH64">
        <v>571771</v>
      </c>
      <c r="CI64">
        <v>681624</v>
      </c>
      <c r="CJ64">
        <v>606192</v>
      </c>
      <c r="CK64">
        <v>53.79</v>
      </c>
      <c r="CL64" t="s">
        <v>97</v>
      </c>
      <c r="CM64" t="s">
        <v>97</v>
      </c>
      <c r="CN64" t="s">
        <v>97</v>
      </c>
      <c r="CO64" t="s">
        <v>97</v>
      </c>
      <c r="CP64" t="s">
        <v>97</v>
      </c>
      <c r="CQ64" t="s">
        <v>97</v>
      </c>
      <c r="CR64" t="s">
        <v>97</v>
      </c>
      <c r="CS64">
        <v>6</v>
      </c>
      <c r="CT64">
        <v>0</v>
      </c>
      <c r="CU64">
        <v>0</v>
      </c>
      <c r="CV64">
        <v>6</v>
      </c>
      <c r="CW64">
        <v>0</v>
      </c>
      <c r="CX64">
        <v>6</v>
      </c>
      <c r="CY64">
        <v>0</v>
      </c>
      <c r="CZ64">
        <v>6</v>
      </c>
      <c r="DA64" t="s">
        <v>107</v>
      </c>
      <c r="DB64" t="s">
        <v>107</v>
      </c>
      <c r="DC64">
        <v>133</v>
      </c>
      <c r="DD64">
        <v>0</v>
      </c>
      <c r="DE64">
        <v>-6.0999999999999999E-2</v>
      </c>
      <c r="DF64">
        <v>73</v>
      </c>
      <c r="DG64">
        <v>7.9</v>
      </c>
    </row>
    <row r="65" spans="1:111" x14ac:dyDescent="0.2">
      <c r="A65">
        <v>2025</v>
      </c>
      <c r="B65" s="1">
        <v>45930</v>
      </c>
      <c r="C65" t="s">
        <v>95</v>
      </c>
      <c r="D65">
        <v>605483</v>
      </c>
      <c r="E65">
        <v>680574</v>
      </c>
      <c r="F65">
        <v>1</v>
      </c>
      <c r="G65">
        <v>2</v>
      </c>
      <c r="H65">
        <v>6</v>
      </c>
      <c r="I65" t="s">
        <v>96</v>
      </c>
      <c r="J65">
        <v>42</v>
      </c>
      <c r="K65">
        <v>4</v>
      </c>
      <c r="L65" t="s">
        <v>97</v>
      </c>
      <c r="M65" t="s">
        <v>98</v>
      </c>
      <c r="N65" t="s">
        <v>99</v>
      </c>
      <c r="O65">
        <f t="shared" si="0"/>
        <v>0</v>
      </c>
      <c r="P65">
        <f t="shared" si="1"/>
        <v>0</v>
      </c>
      <c r="Q65">
        <f t="shared" si="2"/>
        <v>1</v>
      </c>
      <c r="R65">
        <f t="shared" si="3"/>
        <v>0</v>
      </c>
      <c r="S65">
        <f t="shared" si="4"/>
        <v>0</v>
      </c>
      <c r="T65">
        <f t="shared" si="5"/>
        <v>0</v>
      </c>
      <c r="U65">
        <f t="shared" si="6"/>
        <v>0</v>
      </c>
      <c r="V65">
        <f t="shared" si="7"/>
        <v>0</v>
      </c>
      <c r="W65">
        <f t="shared" si="8"/>
        <v>0</v>
      </c>
      <c r="X65">
        <f t="shared" si="9"/>
        <v>0</v>
      </c>
      <c r="Y65">
        <f t="shared" si="10"/>
        <v>0</v>
      </c>
      <c r="Z65">
        <f t="shared" si="11"/>
        <v>0</v>
      </c>
      <c r="AA65">
        <f t="shared" si="12"/>
        <v>0</v>
      </c>
      <c r="AB65">
        <f t="shared" si="13"/>
        <v>0</v>
      </c>
      <c r="AC65">
        <f t="shared" si="14"/>
        <v>0</v>
      </c>
      <c r="AD65">
        <f t="shared" si="15"/>
        <v>0</v>
      </c>
      <c r="AE65">
        <v>95.6</v>
      </c>
      <c r="AF65">
        <v>2.12</v>
      </c>
      <c r="AG65">
        <v>6.54</v>
      </c>
      <c r="AH65" t="s">
        <v>100</v>
      </c>
      <c r="AI65" t="s">
        <v>97</v>
      </c>
      <c r="AJ65" t="s">
        <v>97</v>
      </c>
      <c r="AK65" t="s">
        <v>97</v>
      </c>
      <c r="AL65" t="s">
        <v>97</v>
      </c>
      <c r="AM65">
        <v>11</v>
      </c>
      <c r="AN65" t="s">
        <v>101</v>
      </c>
      <c r="AO65" t="s">
        <v>102</v>
      </c>
      <c r="AP65" t="s">
        <v>122</v>
      </c>
      <c r="AQ65" t="s">
        <v>103</v>
      </c>
      <c r="AR65" t="s">
        <v>104</v>
      </c>
      <c r="AS65" t="s">
        <v>105</v>
      </c>
      <c r="AT65" t="s">
        <v>106</v>
      </c>
      <c r="AU65" t="s">
        <v>97</v>
      </c>
      <c r="AV65" t="s">
        <v>97</v>
      </c>
      <c r="AW65">
        <v>0.11</v>
      </c>
      <c r="AX65">
        <v>1.44</v>
      </c>
      <c r="AY65">
        <v>-0.22</v>
      </c>
      <c r="AZ65">
        <v>3.74</v>
      </c>
      <c r="BA65" t="s">
        <v>97</v>
      </c>
      <c r="BB65" t="s">
        <v>97</v>
      </c>
      <c r="BC65" t="s">
        <v>97</v>
      </c>
      <c r="BD65">
        <v>0</v>
      </c>
      <c r="BE65" t="s">
        <v>97</v>
      </c>
      <c r="BF65" t="s">
        <v>97</v>
      </c>
      <c r="BG65" t="s">
        <v>97</v>
      </c>
      <c r="BH65" t="s">
        <v>97</v>
      </c>
      <c r="BI65">
        <v>666163</v>
      </c>
      <c r="BJ65">
        <v>666163</v>
      </c>
      <c r="BK65" t="s">
        <v>97</v>
      </c>
      <c r="BL65" t="s">
        <v>97</v>
      </c>
      <c r="BM65">
        <v>-6.4422715149999998</v>
      </c>
      <c r="BN65">
        <v>-139.06328740000001</v>
      </c>
      <c r="BO65">
        <v>-5.0296546549999999</v>
      </c>
      <c r="BP65">
        <v>2.853947271</v>
      </c>
      <c r="BQ65">
        <v>31.055789990000001</v>
      </c>
      <c r="BR65">
        <v>-12.488403780000001</v>
      </c>
      <c r="BS65">
        <v>3.08</v>
      </c>
      <c r="BT65">
        <v>1.38</v>
      </c>
      <c r="BU65" t="s">
        <v>97</v>
      </c>
      <c r="BV65" t="s">
        <v>97</v>
      </c>
      <c r="BW65" t="s">
        <v>97</v>
      </c>
      <c r="BX65">
        <v>96.1</v>
      </c>
      <c r="BY65">
        <v>2515</v>
      </c>
      <c r="BZ65">
        <v>6.6</v>
      </c>
      <c r="CA65">
        <v>813069</v>
      </c>
      <c r="CB65">
        <v>666163</v>
      </c>
      <c r="CC65">
        <v>666163</v>
      </c>
      <c r="CD65">
        <v>518692</v>
      </c>
      <c r="CE65">
        <v>500743</v>
      </c>
      <c r="CF65">
        <v>571970</v>
      </c>
      <c r="CG65">
        <v>605141</v>
      </c>
      <c r="CH65">
        <v>571771</v>
      </c>
      <c r="CI65">
        <v>681624</v>
      </c>
      <c r="CJ65">
        <v>606192</v>
      </c>
      <c r="CK65">
        <v>53.93</v>
      </c>
      <c r="CL65" t="s">
        <v>97</v>
      </c>
      <c r="CM65" t="s">
        <v>97</v>
      </c>
      <c r="CN65" t="s">
        <v>97</v>
      </c>
      <c r="CO65" t="s">
        <v>97</v>
      </c>
      <c r="CP65" t="s">
        <v>97</v>
      </c>
      <c r="CQ65" t="s">
        <v>97</v>
      </c>
      <c r="CR65" t="s">
        <v>97</v>
      </c>
      <c r="CS65">
        <v>6</v>
      </c>
      <c r="CT65">
        <v>0</v>
      </c>
      <c r="CU65">
        <v>0</v>
      </c>
      <c r="CV65">
        <v>6</v>
      </c>
      <c r="CW65">
        <v>0</v>
      </c>
      <c r="CX65">
        <v>6</v>
      </c>
      <c r="CY65">
        <v>0</v>
      </c>
      <c r="CZ65">
        <v>6</v>
      </c>
      <c r="DA65" t="s">
        <v>107</v>
      </c>
      <c r="DB65" t="s">
        <v>107</v>
      </c>
      <c r="DC65">
        <v>158</v>
      </c>
      <c r="DD65">
        <v>0</v>
      </c>
      <c r="DE65">
        <v>4.2999999999999997E-2</v>
      </c>
      <c r="DF65" t="s">
        <v>97</v>
      </c>
      <c r="DG65" t="s">
        <v>97</v>
      </c>
    </row>
    <row r="66" spans="1:111" x14ac:dyDescent="0.2">
      <c r="A66">
        <v>2025</v>
      </c>
      <c r="B66" s="1">
        <v>45930</v>
      </c>
      <c r="C66" t="s">
        <v>95</v>
      </c>
      <c r="D66">
        <v>605483</v>
      </c>
      <c r="E66">
        <v>680574</v>
      </c>
      <c r="F66">
        <v>2</v>
      </c>
      <c r="G66">
        <v>2</v>
      </c>
      <c r="H66">
        <v>6</v>
      </c>
      <c r="I66" t="s">
        <v>96</v>
      </c>
      <c r="J66">
        <v>42</v>
      </c>
      <c r="K66">
        <v>5</v>
      </c>
      <c r="L66" t="s">
        <v>116</v>
      </c>
      <c r="M66" t="s">
        <v>132</v>
      </c>
      <c r="N66" t="s">
        <v>133</v>
      </c>
      <c r="O66">
        <f t="shared" si="0"/>
        <v>0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0</v>
      </c>
      <c r="T66">
        <f t="shared" si="5"/>
        <v>0</v>
      </c>
      <c r="U66">
        <f t="shared" si="6"/>
        <v>0</v>
      </c>
      <c r="V66">
        <f t="shared" si="7"/>
        <v>0</v>
      </c>
      <c r="W66">
        <f t="shared" si="8"/>
        <v>0</v>
      </c>
      <c r="X66">
        <f t="shared" si="9"/>
        <v>1</v>
      </c>
      <c r="Y66">
        <f t="shared" si="10"/>
        <v>0</v>
      </c>
      <c r="Z66">
        <f t="shared" si="11"/>
        <v>0</v>
      </c>
      <c r="AA66">
        <f t="shared" si="12"/>
        <v>0</v>
      </c>
      <c r="AB66">
        <f t="shared" si="13"/>
        <v>0</v>
      </c>
      <c r="AC66">
        <f t="shared" si="14"/>
        <v>0</v>
      </c>
      <c r="AD66">
        <f t="shared" si="15"/>
        <v>0</v>
      </c>
      <c r="AE66">
        <v>84.2</v>
      </c>
      <c r="AF66">
        <v>2.1800000000000002</v>
      </c>
      <c r="AG66">
        <v>6.4</v>
      </c>
      <c r="AH66" t="s">
        <v>113</v>
      </c>
      <c r="AI66" t="s">
        <v>97</v>
      </c>
      <c r="AJ66" t="s">
        <v>97</v>
      </c>
      <c r="AK66" t="s">
        <v>97</v>
      </c>
      <c r="AL66" t="s">
        <v>97</v>
      </c>
      <c r="AM66">
        <v>12</v>
      </c>
      <c r="AN66" t="s">
        <v>152</v>
      </c>
      <c r="AO66" t="s">
        <v>102</v>
      </c>
      <c r="AP66" t="s">
        <v>122</v>
      </c>
      <c r="AQ66" t="s">
        <v>103</v>
      </c>
      <c r="AR66" t="s">
        <v>104</v>
      </c>
      <c r="AS66" t="s">
        <v>105</v>
      </c>
      <c r="AT66" t="s">
        <v>110</v>
      </c>
      <c r="AU66">
        <v>2</v>
      </c>
      <c r="AV66" t="s">
        <v>97</v>
      </c>
      <c r="AW66">
        <v>1.04</v>
      </c>
      <c r="AX66">
        <v>0.69</v>
      </c>
      <c r="AY66">
        <v>1.01</v>
      </c>
      <c r="AZ66">
        <v>2.33</v>
      </c>
      <c r="BA66" t="s">
        <v>97</v>
      </c>
      <c r="BB66" t="s">
        <v>97</v>
      </c>
      <c r="BC66" t="s">
        <v>97</v>
      </c>
      <c r="BD66">
        <v>0</v>
      </c>
      <c r="BE66" t="s">
        <v>97</v>
      </c>
      <c r="BF66" t="s">
        <v>97</v>
      </c>
      <c r="BG66" t="s">
        <v>97</v>
      </c>
      <c r="BH66" t="s">
        <v>97</v>
      </c>
      <c r="BI66">
        <v>666163</v>
      </c>
      <c r="BJ66">
        <v>666163</v>
      </c>
      <c r="BK66" t="s">
        <v>97</v>
      </c>
      <c r="BL66" t="s">
        <v>97</v>
      </c>
      <c r="BM66">
        <v>-4.8093275249999996</v>
      </c>
      <c r="BN66">
        <v>-122.49065330000001</v>
      </c>
      <c r="BO66">
        <v>-4.4739101940000001</v>
      </c>
      <c r="BP66">
        <v>11.369258159999999</v>
      </c>
      <c r="BQ66">
        <v>23.200075770000002</v>
      </c>
      <c r="BR66">
        <v>-24.58809565</v>
      </c>
      <c r="BS66">
        <v>3.06</v>
      </c>
      <c r="BT66">
        <v>1.38</v>
      </c>
      <c r="BU66" t="s">
        <v>97</v>
      </c>
      <c r="BV66" t="s">
        <v>97</v>
      </c>
      <c r="BW66" t="s">
        <v>97</v>
      </c>
      <c r="BX66">
        <v>84.9</v>
      </c>
      <c r="BY66">
        <v>1636</v>
      </c>
      <c r="BZ66">
        <v>6.7</v>
      </c>
      <c r="CA66">
        <v>813069</v>
      </c>
      <c r="CB66">
        <v>666163</v>
      </c>
      <c r="CC66">
        <v>666163</v>
      </c>
      <c r="CD66">
        <v>518692</v>
      </c>
      <c r="CE66">
        <v>500743</v>
      </c>
      <c r="CF66">
        <v>571970</v>
      </c>
      <c r="CG66">
        <v>605141</v>
      </c>
      <c r="CH66">
        <v>571771</v>
      </c>
      <c r="CI66">
        <v>681624</v>
      </c>
      <c r="CJ66">
        <v>606192</v>
      </c>
      <c r="CK66">
        <v>53.84</v>
      </c>
      <c r="CL66" t="s">
        <v>97</v>
      </c>
      <c r="CM66">
        <v>0</v>
      </c>
      <c r="CN66">
        <v>0</v>
      </c>
      <c r="CO66">
        <v>1</v>
      </c>
      <c r="CP66">
        <v>0</v>
      </c>
      <c r="CQ66">
        <v>0</v>
      </c>
      <c r="CR66" t="s">
        <v>97</v>
      </c>
      <c r="CS66">
        <v>6</v>
      </c>
      <c r="CT66">
        <v>0</v>
      </c>
      <c r="CU66">
        <v>0</v>
      </c>
      <c r="CV66">
        <v>6</v>
      </c>
      <c r="CW66">
        <v>0</v>
      </c>
      <c r="CX66">
        <v>6</v>
      </c>
      <c r="CY66">
        <v>0</v>
      </c>
      <c r="CZ66">
        <v>6</v>
      </c>
      <c r="DA66" t="s">
        <v>107</v>
      </c>
      <c r="DB66" t="s">
        <v>107</v>
      </c>
      <c r="DC66">
        <v>129</v>
      </c>
      <c r="DD66">
        <v>6.0000000000000001E-3</v>
      </c>
      <c r="DE66">
        <v>-0.23200000000000001</v>
      </c>
      <c r="DF66">
        <v>58.3</v>
      </c>
      <c r="DG66">
        <v>6.9</v>
      </c>
    </row>
    <row r="67" spans="1:111" x14ac:dyDescent="0.2">
      <c r="A67">
        <v>2025</v>
      </c>
      <c r="B67" s="1">
        <v>45930</v>
      </c>
      <c r="C67" t="s">
        <v>95</v>
      </c>
      <c r="D67">
        <v>605483</v>
      </c>
      <c r="E67">
        <v>670770</v>
      </c>
      <c r="F67">
        <v>0</v>
      </c>
      <c r="G67">
        <v>0</v>
      </c>
      <c r="H67">
        <v>6</v>
      </c>
      <c r="I67" t="s">
        <v>96</v>
      </c>
      <c r="J67">
        <v>43</v>
      </c>
      <c r="K67">
        <v>1</v>
      </c>
      <c r="L67" t="s">
        <v>97</v>
      </c>
      <c r="M67" t="s">
        <v>98</v>
      </c>
      <c r="N67" t="s">
        <v>99</v>
      </c>
      <c r="O67">
        <f t="shared" ref="O67:O130" si="16">IF(AND(N67="4-Seam Fastball",N68="4-Seam Fastball"),1,0)</f>
        <v>1</v>
      </c>
      <c r="P67">
        <f t="shared" ref="P67:P130" si="17">IF(AND(N67="4-Seam Fastball",N68="Curveball"),1,0)</f>
        <v>0</v>
      </c>
      <c r="Q67">
        <f t="shared" ref="Q67:Q130" si="18">IF(AND(N67="4-Seam Fastball",N68="Changeup"),1,0)</f>
        <v>0</v>
      </c>
      <c r="R67">
        <f t="shared" ref="R67:R130" si="19">IF(AND(N67="4-Seam Fastball",N68="Slider"),1,0)</f>
        <v>0</v>
      </c>
      <c r="S67">
        <f t="shared" ref="S67:S130" si="20">IF(AND(N67="Curveball",N68="Curveball"),1,0)</f>
        <v>0</v>
      </c>
      <c r="T67">
        <f t="shared" ref="T67:T130" si="21">IF(AND(N67="Curveball",N68="4-Seam Fastball"),1,0)</f>
        <v>0</v>
      </c>
      <c r="U67">
        <f t="shared" ref="U67:U130" si="22">IF(AND(N67="Curveball",N68="Changeup"),1,0)</f>
        <v>0</v>
      </c>
      <c r="V67">
        <f t="shared" ref="V67:V130" si="23">IF(AND(N67="Curveball",N68="Slider"),1,0)</f>
        <v>0</v>
      </c>
      <c r="W67">
        <f t="shared" ref="W67:W130" si="24">IF(AND(N67="Changeup",N68="Changeup"),1,0)</f>
        <v>0</v>
      </c>
      <c r="X67">
        <f t="shared" ref="X67:X130" si="25">IF(AND(N67="Changeup",N68="4-Seam Fastball"),1,0)</f>
        <v>0</v>
      </c>
      <c r="Y67">
        <f t="shared" ref="Y67:Y130" si="26">IF(AND(N67="Changeup",N68="Curveball"),1,0)</f>
        <v>0</v>
      </c>
      <c r="Z67">
        <f t="shared" ref="Z67:Z130" si="27">IF(AND(N67="Changeup",N68="Slider"),1,0)</f>
        <v>0</v>
      </c>
      <c r="AA67">
        <f t="shared" ref="AA67:AA130" si="28">IF(AND(N67="Slider",N68="Slider"),1,0)</f>
        <v>0</v>
      </c>
      <c r="AB67">
        <f t="shared" ref="AB67:AB130" si="29">IF(AND(N67="Slider",N68="4-Seam Fastball"),1,0)</f>
        <v>0</v>
      </c>
      <c r="AC67">
        <f t="shared" ref="AC67:AC130" si="30">IF(AND(N67="Slider",N68="Curveball"),1,0)</f>
        <v>0</v>
      </c>
      <c r="AD67">
        <f t="shared" ref="AD67:AD130" si="31">IF(AND(N67="Slider",N68="Changeup"),1,0)</f>
        <v>0</v>
      </c>
      <c r="AE67">
        <v>96.3</v>
      </c>
      <c r="AF67">
        <v>1.87</v>
      </c>
      <c r="AG67">
        <v>6.58</v>
      </c>
      <c r="AH67" t="s">
        <v>100</v>
      </c>
      <c r="AI67" t="s">
        <v>97</v>
      </c>
      <c r="AJ67" t="s">
        <v>97</v>
      </c>
      <c r="AK67" t="s">
        <v>97</v>
      </c>
      <c r="AL67" t="s">
        <v>97</v>
      </c>
      <c r="AM67">
        <v>13</v>
      </c>
      <c r="AN67" t="s">
        <v>101</v>
      </c>
      <c r="AO67" t="s">
        <v>102</v>
      </c>
      <c r="AP67" t="s">
        <v>103</v>
      </c>
      <c r="AQ67" t="s">
        <v>103</v>
      </c>
      <c r="AR67" t="s">
        <v>104</v>
      </c>
      <c r="AS67" t="s">
        <v>105</v>
      </c>
      <c r="AT67" t="s">
        <v>106</v>
      </c>
      <c r="AU67" t="s">
        <v>97</v>
      </c>
      <c r="AV67" t="s">
        <v>97</v>
      </c>
      <c r="AW67">
        <v>0.24</v>
      </c>
      <c r="AX67">
        <v>1.61</v>
      </c>
      <c r="AY67">
        <v>-1.1000000000000001</v>
      </c>
      <c r="AZ67">
        <v>2.29</v>
      </c>
      <c r="BA67" t="s">
        <v>97</v>
      </c>
      <c r="BB67" t="s">
        <v>97</v>
      </c>
      <c r="BC67" t="s">
        <v>97</v>
      </c>
      <c r="BD67">
        <v>1</v>
      </c>
      <c r="BE67" t="s">
        <v>97</v>
      </c>
      <c r="BF67" t="s">
        <v>97</v>
      </c>
      <c r="BG67" t="s">
        <v>97</v>
      </c>
      <c r="BH67" t="s">
        <v>97</v>
      </c>
      <c r="BI67">
        <v>666163</v>
      </c>
      <c r="BJ67">
        <v>666163</v>
      </c>
      <c r="BK67" t="s">
        <v>97</v>
      </c>
      <c r="BL67" t="s">
        <v>97</v>
      </c>
      <c r="BM67">
        <v>-8.4825761029999995</v>
      </c>
      <c r="BN67">
        <v>-139.7419678</v>
      </c>
      <c r="BO67">
        <v>-9.5061874409999998</v>
      </c>
      <c r="BP67">
        <v>5.1507481479999999</v>
      </c>
      <c r="BQ67">
        <v>32.205779380000003</v>
      </c>
      <c r="BR67">
        <v>-8.9993970250000004</v>
      </c>
      <c r="BS67">
        <v>3.22</v>
      </c>
      <c r="BT67">
        <v>1.49</v>
      </c>
      <c r="BU67" t="s">
        <v>97</v>
      </c>
      <c r="BV67" t="s">
        <v>97</v>
      </c>
      <c r="BW67" t="s">
        <v>97</v>
      </c>
      <c r="BX67">
        <v>96.8</v>
      </c>
      <c r="BY67">
        <v>2571</v>
      </c>
      <c r="BZ67">
        <v>6.8</v>
      </c>
      <c r="CA67">
        <v>813069</v>
      </c>
      <c r="CB67">
        <v>666163</v>
      </c>
      <c r="CC67">
        <v>666163</v>
      </c>
      <c r="CD67">
        <v>518692</v>
      </c>
      <c r="CE67">
        <v>500743</v>
      </c>
      <c r="CF67">
        <v>571970</v>
      </c>
      <c r="CG67">
        <v>605141</v>
      </c>
      <c r="CH67">
        <v>571771</v>
      </c>
      <c r="CI67">
        <v>681624</v>
      </c>
      <c r="CJ67">
        <v>606192</v>
      </c>
      <c r="CK67">
        <v>53.74</v>
      </c>
      <c r="CL67" t="s">
        <v>97</v>
      </c>
      <c r="CM67" t="s">
        <v>97</v>
      </c>
      <c r="CN67" t="s">
        <v>97</v>
      </c>
      <c r="CO67" t="s">
        <v>97</v>
      </c>
      <c r="CP67" t="s">
        <v>97</v>
      </c>
      <c r="CQ67" t="s">
        <v>97</v>
      </c>
      <c r="CR67" t="s">
        <v>97</v>
      </c>
      <c r="CS67">
        <v>6</v>
      </c>
      <c r="CT67">
        <v>0</v>
      </c>
      <c r="CU67">
        <v>0</v>
      </c>
      <c r="CV67">
        <v>6</v>
      </c>
      <c r="CW67">
        <v>0</v>
      </c>
      <c r="CX67">
        <v>6</v>
      </c>
      <c r="CY67">
        <v>0</v>
      </c>
      <c r="CZ67">
        <v>6</v>
      </c>
      <c r="DA67" t="s">
        <v>107</v>
      </c>
      <c r="DB67" t="s">
        <v>107</v>
      </c>
      <c r="DC67">
        <v>154</v>
      </c>
      <c r="DD67">
        <v>0</v>
      </c>
      <c r="DE67">
        <v>3.9E-2</v>
      </c>
      <c r="DF67" t="s">
        <v>97</v>
      </c>
      <c r="DG67" t="s">
        <v>97</v>
      </c>
    </row>
    <row r="68" spans="1:111" x14ac:dyDescent="0.2">
      <c r="A68">
        <v>2025</v>
      </c>
      <c r="B68" s="1">
        <v>45930</v>
      </c>
      <c r="C68" t="s">
        <v>95</v>
      </c>
      <c r="D68">
        <v>605483</v>
      </c>
      <c r="E68">
        <v>670770</v>
      </c>
      <c r="F68">
        <v>1</v>
      </c>
      <c r="G68">
        <v>0</v>
      </c>
      <c r="H68">
        <v>6</v>
      </c>
      <c r="I68" t="s">
        <v>96</v>
      </c>
      <c r="J68">
        <v>43</v>
      </c>
      <c r="K68">
        <v>2</v>
      </c>
      <c r="L68" t="s">
        <v>119</v>
      </c>
      <c r="M68" t="s">
        <v>98</v>
      </c>
      <c r="N68" t="s">
        <v>99</v>
      </c>
      <c r="O68">
        <f t="shared" si="16"/>
        <v>1</v>
      </c>
      <c r="P68">
        <f t="shared" si="17"/>
        <v>0</v>
      </c>
      <c r="Q68">
        <f t="shared" si="18"/>
        <v>0</v>
      </c>
      <c r="R68">
        <f t="shared" si="19"/>
        <v>0</v>
      </c>
      <c r="S68">
        <f t="shared" si="20"/>
        <v>0</v>
      </c>
      <c r="T68">
        <f t="shared" si="21"/>
        <v>0</v>
      </c>
      <c r="U68">
        <f t="shared" si="22"/>
        <v>0</v>
      </c>
      <c r="V68">
        <f t="shared" si="23"/>
        <v>0</v>
      </c>
      <c r="W68">
        <f t="shared" si="24"/>
        <v>0</v>
      </c>
      <c r="X68">
        <f t="shared" si="25"/>
        <v>0</v>
      </c>
      <c r="Y68">
        <f t="shared" si="26"/>
        <v>0</v>
      </c>
      <c r="Z68">
        <f t="shared" si="27"/>
        <v>0</v>
      </c>
      <c r="AA68">
        <f t="shared" si="28"/>
        <v>0</v>
      </c>
      <c r="AB68">
        <f t="shared" si="29"/>
        <v>0</v>
      </c>
      <c r="AC68">
        <f t="shared" si="30"/>
        <v>0</v>
      </c>
      <c r="AD68">
        <f t="shared" si="31"/>
        <v>0</v>
      </c>
      <c r="AE68">
        <v>95.3</v>
      </c>
      <c r="AF68">
        <v>1.98</v>
      </c>
      <c r="AG68">
        <v>6.53</v>
      </c>
      <c r="AH68" t="s">
        <v>120</v>
      </c>
      <c r="AI68" t="s">
        <v>97</v>
      </c>
      <c r="AJ68" t="s">
        <v>97</v>
      </c>
      <c r="AK68" t="s">
        <v>97</v>
      </c>
      <c r="AL68" t="s">
        <v>97</v>
      </c>
      <c r="AM68">
        <v>13</v>
      </c>
      <c r="AN68" t="s">
        <v>153</v>
      </c>
      <c r="AO68" t="s">
        <v>102</v>
      </c>
      <c r="AP68" t="s">
        <v>103</v>
      </c>
      <c r="AQ68" t="s">
        <v>103</v>
      </c>
      <c r="AR68" t="s">
        <v>104</v>
      </c>
      <c r="AS68" t="s">
        <v>105</v>
      </c>
      <c r="AT68" t="s">
        <v>123</v>
      </c>
      <c r="AU68">
        <v>1</v>
      </c>
      <c r="AV68" t="s">
        <v>127</v>
      </c>
      <c r="AW68">
        <v>0.34</v>
      </c>
      <c r="AX68">
        <v>1.23</v>
      </c>
      <c r="AY68">
        <v>-0.83</v>
      </c>
      <c r="AZ68">
        <v>1.82</v>
      </c>
      <c r="BA68" t="s">
        <v>97</v>
      </c>
      <c r="BB68" t="s">
        <v>97</v>
      </c>
      <c r="BC68" t="s">
        <v>97</v>
      </c>
      <c r="BD68">
        <v>1</v>
      </c>
      <c r="BE68">
        <v>133.61000000000001</v>
      </c>
      <c r="BF68">
        <v>179.74</v>
      </c>
      <c r="BG68" t="s">
        <v>97</v>
      </c>
      <c r="BH68" t="s">
        <v>97</v>
      </c>
      <c r="BI68">
        <v>666163</v>
      </c>
      <c r="BJ68">
        <v>666163</v>
      </c>
      <c r="BK68" t="s">
        <v>97</v>
      </c>
      <c r="BL68" t="s">
        <v>97</v>
      </c>
      <c r="BM68">
        <v>-8.1879021880000007</v>
      </c>
      <c r="BN68">
        <v>-138.3332796</v>
      </c>
      <c r="BO68">
        <v>-9.5851575120000003</v>
      </c>
      <c r="BP68">
        <v>6.1224642500000002</v>
      </c>
      <c r="BQ68">
        <v>28.456597089999999</v>
      </c>
      <c r="BR68">
        <v>-14.388894779999999</v>
      </c>
      <c r="BS68">
        <v>3.2</v>
      </c>
      <c r="BT68">
        <v>1.48</v>
      </c>
      <c r="BU68">
        <v>2</v>
      </c>
      <c r="BV68">
        <v>58.3</v>
      </c>
      <c r="BW68">
        <v>-49</v>
      </c>
      <c r="BX68">
        <v>96</v>
      </c>
      <c r="BY68">
        <v>2522</v>
      </c>
      <c r="BZ68">
        <v>6.7</v>
      </c>
      <c r="CA68">
        <v>813069</v>
      </c>
      <c r="CB68">
        <v>666163</v>
      </c>
      <c r="CC68">
        <v>666163</v>
      </c>
      <c r="CD68">
        <v>518692</v>
      </c>
      <c r="CE68">
        <v>500743</v>
      </c>
      <c r="CF68">
        <v>571970</v>
      </c>
      <c r="CG68">
        <v>605141</v>
      </c>
      <c r="CH68">
        <v>571771</v>
      </c>
      <c r="CI68">
        <v>681624</v>
      </c>
      <c r="CJ68">
        <v>606192</v>
      </c>
      <c r="CK68">
        <v>53.83</v>
      </c>
      <c r="CL68">
        <v>0.26300000000000001</v>
      </c>
      <c r="CM68">
        <v>0.252</v>
      </c>
      <c r="CN68">
        <v>0</v>
      </c>
      <c r="CO68">
        <v>1</v>
      </c>
      <c r="CP68">
        <v>0</v>
      </c>
      <c r="CQ68">
        <v>0</v>
      </c>
      <c r="CR68">
        <v>1</v>
      </c>
      <c r="CS68">
        <v>6</v>
      </c>
      <c r="CT68">
        <v>0</v>
      </c>
      <c r="CU68">
        <v>0</v>
      </c>
      <c r="CV68">
        <v>6</v>
      </c>
      <c r="CW68">
        <v>0</v>
      </c>
      <c r="CX68">
        <v>6</v>
      </c>
      <c r="CY68">
        <v>0</v>
      </c>
      <c r="CZ68">
        <v>6</v>
      </c>
      <c r="DA68" t="s">
        <v>107</v>
      </c>
      <c r="DB68" t="s">
        <v>107</v>
      </c>
      <c r="DC68">
        <v>156</v>
      </c>
      <c r="DD68">
        <v>4.0000000000000001E-3</v>
      </c>
      <c r="DE68">
        <v>-0.29299999999999998</v>
      </c>
      <c r="DF68">
        <v>59.1</v>
      </c>
      <c r="DG68">
        <v>6.7</v>
      </c>
    </row>
    <row r="69" spans="1:111" x14ac:dyDescent="0.2">
      <c r="A69">
        <v>2025</v>
      </c>
      <c r="B69" s="1">
        <v>45930</v>
      </c>
      <c r="C69" t="s">
        <v>95</v>
      </c>
      <c r="D69">
        <v>605483</v>
      </c>
      <c r="E69">
        <v>682622</v>
      </c>
      <c r="F69">
        <v>0</v>
      </c>
      <c r="G69">
        <v>0</v>
      </c>
      <c r="H69">
        <v>6</v>
      </c>
      <c r="I69" t="s">
        <v>96</v>
      </c>
      <c r="J69">
        <v>44</v>
      </c>
      <c r="K69">
        <v>1</v>
      </c>
      <c r="L69" t="s">
        <v>97</v>
      </c>
      <c r="M69" t="s">
        <v>98</v>
      </c>
      <c r="N69" t="s">
        <v>99</v>
      </c>
      <c r="O69">
        <f t="shared" si="16"/>
        <v>1</v>
      </c>
      <c r="P69">
        <f t="shared" si="17"/>
        <v>0</v>
      </c>
      <c r="Q69">
        <f t="shared" si="18"/>
        <v>0</v>
      </c>
      <c r="R69">
        <f t="shared" si="19"/>
        <v>0</v>
      </c>
      <c r="S69">
        <f t="shared" si="20"/>
        <v>0</v>
      </c>
      <c r="T69">
        <f t="shared" si="21"/>
        <v>0</v>
      </c>
      <c r="U69">
        <f t="shared" si="22"/>
        <v>0</v>
      </c>
      <c r="V69">
        <f t="shared" si="23"/>
        <v>0</v>
      </c>
      <c r="W69">
        <f t="shared" si="24"/>
        <v>0</v>
      </c>
      <c r="X69">
        <f t="shared" si="25"/>
        <v>0</v>
      </c>
      <c r="Y69">
        <f t="shared" si="26"/>
        <v>0</v>
      </c>
      <c r="Z69">
        <f t="shared" si="27"/>
        <v>0</v>
      </c>
      <c r="AA69">
        <f t="shared" si="28"/>
        <v>0</v>
      </c>
      <c r="AB69">
        <f t="shared" si="29"/>
        <v>0</v>
      </c>
      <c r="AC69">
        <f t="shared" si="30"/>
        <v>0</v>
      </c>
      <c r="AD69">
        <f t="shared" si="31"/>
        <v>0</v>
      </c>
      <c r="AE69">
        <v>97</v>
      </c>
      <c r="AF69">
        <v>1.95</v>
      </c>
      <c r="AG69">
        <v>6.49</v>
      </c>
      <c r="AH69" t="s">
        <v>108</v>
      </c>
      <c r="AI69" t="s">
        <v>97</v>
      </c>
      <c r="AJ69" t="s">
        <v>97</v>
      </c>
      <c r="AK69" t="s">
        <v>97</v>
      </c>
      <c r="AL69" t="s">
        <v>97</v>
      </c>
      <c r="AM69">
        <v>4</v>
      </c>
      <c r="AN69" t="s">
        <v>109</v>
      </c>
      <c r="AO69" t="s">
        <v>102</v>
      </c>
      <c r="AP69" t="s">
        <v>122</v>
      </c>
      <c r="AQ69" t="s">
        <v>103</v>
      </c>
      <c r="AR69" t="s">
        <v>104</v>
      </c>
      <c r="AS69" t="s">
        <v>105</v>
      </c>
      <c r="AT69" t="s">
        <v>110</v>
      </c>
      <c r="AU69" t="s">
        <v>97</v>
      </c>
      <c r="AV69" t="s">
        <v>97</v>
      </c>
      <c r="AW69">
        <v>0.43</v>
      </c>
      <c r="AX69">
        <v>1.58</v>
      </c>
      <c r="AY69">
        <v>-0.71</v>
      </c>
      <c r="AZ69">
        <v>2.5</v>
      </c>
      <c r="BA69" t="s">
        <v>97</v>
      </c>
      <c r="BB69" t="s">
        <v>97</v>
      </c>
      <c r="BC69" t="s">
        <v>97</v>
      </c>
      <c r="BD69">
        <v>2</v>
      </c>
      <c r="BE69" t="s">
        <v>97</v>
      </c>
      <c r="BF69" t="s">
        <v>97</v>
      </c>
      <c r="BG69" t="s">
        <v>97</v>
      </c>
      <c r="BH69" t="s">
        <v>97</v>
      </c>
      <c r="BI69">
        <v>666163</v>
      </c>
      <c r="BJ69">
        <v>666163</v>
      </c>
      <c r="BK69" t="s">
        <v>97</v>
      </c>
      <c r="BL69" t="s">
        <v>97</v>
      </c>
      <c r="BM69">
        <v>-8.1394630489999997</v>
      </c>
      <c r="BN69">
        <v>-140.86221560000001</v>
      </c>
      <c r="BO69">
        <v>-8.8001485929999994</v>
      </c>
      <c r="BP69">
        <v>7.5121913520000003</v>
      </c>
      <c r="BQ69">
        <v>31.00672737</v>
      </c>
      <c r="BR69">
        <v>-9.3124702260000003</v>
      </c>
      <c r="BS69">
        <v>3.46</v>
      </c>
      <c r="BT69">
        <v>1.67</v>
      </c>
      <c r="BU69" t="s">
        <v>97</v>
      </c>
      <c r="BV69" t="s">
        <v>97</v>
      </c>
      <c r="BW69" t="s">
        <v>97</v>
      </c>
      <c r="BX69">
        <v>97.7</v>
      </c>
      <c r="BY69">
        <v>2565</v>
      </c>
      <c r="BZ69">
        <v>6.7</v>
      </c>
      <c r="CA69">
        <v>813069</v>
      </c>
      <c r="CB69">
        <v>666163</v>
      </c>
      <c r="CC69">
        <v>666163</v>
      </c>
      <c r="CD69">
        <v>518692</v>
      </c>
      <c r="CE69">
        <v>500743</v>
      </c>
      <c r="CF69">
        <v>571970</v>
      </c>
      <c r="CG69">
        <v>605141</v>
      </c>
      <c r="CH69">
        <v>571771</v>
      </c>
      <c r="CI69">
        <v>681624</v>
      </c>
      <c r="CJ69">
        <v>606192</v>
      </c>
      <c r="CK69">
        <v>53.79</v>
      </c>
      <c r="CL69" t="s">
        <v>97</v>
      </c>
      <c r="CM69" t="s">
        <v>97</v>
      </c>
      <c r="CN69" t="s">
        <v>97</v>
      </c>
      <c r="CO69" t="s">
        <v>97</v>
      </c>
      <c r="CP69" t="s">
        <v>97</v>
      </c>
      <c r="CQ69" t="s">
        <v>97</v>
      </c>
      <c r="CR69" t="s">
        <v>97</v>
      </c>
      <c r="CS69">
        <v>6</v>
      </c>
      <c r="CT69">
        <v>0</v>
      </c>
      <c r="CU69">
        <v>0</v>
      </c>
      <c r="CV69">
        <v>6</v>
      </c>
      <c r="CW69">
        <v>0</v>
      </c>
      <c r="CX69">
        <v>6</v>
      </c>
      <c r="CY69">
        <v>0</v>
      </c>
      <c r="CZ69">
        <v>6</v>
      </c>
      <c r="DA69" t="s">
        <v>107</v>
      </c>
      <c r="DB69" t="s">
        <v>107</v>
      </c>
      <c r="DC69">
        <v>149</v>
      </c>
      <c r="DD69">
        <v>0</v>
      </c>
      <c r="DE69">
        <v>-4.2999999999999997E-2</v>
      </c>
      <c r="DF69" t="s">
        <v>97</v>
      </c>
      <c r="DG69" t="s">
        <v>97</v>
      </c>
    </row>
    <row r="70" spans="1:111" x14ac:dyDescent="0.2">
      <c r="A70">
        <v>2025</v>
      </c>
      <c r="B70" s="1">
        <v>45930</v>
      </c>
      <c r="C70" t="s">
        <v>95</v>
      </c>
      <c r="D70">
        <v>605483</v>
      </c>
      <c r="E70">
        <v>682622</v>
      </c>
      <c r="F70">
        <v>0</v>
      </c>
      <c r="G70">
        <v>1</v>
      </c>
      <c r="H70">
        <v>6</v>
      </c>
      <c r="I70" t="s">
        <v>96</v>
      </c>
      <c r="J70">
        <v>44</v>
      </c>
      <c r="K70">
        <v>2</v>
      </c>
      <c r="L70" t="s">
        <v>97</v>
      </c>
      <c r="M70" t="s">
        <v>98</v>
      </c>
      <c r="N70" t="s">
        <v>99</v>
      </c>
      <c r="O70">
        <f t="shared" si="16"/>
        <v>0</v>
      </c>
      <c r="P70">
        <f t="shared" si="17"/>
        <v>0</v>
      </c>
      <c r="Q70">
        <f t="shared" si="18"/>
        <v>1</v>
      </c>
      <c r="R70">
        <f t="shared" si="19"/>
        <v>0</v>
      </c>
      <c r="S70">
        <f t="shared" si="20"/>
        <v>0</v>
      </c>
      <c r="T70">
        <f t="shared" si="21"/>
        <v>0</v>
      </c>
      <c r="U70">
        <f t="shared" si="22"/>
        <v>0</v>
      </c>
      <c r="V70">
        <f t="shared" si="23"/>
        <v>0</v>
      </c>
      <c r="W70">
        <f t="shared" si="24"/>
        <v>0</v>
      </c>
      <c r="X70">
        <f t="shared" si="25"/>
        <v>0</v>
      </c>
      <c r="Y70">
        <f t="shared" si="26"/>
        <v>0</v>
      </c>
      <c r="Z70">
        <f t="shared" si="27"/>
        <v>0</v>
      </c>
      <c r="AA70">
        <f t="shared" si="28"/>
        <v>0</v>
      </c>
      <c r="AB70">
        <f t="shared" si="29"/>
        <v>0</v>
      </c>
      <c r="AC70">
        <f t="shared" si="30"/>
        <v>0</v>
      </c>
      <c r="AD70">
        <f t="shared" si="31"/>
        <v>0</v>
      </c>
      <c r="AE70">
        <v>95.5</v>
      </c>
      <c r="AF70">
        <v>1.89</v>
      </c>
      <c r="AG70">
        <v>6.46</v>
      </c>
      <c r="AH70" t="s">
        <v>108</v>
      </c>
      <c r="AI70" t="s">
        <v>97</v>
      </c>
      <c r="AJ70" t="s">
        <v>97</v>
      </c>
      <c r="AK70" t="s">
        <v>97</v>
      </c>
      <c r="AL70" t="s">
        <v>97</v>
      </c>
      <c r="AM70">
        <v>1</v>
      </c>
      <c r="AN70" t="s">
        <v>109</v>
      </c>
      <c r="AO70" t="s">
        <v>102</v>
      </c>
      <c r="AP70" t="s">
        <v>122</v>
      </c>
      <c r="AQ70" t="s">
        <v>103</v>
      </c>
      <c r="AR70" t="s">
        <v>104</v>
      </c>
      <c r="AS70" t="s">
        <v>105</v>
      </c>
      <c r="AT70" t="s">
        <v>110</v>
      </c>
      <c r="AU70" t="s">
        <v>97</v>
      </c>
      <c r="AV70" t="s">
        <v>97</v>
      </c>
      <c r="AW70">
        <v>0.51</v>
      </c>
      <c r="AX70">
        <v>1.47</v>
      </c>
      <c r="AY70">
        <v>-0.59</v>
      </c>
      <c r="AZ70">
        <v>2.96</v>
      </c>
      <c r="BA70" t="s">
        <v>97</v>
      </c>
      <c r="BB70" t="s">
        <v>97</v>
      </c>
      <c r="BC70" t="s">
        <v>97</v>
      </c>
      <c r="BD70">
        <v>2</v>
      </c>
      <c r="BE70" t="s">
        <v>97</v>
      </c>
      <c r="BF70" t="s">
        <v>97</v>
      </c>
      <c r="BG70" t="s">
        <v>97</v>
      </c>
      <c r="BH70" t="s">
        <v>97</v>
      </c>
      <c r="BI70">
        <v>666163</v>
      </c>
      <c r="BJ70">
        <v>666163</v>
      </c>
      <c r="BK70" t="s">
        <v>97</v>
      </c>
      <c r="BL70" t="s">
        <v>97</v>
      </c>
      <c r="BM70">
        <v>-7.7465311339999996</v>
      </c>
      <c r="BN70">
        <v>-138.8441497</v>
      </c>
      <c r="BO70">
        <v>-6.9884331709999996</v>
      </c>
      <c r="BP70">
        <v>8.2598564040000007</v>
      </c>
      <c r="BQ70">
        <v>30.315358270000001</v>
      </c>
      <c r="BR70">
        <v>-11.796750830000001</v>
      </c>
      <c r="BS70">
        <v>3.53</v>
      </c>
      <c r="BT70">
        <v>1.67</v>
      </c>
      <c r="BU70" t="s">
        <v>97</v>
      </c>
      <c r="BV70" t="s">
        <v>97</v>
      </c>
      <c r="BW70" t="s">
        <v>97</v>
      </c>
      <c r="BX70">
        <v>96.7</v>
      </c>
      <c r="BY70">
        <v>2525</v>
      </c>
      <c r="BZ70">
        <v>7</v>
      </c>
      <c r="CA70">
        <v>813069</v>
      </c>
      <c r="CB70">
        <v>666163</v>
      </c>
      <c r="CC70">
        <v>666163</v>
      </c>
      <c r="CD70">
        <v>518692</v>
      </c>
      <c r="CE70">
        <v>500743</v>
      </c>
      <c r="CF70">
        <v>571970</v>
      </c>
      <c r="CG70">
        <v>605141</v>
      </c>
      <c r="CH70">
        <v>571771</v>
      </c>
      <c r="CI70">
        <v>681624</v>
      </c>
      <c r="CJ70">
        <v>606192</v>
      </c>
      <c r="CK70">
        <v>53.52</v>
      </c>
      <c r="CL70" t="s">
        <v>97</v>
      </c>
      <c r="CM70" t="s">
        <v>97</v>
      </c>
      <c r="CN70" t="s">
        <v>97</v>
      </c>
      <c r="CO70" t="s">
        <v>97</v>
      </c>
      <c r="CP70" t="s">
        <v>97</v>
      </c>
      <c r="CQ70" t="s">
        <v>97</v>
      </c>
      <c r="CR70" t="s">
        <v>97</v>
      </c>
      <c r="CS70">
        <v>6</v>
      </c>
      <c r="CT70">
        <v>0</v>
      </c>
      <c r="CU70">
        <v>0</v>
      </c>
      <c r="CV70">
        <v>6</v>
      </c>
      <c r="CW70">
        <v>0</v>
      </c>
      <c r="CX70">
        <v>6</v>
      </c>
      <c r="CY70">
        <v>0</v>
      </c>
      <c r="CZ70">
        <v>6</v>
      </c>
      <c r="DA70" t="s">
        <v>107</v>
      </c>
      <c r="DB70" t="s">
        <v>107</v>
      </c>
      <c r="DC70">
        <v>157</v>
      </c>
      <c r="DD70">
        <v>0</v>
      </c>
      <c r="DE70">
        <v>-5.7000000000000002E-2</v>
      </c>
      <c r="DF70" t="s">
        <v>97</v>
      </c>
      <c r="DG70" t="s">
        <v>97</v>
      </c>
    </row>
    <row r="71" spans="1:111" x14ac:dyDescent="0.2">
      <c r="A71">
        <v>2025</v>
      </c>
      <c r="B71" s="1">
        <v>45930</v>
      </c>
      <c r="C71" t="s">
        <v>95</v>
      </c>
      <c r="D71">
        <v>605483</v>
      </c>
      <c r="E71">
        <v>682622</v>
      </c>
      <c r="F71">
        <v>0</v>
      </c>
      <c r="G71">
        <v>2</v>
      </c>
      <c r="H71">
        <v>6</v>
      </c>
      <c r="I71" t="s">
        <v>96</v>
      </c>
      <c r="J71">
        <v>44</v>
      </c>
      <c r="K71">
        <v>3</v>
      </c>
      <c r="L71" t="s">
        <v>116</v>
      </c>
      <c r="M71" t="s">
        <v>132</v>
      </c>
      <c r="N71" t="s">
        <v>133</v>
      </c>
      <c r="O71">
        <f t="shared" si="16"/>
        <v>0</v>
      </c>
      <c r="P71">
        <f t="shared" si="17"/>
        <v>0</v>
      </c>
      <c r="Q71">
        <f t="shared" si="18"/>
        <v>0</v>
      </c>
      <c r="R71">
        <f t="shared" si="19"/>
        <v>0</v>
      </c>
      <c r="S71">
        <f t="shared" si="20"/>
        <v>0</v>
      </c>
      <c r="T71">
        <f t="shared" si="21"/>
        <v>0</v>
      </c>
      <c r="U71">
        <f t="shared" si="22"/>
        <v>0</v>
      </c>
      <c r="V71">
        <f t="shared" si="23"/>
        <v>0</v>
      </c>
      <c r="W71">
        <f t="shared" si="24"/>
        <v>1</v>
      </c>
      <c r="X71">
        <f t="shared" si="25"/>
        <v>0</v>
      </c>
      <c r="Y71">
        <f t="shared" si="26"/>
        <v>0</v>
      </c>
      <c r="Z71">
        <f t="shared" si="27"/>
        <v>0</v>
      </c>
      <c r="AA71">
        <f t="shared" si="28"/>
        <v>0</v>
      </c>
      <c r="AB71">
        <f t="shared" si="29"/>
        <v>0</v>
      </c>
      <c r="AC71">
        <f t="shared" si="30"/>
        <v>0</v>
      </c>
      <c r="AD71">
        <f t="shared" si="31"/>
        <v>0</v>
      </c>
      <c r="AE71">
        <v>83.6</v>
      </c>
      <c r="AF71">
        <v>2.13</v>
      </c>
      <c r="AG71">
        <v>6.28</v>
      </c>
      <c r="AH71" t="s">
        <v>113</v>
      </c>
      <c r="AI71" t="s">
        <v>97</v>
      </c>
      <c r="AJ71" t="s">
        <v>97</v>
      </c>
      <c r="AK71" t="s">
        <v>97</v>
      </c>
      <c r="AL71" t="s">
        <v>97</v>
      </c>
      <c r="AM71">
        <v>9</v>
      </c>
      <c r="AN71" t="s">
        <v>144</v>
      </c>
      <c r="AO71" t="s">
        <v>102</v>
      </c>
      <c r="AP71" t="s">
        <v>122</v>
      </c>
      <c r="AQ71" t="s">
        <v>103</v>
      </c>
      <c r="AR71" t="s">
        <v>104</v>
      </c>
      <c r="AS71" t="s">
        <v>105</v>
      </c>
      <c r="AT71" t="s">
        <v>110</v>
      </c>
      <c r="AU71">
        <v>2</v>
      </c>
      <c r="AV71" t="s">
        <v>97</v>
      </c>
      <c r="AW71">
        <v>1.1599999999999999</v>
      </c>
      <c r="AX71">
        <v>0.88</v>
      </c>
      <c r="AY71">
        <v>0.47</v>
      </c>
      <c r="AZ71">
        <v>1.62</v>
      </c>
      <c r="BA71" t="s">
        <v>97</v>
      </c>
      <c r="BB71" t="s">
        <v>97</v>
      </c>
      <c r="BC71" t="s">
        <v>97</v>
      </c>
      <c r="BD71">
        <v>2</v>
      </c>
      <c r="BE71" t="s">
        <v>97</v>
      </c>
      <c r="BF71" t="s">
        <v>97</v>
      </c>
      <c r="BG71" t="s">
        <v>97</v>
      </c>
      <c r="BH71" t="s">
        <v>97</v>
      </c>
      <c r="BI71">
        <v>666163</v>
      </c>
      <c r="BJ71">
        <v>666163</v>
      </c>
      <c r="BK71" t="s">
        <v>97</v>
      </c>
      <c r="BL71" t="s">
        <v>97</v>
      </c>
      <c r="BM71">
        <v>-6.1906221449999999</v>
      </c>
      <c r="BN71">
        <v>-121.5399329</v>
      </c>
      <c r="BO71">
        <v>-6.1361797960000004</v>
      </c>
      <c r="BP71">
        <v>12.666135069999999</v>
      </c>
      <c r="BQ71">
        <v>22.164949929999999</v>
      </c>
      <c r="BR71">
        <v>-22.442867840000002</v>
      </c>
      <c r="BS71">
        <v>3.44</v>
      </c>
      <c r="BT71">
        <v>1.67</v>
      </c>
      <c r="BU71" t="s">
        <v>97</v>
      </c>
      <c r="BV71" t="s">
        <v>97</v>
      </c>
      <c r="BW71" t="s">
        <v>97</v>
      </c>
      <c r="BX71">
        <v>84.8</v>
      </c>
      <c r="BY71">
        <v>1865</v>
      </c>
      <c r="BZ71">
        <v>7</v>
      </c>
      <c r="CA71">
        <v>813069</v>
      </c>
      <c r="CB71">
        <v>666163</v>
      </c>
      <c r="CC71">
        <v>666163</v>
      </c>
      <c r="CD71">
        <v>518692</v>
      </c>
      <c r="CE71">
        <v>500743</v>
      </c>
      <c r="CF71">
        <v>571970</v>
      </c>
      <c r="CG71">
        <v>605141</v>
      </c>
      <c r="CH71">
        <v>571771</v>
      </c>
      <c r="CI71">
        <v>681624</v>
      </c>
      <c r="CJ71">
        <v>606192</v>
      </c>
      <c r="CK71">
        <v>53.51</v>
      </c>
      <c r="CL71" t="s">
        <v>97</v>
      </c>
      <c r="CM71">
        <v>0</v>
      </c>
      <c r="CN71">
        <v>0</v>
      </c>
      <c r="CO71">
        <v>1</v>
      </c>
      <c r="CP71">
        <v>0</v>
      </c>
      <c r="CQ71">
        <v>0</v>
      </c>
      <c r="CR71" t="s">
        <v>97</v>
      </c>
      <c r="CS71">
        <v>6</v>
      </c>
      <c r="CT71">
        <v>0</v>
      </c>
      <c r="CU71">
        <v>0</v>
      </c>
      <c r="CV71">
        <v>6</v>
      </c>
      <c r="CW71">
        <v>0</v>
      </c>
      <c r="CX71">
        <v>6</v>
      </c>
      <c r="CY71">
        <v>0</v>
      </c>
      <c r="CZ71">
        <v>6</v>
      </c>
      <c r="DA71" t="s">
        <v>107</v>
      </c>
      <c r="DB71" t="s">
        <v>107</v>
      </c>
      <c r="DC71">
        <v>136</v>
      </c>
      <c r="DD71">
        <v>1E-3</v>
      </c>
      <c r="DE71">
        <v>-0.16</v>
      </c>
      <c r="DF71">
        <v>72.5</v>
      </c>
      <c r="DG71">
        <v>8.5</v>
      </c>
    </row>
    <row r="72" spans="1:111" x14ac:dyDescent="0.2">
      <c r="A72">
        <v>2025</v>
      </c>
      <c r="B72" s="1">
        <v>45930</v>
      </c>
      <c r="C72" t="s">
        <v>95</v>
      </c>
      <c r="D72">
        <v>605483</v>
      </c>
      <c r="E72">
        <v>609280</v>
      </c>
      <c r="F72">
        <v>0</v>
      </c>
      <c r="G72">
        <v>0</v>
      </c>
      <c r="H72">
        <v>7</v>
      </c>
      <c r="I72" t="s">
        <v>96</v>
      </c>
      <c r="J72">
        <v>52</v>
      </c>
      <c r="K72">
        <v>1</v>
      </c>
      <c r="L72" t="s">
        <v>97</v>
      </c>
      <c r="M72" t="s">
        <v>132</v>
      </c>
      <c r="N72" t="s">
        <v>133</v>
      </c>
      <c r="O72">
        <f t="shared" si="16"/>
        <v>0</v>
      </c>
      <c r="P72">
        <f t="shared" si="17"/>
        <v>0</v>
      </c>
      <c r="Q72">
        <f t="shared" si="18"/>
        <v>0</v>
      </c>
      <c r="R72">
        <f t="shared" si="19"/>
        <v>0</v>
      </c>
      <c r="S72">
        <f t="shared" si="20"/>
        <v>0</v>
      </c>
      <c r="T72">
        <f t="shared" si="21"/>
        <v>0</v>
      </c>
      <c r="U72">
        <f t="shared" si="22"/>
        <v>0</v>
      </c>
      <c r="V72">
        <f t="shared" si="23"/>
        <v>0</v>
      </c>
      <c r="W72">
        <f t="shared" si="24"/>
        <v>1</v>
      </c>
      <c r="X72">
        <f t="shared" si="25"/>
        <v>0</v>
      </c>
      <c r="Y72">
        <f t="shared" si="26"/>
        <v>0</v>
      </c>
      <c r="Z72">
        <f t="shared" si="27"/>
        <v>0</v>
      </c>
      <c r="AA72">
        <f t="shared" si="28"/>
        <v>0</v>
      </c>
      <c r="AB72">
        <f t="shared" si="29"/>
        <v>0</v>
      </c>
      <c r="AC72">
        <f t="shared" si="30"/>
        <v>0</v>
      </c>
      <c r="AD72">
        <f t="shared" si="31"/>
        <v>0</v>
      </c>
      <c r="AE72">
        <v>85.2</v>
      </c>
      <c r="AF72">
        <v>2.2999999999999998</v>
      </c>
      <c r="AG72">
        <v>6.44</v>
      </c>
      <c r="AH72" t="s">
        <v>113</v>
      </c>
      <c r="AI72" t="s">
        <v>97</v>
      </c>
      <c r="AJ72" t="s">
        <v>97</v>
      </c>
      <c r="AK72" t="s">
        <v>97</v>
      </c>
      <c r="AL72" t="s">
        <v>97</v>
      </c>
      <c r="AM72">
        <v>8</v>
      </c>
      <c r="AN72" t="s">
        <v>114</v>
      </c>
      <c r="AO72" t="s">
        <v>102</v>
      </c>
      <c r="AP72" t="s">
        <v>122</v>
      </c>
      <c r="AQ72" t="s">
        <v>103</v>
      </c>
      <c r="AR72" t="s">
        <v>104</v>
      </c>
      <c r="AS72" t="s">
        <v>105</v>
      </c>
      <c r="AT72" t="s">
        <v>110</v>
      </c>
      <c r="AU72" t="s">
        <v>97</v>
      </c>
      <c r="AV72" t="s">
        <v>97</v>
      </c>
      <c r="AW72">
        <v>1</v>
      </c>
      <c r="AX72">
        <v>0.81</v>
      </c>
      <c r="AY72">
        <v>-0.13</v>
      </c>
      <c r="AZ72">
        <v>1.89</v>
      </c>
      <c r="BA72" t="s">
        <v>97</v>
      </c>
      <c r="BB72" t="s">
        <v>97</v>
      </c>
      <c r="BC72" t="s">
        <v>97</v>
      </c>
      <c r="BD72">
        <v>0</v>
      </c>
      <c r="BE72" t="s">
        <v>97</v>
      </c>
      <c r="BF72" t="s">
        <v>97</v>
      </c>
      <c r="BG72" t="s">
        <v>97</v>
      </c>
      <c r="BH72" t="s">
        <v>97</v>
      </c>
      <c r="BI72">
        <v>666163</v>
      </c>
      <c r="BJ72">
        <v>666163</v>
      </c>
      <c r="BK72" t="s">
        <v>97</v>
      </c>
      <c r="BL72" t="s">
        <v>97</v>
      </c>
      <c r="BM72">
        <v>-7.7387551930000003</v>
      </c>
      <c r="BN72">
        <v>-123.7419434</v>
      </c>
      <c r="BO72">
        <v>-6.0468118999999998</v>
      </c>
      <c r="BP72">
        <v>11.79752248</v>
      </c>
      <c r="BQ72">
        <v>23.684693230000001</v>
      </c>
      <c r="BR72">
        <v>-22.801257459999999</v>
      </c>
      <c r="BS72">
        <v>3.41</v>
      </c>
      <c r="BT72">
        <v>1.66</v>
      </c>
      <c r="BU72" t="s">
        <v>97</v>
      </c>
      <c r="BV72" t="s">
        <v>97</v>
      </c>
      <c r="BW72" t="s">
        <v>97</v>
      </c>
      <c r="BX72">
        <v>85.7</v>
      </c>
      <c r="BY72">
        <v>1854</v>
      </c>
      <c r="BZ72">
        <v>6.7</v>
      </c>
      <c r="CA72">
        <v>813069</v>
      </c>
      <c r="CB72">
        <v>666163</v>
      </c>
      <c r="CC72">
        <v>666163</v>
      </c>
      <c r="CD72">
        <v>518692</v>
      </c>
      <c r="CE72">
        <v>500743</v>
      </c>
      <c r="CF72">
        <v>571970</v>
      </c>
      <c r="CG72">
        <v>605141</v>
      </c>
      <c r="CH72">
        <v>571771</v>
      </c>
      <c r="CI72">
        <v>681624</v>
      </c>
      <c r="CJ72">
        <v>606192</v>
      </c>
      <c r="CK72">
        <v>53.85</v>
      </c>
      <c r="CL72" t="s">
        <v>97</v>
      </c>
      <c r="CM72" t="s">
        <v>97</v>
      </c>
      <c r="CN72" t="s">
        <v>97</v>
      </c>
      <c r="CO72" t="s">
        <v>97</v>
      </c>
      <c r="CP72" t="s">
        <v>97</v>
      </c>
      <c r="CQ72" t="s">
        <v>97</v>
      </c>
      <c r="CR72" t="s">
        <v>97</v>
      </c>
      <c r="CS72">
        <v>8</v>
      </c>
      <c r="CT72">
        <v>0</v>
      </c>
      <c r="CU72">
        <v>0</v>
      </c>
      <c r="CV72">
        <v>8</v>
      </c>
      <c r="CW72">
        <v>0</v>
      </c>
      <c r="CX72">
        <v>8</v>
      </c>
      <c r="CY72">
        <v>0</v>
      </c>
      <c r="CZ72">
        <v>8</v>
      </c>
      <c r="DA72" t="s">
        <v>107</v>
      </c>
      <c r="DB72" t="s">
        <v>107</v>
      </c>
      <c r="DC72">
        <v>132</v>
      </c>
      <c r="DD72">
        <v>0</v>
      </c>
      <c r="DE72">
        <v>-3.9E-2</v>
      </c>
      <c r="DF72">
        <v>80.2</v>
      </c>
      <c r="DG72">
        <v>8.5</v>
      </c>
    </row>
    <row r="73" spans="1:111" x14ac:dyDescent="0.2">
      <c r="A73">
        <v>2025</v>
      </c>
      <c r="B73" s="1">
        <v>45930</v>
      </c>
      <c r="C73" t="s">
        <v>95</v>
      </c>
      <c r="D73">
        <v>605483</v>
      </c>
      <c r="E73">
        <v>609280</v>
      </c>
      <c r="F73">
        <v>0</v>
      </c>
      <c r="G73">
        <v>1</v>
      </c>
      <c r="H73">
        <v>7</v>
      </c>
      <c r="I73" t="s">
        <v>96</v>
      </c>
      <c r="J73">
        <v>52</v>
      </c>
      <c r="K73">
        <v>2</v>
      </c>
      <c r="L73" t="s">
        <v>97</v>
      </c>
      <c r="M73" t="s">
        <v>132</v>
      </c>
      <c r="N73" t="s">
        <v>133</v>
      </c>
      <c r="O73">
        <f t="shared" si="16"/>
        <v>0</v>
      </c>
      <c r="P73">
        <f t="shared" si="17"/>
        <v>0</v>
      </c>
      <c r="Q73">
        <f t="shared" si="18"/>
        <v>0</v>
      </c>
      <c r="R73">
        <f t="shared" si="19"/>
        <v>0</v>
      </c>
      <c r="S73">
        <f t="shared" si="20"/>
        <v>0</v>
      </c>
      <c r="T73">
        <f t="shared" si="21"/>
        <v>0</v>
      </c>
      <c r="U73">
        <f t="shared" si="22"/>
        <v>0</v>
      </c>
      <c r="V73">
        <f t="shared" si="23"/>
        <v>0</v>
      </c>
      <c r="W73">
        <f t="shared" si="24"/>
        <v>1</v>
      </c>
      <c r="X73">
        <f t="shared" si="25"/>
        <v>0</v>
      </c>
      <c r="Y73">
        <f t="shared" si="26"/>
        <v>0</v>
      </c>
      <c r="Z73">
        <f t="shared" si="27"/>
        <v>0</v>
      </c>
      <c r="AA73">
        <f t="shared" si="28"/>
        <v>0</v>
      </c>
      <c r="AB73">
        <f t="shared" si="29"/>
        <v>0</v>
      </c>
      <c r="AC73">
        <f t="shared" si="30"/>
        <v>0</v>
      </c>
      <c r="AD73">
        <f t="shared" si="31"/>
        <v>0</v>
      </c>
      <c r="AE73">
        <v>86.9</v>
      </c>
      <c r="AF73">
        <v>2.2400000000000002</v>
      </c>
      <c r="AG73">
        <v>6.38</v>
      </c>
      <c r="AH73" t="s">
        <v>100</v>
      </c>
      <c r="AI73" t="s">
        <v>97</v>
      </c>
      <c r="AJ73" t="s">
        <v>97</v>
      </c>
      <c r="AK73" t="s">
        <v>97</v>
      </c>
      <c r="AL73" t="s">
        <v>97</v>
      </c>
      <c r="AM73">
        <v>14</v>
      </c>
      <c r="AN73" t="s">
        <v>101</v>
      </c>
      <c r="AO73" t="s">
        <v>102</v>
      </c>
      <c r="AP73" t="s">
        <v>122</v>
      </c>
      <c r="AQ73" t="s">
        <v>103</v>
      </c>
      <c r="AR73" t="s">
        <v>104</v>
      </c>
      <c r="AS73" t="s">
        <v>105</v>
      </c>
      <c r="AT73" t="s">
        <v>106</v>
      </c>
      <c r="AU73" t="s">
        <v>97</v>
      </c>
      <c r="AV73" t="s">
        <v>97</v>
      </c>
      <c r="AW73">
        <v>1.21</v>
      </c>
      <c r="AX73">
        <v>0.95</v>
      </c>
      <c r="AY73">
        <v>0.45</v>
      </c>
      <c r="AZ73">
        <v>0.45</v>
      </c>
      <c r="BA73" t="s">
        <v>97</v>
      </c>
      <c r="BB73" t="s">
        <v>97</v>
      </c>
      <c r="BC73" t="s">
        <v>97</v>
      </c>
      <c r="BD73">
        <v>0</v>
      </c>
      <c r="BE73" t="s">
        <v>97</v>
      </c>
      <c r="BF73" t="s">
        <v>97</v>
      </c>
      <c r="BG73" t="s">
        <v>97</v>
      </c>
      <c r="BH73" t="s">
        <v>97</v>
      </c>
      <c r="BI73">
        <v>666163</v>
      </c>
      <c r="BJ73">
        <v>666163</v>
      </c>
      <c r="BK73" t="s">
        <v>97</v>
      </c>
      <c r="BL73" t="s">
        <v>97</v>
      </c>
      <c r="BM73">
        <v>-6.826565682</v>
      </c>
      <c r="BN73">
        <v>-126.1591178</v>
      </c>
      <c r="BO73">
        <v>-10.016241129999999</v>
      </c>
      <c r="BP73">
        <v>14.294301150000001</v>
      </c>
      <c r="BQ73">
        <v>24.905316590000002</v>
      </c>
      <c r="BR73">
        <v>-20.170601479999998</v>
      </c>
      <c r="BS73">
        <v>3.4</v>
      </c>
      <c r="BT73">
        <v>1.66</v>
      </c>
      <c r="BU73" t="s">
        <v>97</v>
      </c>
      <c r="BV73" t="s">
        <v>97</v>
      </c>
      <c r="BW73" t="s">
        <v>97</v>
      </c>
      <c r="BX73">
        <v>87.6</v>
      </c>
      <c r="BY73">
        <v>1889</v>
      </c>
      <c r="BZ73">
        <v>6.8</v>
      </c>
      <c r="CA73">
        <v>813069</v>
      </c>
      <c r="CB73">
        <v>666163</v>
      </c>
      <c r="CC73">
        <v>666163</v>
      </c>
      <c r="CD73">
        <v>518692</v>
      </c>
      <c r="CE73">
        <v>500743</v>
      </c>
      <c r="CF73">
        <v>571970</v>
      </c>
      <c r="CG73">
        <v>605141</v>
      </c>
      <c r="CH73">
        <v>571771</v>
      </c>
      <c r="CI73">
        <v>681624</v>
      </c>
      <c r="CJ73">
        <v>606192</v>
      </c>
      <c r="CK73">
        <v>53.7</v>
      </c>
      <c r="CL73" t="s">
        <v>97</v>
      </c>
      <c r="CM73" t="s">
        <v>97</v>
      </c>
      <c r="CN73" t="s">
        <v>97</v>
      </c>
      <c r="CO73" t="s">
        <v>97</v>
      </c>
      <c r="CP73" t="s">
        <v>97</v>
      </c>
      <c r="CQ73" t="s">
        <v>97</v>
      </c>
      <c r="CR73" t="s">
        <v>97</v>
      </c>
      <c r="CS73">
        <v>8</v>
      </c>
      <c r="CT73">
        <v>0</v>
      </c>
      <c r="CU73">
        <v>0</v>
      </c>
      <c r="CV73">
        <v>8</v>
      </c>
      <c r="CW73">
        <v>0</v>
      </c>
      <c r="CX73">
        <v>8</v>
      </c>
      <c r="CY73">
        <v>0</v>
      </c>
      <c r="CZ73">
        <v>8</v>
      </c>
      <c r="DA73" t="s">
        <v>107</v>
      </c>
      <c r="DB73" t="s">
        <v>107</v>
      </c>
      <c r="DC73">
        <v>137</v>
      </c>
      <c r="DD73">
        <v>0</v>
      </c>
      <c r="DE73">
        <v>3.1E-2</v>
      </c>
      <c r="DF73" t="s">
        <v>97</v>
      </c>
      <c r="DG73" t="s">
        <v>97</v>
      </c>
    </row>
    <row r="74" spans="1:111" x14ac:dyDescent="0.2">
      <c r="A74">
        <v>2025</v>
      </c>
      <c r="B74" s="1">
        <v>45930</v>
      </c>
      <c r="C74" t="s">
        <v>95</v>
      </c>
      <c r="D74">
        <v>605483</v>
      </c>
      <c r="E74">
        <v>609280</v>
      </c>
      <c r="F74">
        <v>1</v>
      </c>
      <c r="G74">
        <v>1</v>
      </c>
      <c r="H74">
        <v>7</v>
      </c>
      <c r="I74" t="s">
        <v>96</v>
      </c>
      <c r="J74">
        <v>52</v>
      </c>
      <c r="K74">
        <v>3</v>
      </c>
      <c r="L74" t="s">
        <v>119</v>
      </c>
      <c r="M74" t="s">
        <v>132</v>
      </c>
      <c r="N74" t="s">
        <v>133</v>
      </c>
      <c r="O74">
        <f t="shared" si="16"/>
        <v>0</v>
      </c>
      <c r="P74">
        <f t="shared" si="17"/>
        <v>0</v>
      </c>
      <c r="Q74">
        <f t="shared" si="18"/>
        <v>0</v>
      </c>
      <c r="R74">
        <f t="shared" si="19"/>
        <v>0</v>
      </c>
      <c r="S74">
        <f t="shared" si="20"/>
        <v>0</v>
      </c>
      <c r="T74">
        <f t="shared" si="21"/>
        <v>0</v>
      </c>
      <c r="U74">
        <f t="shared" si="22"/>
        <v>0</v>
      </c>
      <c r="V74">
        <f t="shared" si="23"/>
        <v>0</v>
      </c>
      <c r="W74">
        <f t="shared" si="24"/>
        <v>0</v>
      </c>
      <c r="X74">
        <f t="shared" si="25"/>
        <v>1</v>
      </c>
      <c r="Y74">
        <f t="shared" si="26"/>
        <v>0</v>
      </c>
      <c r="Z74">
        <f t="shared" si="27"/>
        <v>0</v>
      </c>
      <c r="AA74">
        <f t="shared" si="28"/>
        <v>0</v>
      </c>
      <c r="AB74">
        <f t="shared" si="29"/>
        <v>0</v>
      </c>
      <c r="AC74">
        <f t="shared" si="30"/>
        <v>0</v>
      </c>
      <c r="AD74">
        <f t="shared" si="31"/>
        <v>0</v>
      </c>
      <c r="AE74">
        <v>85.5</v>
      </c>
      <c r="AF74">
        <v>2.27</v>
      </c>
      <c r="AG74">
        <v>6.36</v>
      </c>
      <c r="AH74" t="s">
        <v>120</v>
      </c>
      <c r="AI74" t="s">
        <v>97</v>
      </c>
      <c r="AJ74" t="s">
        <v>97</v>
      </c>
      <c r="AK74" t="s">
        <v>97</v>
      </c>
      <c r="AL74" t="s">
        <v>97</v>
      </c>
      <c r="AM74">
        <v>3</v>
      </c>
      <c r="AN74" t="s">
        <v>154</v>
      </c>
      <c r="AO74" t="s">
        <v>102</v>
      </c>
      <c r="AP74" t="s">
        <v>122</v>
      </c>
      <c r="AQ74" t="s">
        <v>103</v>
      </c>
      <c r="AR74" t="s">
        <v>104</v>
      </c>
      <c r="AS74" t="s">
        <v>105</v>
      </c>
      <c r="AT74" t="s">
        <v>123</v>
      </c>
      <c r="AU74">
        <v>6</v>
      </c>
      <c r="AV74" t="s">
        <v>127</v>
      </c>
      <c r="AW74">
        <v>1.19</v>
      </c>
      <c r="AX74">
        <v>0.82</v>
      </c>
      <c r="AY74">
        <v>0.45</v>
      </c>
      <c r="AZ74">
        <v>2.97</v>
      </c>
      <c r="BA74" t="s">
        <v>97</v>
      </c>
      <c r="BB74" t="s">
        <v>97</v>
      </c>
      <c r="BC74" t="s">
        <v>97</v>
      </c>
      <c r="BD74">
        <v>0</v>
      </c>
      <c r="BE74">
        <v>107.75</v>
      </c>
      <c r="BF74">
        <v>153.25</v>
      </c>
      <c r="BG74" t="s">
        <v>97</v>
      </c>
      <c r="BH74" t="s">
        <v>97</v>
      </c>
      <c r="BI74">
        <v>666163</v>
      </c>
      <c r="BJ74">
        <v>666163</v>
      </c>
      <c r="BK74" t="s">
        <v>97</v>
      </c>
      <c r="BL74" t="s">
        <v>97</v>
      </c>
      <c r="BM74">
        <v>-6.7308167350000003</v>
      </c>
      <c r="BN74">
        <v>-124.36127260000001</v>
      </c>
      <c r="BO74">
        <v>-3.3971409239999999</v>
      </c>
      <c r="BP74">
        <v>13.651520229999999</v>
      </c>
      <c r="BQ74">
        <v>23.625293509999999</v>
      </c>
      <c r="BR74">
        <v>-23.173635910000002</v>
      </c>
      <c r="BS74">
        <v>3.41</v>
      </c>
      <c r="BT74">
        <v>1.66</v>
      </c>
      <c r="BU74">
        <v>32</v>
      </c>
      <c r="BV74">
        <v>108</v>
      </c>
      <c r="BW74">
        <v>-4</v>
      </c>
      <c r="BX74">
        <v>86.1</v>
      </c>
      <c r="BY74">
        <v>1797</v>
      </c>
      <c r="BZ74">
        <v>6.6</v>
      </c>
      <c r="CA74">
        <v>813069</v>
      </c>
      <c r="CB74">
        <v>666163</v>
      </c>
      <c r="CC74">
        <v>666163</v>
      </c>
      <c r="CD74">
        <v>518692</v>
      </c>
      <c r="CE74">
        <v>500743</v>
      </c>
      <c r="CF74">
        <v>571970</v>
      </c>
      <c r="CG74">
        <v>605141</v>
      </c>
      <c r="CH74">
        <v>571771</v>
      </c>
      <c r="CI74">
        <v>681624</v>
      </c>
      <c r="CJ74">
        <v>606192</v>
      </c>
      <c r="CK74">
        <v>53.89</v>
      </c>
      <c r="CL74">
        <v>0.43099999999999999</v>
      </c>
      <c r="CM74">
        <v>0.40100000000000002</v>
      </c>
      <c r="CN74">
        <v>0</v>
      </c>
      <c r="CO74">
        <v>1</v>
      </c>
      <c r="CP74">
        <v>0</v>
      </c>
      <c r="CQ74">
        <v>0</v>
      </c>
      <c r="CR74">
        <v>4</v>
      </c>
      <c r="CS74">
        <v>8</v>
      </c>
      <c r="CT74">
        <v>0</v>
      </c>
      <c r="CU74">
        <v>0</v>
      </c>
      <c r="CV74">
        <v>8</v>
      </c>
      <c r="CW74">
        <v>0</v>
      </c>
      <c r="CX74">
        <v>8</v>
      </c>
      <c r="CY74">
        <v>0</v>
      </c>
      <c r="CZ74">
        <v>8</v>
      </c>
      <c r="DA74" t="s">
        <v>107</v>
      </c>
      <c r="DB74" t="s">
        <v>107</v>
      </c>
      <c r="DC74">
        <v>129</v>
      </c>
      <c r="DD74">
        <v>2E-3</v>
      </c>
      <c r="DE74">
        <v>-0.251</v>
      </c>
      <c r="DF74">
        <v>72.400000000000006</v>
      </c>
      <c r="DG74">
        <v>7.6</v>
      </c>
    </row>
    <row r="75" spans="1:111" x14ac:dyDescent="0.2">
      <c r="A75">
        <v>2025</v>
      </c>
      <c r="B75" s="1">
        <v>45930</v>
      </c>
      <c r="C75" t="s">
        <v>95</v>
      </c>
      <c r="D75">
        <v>605483</v>
      </c>
      <c r="E75">
        <v>669720</v>
      </c>
      <c r="F75">
        <v>0</v>
      </c>
      <c r="G75">
        <v>0</v>
      </c>
      <c r="H75">
        <v>7</v>
      </c>
      <c r="I75" t="s">
        <v>96</v>
      </c>
      <c r="J75">
        <v>53</v>
      </c>
      <c r="K75">
        <v>1</v>
      </c>
      <c r="L75" t="s">
        <v>97</v>
      </c>
      <c r="M75" t="s">
        <v>98</v>
      </c>
      <c r="N75" t="s">
        <v>99</v>
      </c>
      <c r="O75">
        <f t="shared" si="16"/>
        <v>0</v>
      </c>
      <c r="P75">
        <f t="shared" si="17"/>
        <v>0</v>
      </c>
      <c r="Q75">
        <f t="shared" si="18"/>
        <v>1</v>
      </c>
      <c r="R75">
        <f t="shared" si="19"/>
        <v>0</v>
      </c>
      <c r="S75">
        <f t="shared" si="20"/>
        <v>0</v>
      </c>
      <c r="T75">
        <f t="shared" si="21"/>
        <v>0</v>
      </c>
      <c r="U75">
        <f t="shared" si="22"/>
        <v>0</v>
      </c>
      <c r="V75">
        <f t="shared" si="23"/>
        <v>0</v>
      </c>
      <c r="W75">
        <f t="shared" si="24"/>
        <v>0</v>
      </c>
      <c r="X75">
        <f t="shared" si="25"/>
        <v>0</v>
      </c>
      <c r="Y75">
        <f t="shared" si="26"/>
        <v>0</v>
      </c>
      <c r="Z75">
        <f t="shared" si="27"/>
        <v>0</v>
      </c>
      <c r="AA75">
        <f t="shared" si="28"/>
        <v>0</v>
      </c>
      <c r="AB75">
        <f t="shared" si="29"/>
        <v>0</v>
      </c>
      <c r="AC75">
        <f t="shared" si="30"/>
        <v>0</v>
      </c>
      <c r="AD75">
        <f t="shared" si="31"/>
        <v>0</v>
      </c>
      <c r="AE75">
        <v>96.2</v>
      </c>
      <c r="AF75">
        <v>1.97</v>
      </c>
      <c r="AG75">
        <v>6.53</v>
      </c>
      <c r="AH75" t="s">
        <v>100</v>
      </c>
      <c r="AI75" t="s">
        <v>97</v>
      </c>
      <c r="AJ75" t="s">
        <v>97</v>
      </c>
      <c r="AK75" t="s">
        <v>97</v>
      </c>
      <c r="AL75" t="s">
        <v>97</v>
      </c>
      <c r="AM75">
        <v>12</v>
      </c>
      <c r="AN75" t="s">
        <v>101</v>
      </c>
      <c r="AO75" t="s">
        <v>102</v>
      </c>
      <c r="AP75" t="s">
        <v>122</v>
      </c>
      <c r="AQ75" t="s">
        <v>103</v>
      </c>
      <c r="AR75" t="s">
        <v>104</v>
      </c>
      <c r="AS75" t="s">
        <v>105</v>
      </c>
      <c r="AT75" t="s">
        <v>106</v>
      </c>
      <c r="AU75" t="s">
        <v>97</v>
      </c>
      <c r="AV75" t="s">
        <v>97</v>
      </c>
      <c r="AW75">
        <v>0.44</v>
      </c>
      <c r="AX75">
        <v>1.61</v>
      </c>
      <c r="AY75">
        <v>0.1</v>
      </c>
      <c r="AZ75">
        <v>4.05</v>
      </c>
      <c r="BA75" t="s">
        <v>97</v>
      </c>
      <c r="BB75" t="s">
        <v>97</v>
      </c>
      <c r="BC75" t="s">
        <v>97</v>
      </c>
      <c r="BD75">
        <v>1</v>
      </c>
      <c r="BE75" t="s">
        <v>97</v>
      </c>
      <c r="BF75" t="s">
        <v>97</v>
      </c>
      <c r="BG75" t="s">
        <v>97</v>
      </c>
      <c r="BH75" t="s">
        <v>97</v>
      </c>
      <c r="BI75">
        <v>666163</v>
      </c>
      <c r="BJ75">
        <v>666163</v>
      </c>
      <c r="BK75" t="s">
        <v>97</v>
      </c>
      <c r="BL75" t="s">
        <v>97</v>
      </c>
      <c r="BM75">
        <v>-5.9972021020000001</v>
      </c>
      <c r="BN75">
        <v>-139.9774342</v>
      </c>
      <c r="BO75">
        <v>-4.6960105900000002</v>
      </c>
      <c r="BP75">
        <v>7.0742904979999999</v>
      </c>
      <c r="BQ75">
        <v>30.068773400000001</v>
      </c>
      <c r="BR75">
        <v>-10.07071399</v>
      </c>
      <c r="BS75">
        <v>3.3</v>
      </c>
      <c r="BT75">
        <v>1.5</v>
      </c>
      <c r="BU75" t="s">
        <v>97</v>
      </c>
      <c r="BV75" t="s">
        <v>97</v>
      </c>
      <c r="BW75" t="s">
        <v>97</v>
      </c>
      <c r="BX75">
        <v>97.2</v>
      </c>
      <c r="BY75">
        <v>2415</v>
      </c>
      <c r="BZ75">
        <v>6.7</v>
      </c>
      <c r="CA75">
        <v>813069</v>
      </c>
      <c r="CB75">
        <v>666163</v>
      </c>
      <c r="CC75">
        <v>666163</v>
      </c>
      <c r="CD75">
        <v>518692</v>
      </c>
      <c r="CE75">
        <v>500743</v>
      </c>
      <c r="CF75">
        <v>571970</v>
      </c>
      <c r="CG75">
        <v>605141</v>
      </c>
      <c r="CH75">
        <v>571771</v>
      </c>
      <c r="CI75">
        <v>681624</v>
      </c>
      <c r="CJ75">
        <v>606192</v>
      </c>
      <c r="CK75">
        <v>53.77</v>
      </c>
      <c r="CL75" t="s">
        <v>97</v>
      </c>
      <c r="CM75" t="s">
        <v>97</v>
      </c>
      <c r="CN75" t="s">
        <v>97</v>
      </c>
      <c r="CO75" t="s">
        <v>97</v>
      </c>
      <c r="CP75" t="s">
        <v>97</v>
      </c>
      <c r="CQ75" t="s">
        <v>97</v>
      </c>
      <c r="CR75" t="s">
        <v>97</v>
      </c>
      <c r="CS75">
        <v>8</v>
      </c>
      <c r="CT75">
        <v>0</v>
      </c>
      <c r="CU75">
        <v>0</v>
      </c>
      <c r="CV75">
        <v>8</v>
      </c>
      <c r="CW75">
        <v>0</v>
      </c>
      <c r="CX75">
        <v>8</v>
      </c>
      <c r="CY75">
        <v>0</v>
      </c>
      <c r="CZ75">
        <v>8</v>
      </c>
      <c r="DA75" t="s">
        <v>107</v>
      </c>
      <c r="DB75" t="s">
        <v>107</v>
      </c>
      <c r="DC75">
        <v>158</v>
      </c>
      <c r="DD75">
        <v>0</v>
      </c>
      <c r="DE75">
        <v>3.9E-2</v>
      </c>
      <c r="DF75" t="s">
        <v>97</v>
      </c>
      <c r="DG75" t="s">
        <v>97</v>
      </c>
    </row>
    <row r="76" spans="1:111" x14ac:dyDescent="0.2">
      <c r="A76">
        <v>2025</v>
      </c>
      <c r="B76" s="1">
        <v>45930</v>
      </c>
      <c r="C76" t="s">
        <v>95</v>
      </c>
      <c r="D76">
        <v>605483</v>
      </c>
      <c r="E76">
        <v>669720</v>
      </c>
      <c r="F76">
        <v>1</v>
      </c>
      <c r="G76">
        <v>0</v>
      </c>
      <c r="H76">
        <v>7</v>
      </c>
      <c r="I76" t="s">
        <v>96</v>
      </c>
      <c r="J76">
        <v>53</v>
      </c>
      <c r="K76">
        <v>2</v>
      </c>
      <c r="L76" t="s">
        <v>97</v>
      </c>
      <c r="M76" t="s">
        <v>132</v>
      </c>
      <c r="N76" t="s">
        <v>133</v>
      </c>
      <c r="O76">
        <f t="shared" si="16"/>
        <v>0</v>
      </c>
      <c r="P76">
        <f t="shared" si="17"/>
        <v>0</v>
      </c>
      <c r="Q76">
        <f t="shared" si="18"/>
        <v>0</v>
      </c>
      <c r="R76">
        <f t="shared" si="19"/>
        <v>0</v>
      </c>
      <c r="S76">
        <f t="shared" si="20"/>
        <v>0</v>
      </c>
      <c r="T76">
        <f t="shared" si="21"/>
        <v>0</v>
      </c>
      <c r="U76">
        <f t="shared" si="22"/>
        <v>0</v>
      </c>
      <c r="V76">
        <f t="shared" si="23"/>
        <v>0</v>
      </c>
      <c r="W76">
        <f t="shared" si="24"/>
        <v>1</v>
      </c>
      <c r="X76">
        <f t="shared" si="25"/>
        <v>0</v>
      </c>
      <c r="Y76">
        <f t="shared" si="26"/>
        <v>0</v>
      </c>
      <c r="Z76">
        <f t="shared" si="27"/>
        <v>0</v>
      </c>
      <c r="AA76">
        <f t="shared" si="28"/>
        <v>0</v>
      </c>
      <c r="AB76">
        <f t="shared" si="29"/>
        <v>0</v>
      </c>
      <c r="AC76">
        <f t="shared" si="30"/>
        <v>0</v>
      </c>
      <c r="AD76">
        <f t="shared" si="31"/>
        <v>0</v>
      </c>
      <c r="AE76">
        <v>85.6</v>
      </c>
      <c r="AF76">
        <v>2.1800000000000002</v>
      </c>
      <c r="AG76">
        <v>6.35</v>
      </c>
      <c r="AH76" t="s">
        <v>108</v>
      </c>
      <c r="AI76" t="s">
        <v>97</v>
      </c>
      <c r="AJ76" t="s">
        <v>97</v>
      </c>
      <c r="AK76" t="s">
        <v>97</v>
      </c>
      <c r="AL76" t="s">
        <v>97</v>
      </c>
      <c r="AM76">
        <v>8</v>
      </c>
      <c r="AN76" t="s">
        <v>109</v>
      </c>
      <c r="AO76" t="s">
        <v>102</v>
      </c>
      <c r="AP76" t="s">
        <v>122</v>
      </c>
      <c r="AQ76" t="s">
        <v>103</v>
      </c>
      <c r="AR76" t="s">
        <v>104</v>
      </c>
      <c r="AS76" t="s">
        <v>105</v>
      </c>
      <c r="AT76" t="s">
        <v>110</v>
      </c>
      <c r="AU76" t="s">
        <v>97</v>
      </c>
      <c r="AV76" t="s">
        <v>97</v>
      </c>
      <c r="AW76">
        <v>1.17</v>
      </c>
      <c r="AX76">
        <v>0.89</v>
      </c>
      <c r="AY76">
        <v>0.05</v>
      </c>
      <c r="AZ76">
        <v>1.63</v>
      </c>
      <c r="BA76" t="s">
        <v>97</v>
      </c>
      <c r="BB76" t="s">
        <v>97</v>
      </c>
      <c r="BC76" t="s">
        <v>97</v>
      </c>
      <c r="BD76">
        <v>1</v>
      </c>
      <c r="BE76" t="s">
        <v>97</v>
      </c>
      <c r="BF76" t="s">
        <v>97</v>
      </c>
      <c r="BG76" t="s">
        <v>97</v>
      </c>
      <c r="BH76" t="s">
        <v>97</v>
      </c>
      <c r="BI76">
        <v>666163</v>
      </c>
      <c r="BJ76">
        <v>666163</v>
      </c>
      <c r="BK76" t="s">
        <v>97</v>
      </c>
      <c r="BL76" t="s">
        <v>97</v>
      </c>
      <c r="BM76">
        <v>-7.5053847300000003</v>
      </c>
      <c r="BN76">
        <v>-124.3227904</v>
      </c>
      <c r="BO76">
        <v>-6.7670644229999999</v>
      </c>
      <c r="BP76">
        <v>13.60755743</v>
      </c>
      <c r="BQ76">
        <v>22.782650799999999</v>
      </c>
      <c r="BR76">
        <v>-21.79367654</v>
      </c>
      <c r="BS76">
        <v>3.32</v>
      </c>
      <c r="BT76">
        <v>1.5</v>
      </c>
      <c r="BU76" t="s">
        <v>97</v>
      </c>
      <c r="BV76" t="s">
        <v>97</v>
      </c>
      <c r="BW76" t="s">
        <v>97</v>
      </c>
      <c r="BX76">
        <v>87</v>
      </c>
      <c r="BY76">
        <v>1794</v>
      </c>
      <c r="BZ76">
        <v>7.1</v>
      </c>
      <c r="CA76">
        <v>813069</v>
      </c>
      <c r="CB76">
        <v>666163</v>
      </c>
      <c r="CC76">
        <v>666163</v>
      </c>
      <c r="CD76">
        <v>518692</v>
      </c>
      <c r="CE76">
        <v>500743</v>
      </c>
      <c r="CF76">
        <v>571970</v>
      </c>
      <c r="CG76">
        <v>605141</v>
      </c>
      <c r="CH76">
        <v>571771</v>
      </c>
      <c r="CI76">
        <v>681624</v>
      </c>
      <c r="CJ76">
        <v>606192</v>
      </c>
      <c r="CK76">
        <v>53.38</v>
      </c>
      <c r="CL76" t="s">
        <v>97</v>
      </c>
      <c r="CM76" t="s">
        <v>97</v>
      </c>
      <c r="CN76" t="s">
        <v>97</v>
      </c>
      <c r="CO76" t="s">
        <v>97</v>
      </c>
      <c r="CP76" t="s">
        <v>97</v>
      </c>
      <c r="CQ76" t="s">
        <v>97</v>
      </c>
      <c r="CR76" t="s">
        <v>97</v>
      </c>
      <c r="CS76">
        <v>8</v>
      </c>
      <c r="CT76">
        <v>0</v>
      </c>
      <c r="CU76">
        <v>0</v>
      </c>
      <c r="CV76">
        <v>8</v>
      </c>
      <c r="CW76">
        <v>0</v>
      </c>
      <c r="CX76">
        <v>8</v>
      </c>
      <c r="CY76">
        <v>0</v>
      </c>
      <c r="CZ76">
        <v>8</v>
      </c>
      <c r="DA76" t="s">
        <v>107</v>
      </c>
      <c r="DB76" t="s">
        <v>107</v>
      </c>
      <c r="DC76">
        <v>129</v>
      </c>
      <c r="DD76">
        <v>0</v>
      </c>
      <c r="DE76">
        <v>-0.05</v>
      </c>
      <c r="DF76" t="s">
        <v>97</v>
      </c>
      <c r="DG76" t="s">
        <v>97</v>
      </c>
    </row>
    <row r="77" spans="1:111" x14ac:dyDescent="0.2">
      <c r="A77">
        <v>2025</v>
      </c>
      <c r="B77" s="1">
        <v>45930</v>
      </c>
      <c r="C77" t="s">
        <v>95</v>
      </c>
      <c r="D77">
        <v>605483</v>
      </c>
      <c r="E77">
        <v>669720</v>
      </c>
      <c r="F77">
        <v>1</v>
      </c>
      <c r="G77">
        <v>1</v>
      </c>
      <c r="H77">
        <v>7</v>
      </c>
      <c r="I77" t="s">
        <v>96</v>
      </c>
      <c r="J77">
        <v>53</v>
      </c>
      <c r="K77">
        <v>3</v>
      </c>
      <c r="L77" t="s">
        <v>155</v>
      </c>
      <c r="M77" t="s">
        <v>132</v>
      </c>
      <c r="N77" t="s">
        <v>133</v>
      </c>
      <c r="O77">
        <f t="shared" si="16"/>
        <v>0</v>
      </c>
      <c r="P77">
        <f t="shared" si="17"/>
        <v>0</v>
      </c>
      <c r="Q77">
        <f t="shared" si="18"/>
        <v>0</v>
      </c>
      <c r="R77">
        <f t="shared" si="19"/>
        <v>0</v>
      </c>
      <c r="S77">
        <f t="shared" si="20"/>
        <v>0</v>
      </c>
      <c r="T77">
        <f t="shared" si="21"/>
        <v>0</v>
      </c>
      <c r="U77">
        <f t="shared" si="22"/>
        <v>0</v>
      </c>
      <c r="V77">
        <f t="shared" si="23"/>
        <v>0</v>
      </c>
      <c r="W77">
        <f t="shared" si="24"/>
        <v>0</v>
      </c>
      <c r="X77">
        <f t="shared" si="25"/>
        <v>0</v>
      </c>
      <c r="Y77">
        <f t="shared" si="26"/>
        <v>1</v>
      </c>
      <c r="Z77">
        <f t="shared" si="27"/>
        <v>0</v>
      </c>
      <c r="AA77">
        <f t="shared" si="28"/>
        <v>0</v>
      </c>
      <c r="AB77">
        <f t="shared" si="29"/>
        <v>0</v>
      </c>
      <c r="AC77">
        <f t="shared" si="30"/>
        <v>0</v>
      </c>
      <c r="AD77">
        <f t="shared" si="31"/>
        <v>0</v>
      </c>
      <c r="AE77">
        <v>84.2</v>
      </c>
      <c r="AF77">
        <v>2.21</v>
      </c>
      <c r="AG77">
        <v>6.35</v>
      </c>
      <c r="AH77" t="s">
        <v>120</v>
      </c>
      <c r="AI77" t="s">
        <v>97</v>
      </c>
      <c r="AJ77" t="s">
        <v>97</v>
      </c>
      <c r="AK77" t="s">
        <v>97</v>
      </c>
      <c r="AL77" t="s">
        <v>97</v>
      </c>
      <c r="AM77">
        <v>6</v>
      </c>
      <c r="AN77" t="s">
        <v>156</v>
      </c>
      <c r="AO77" t="s">
        <v>102</v>
      </c>
      <c r="AP77" t="s">
        <v>122</v>
      </c>
      <c r="AQ77" t="s">
        <v>103</v>
      </c>
      <c r="AR77" t="s">
        <v>104</v>
      </c>
      <c r="AS77" t="s">
        <v>105</v>
      </c>
      <c r="AT77" t="s">
        <v>123</v>
      </c>
      <c r="AU77">
        <v>7</v>
      </c>
      <c r="AV77" t="s">
        <v>127</v>
      </c>
      <c r="AW77">
        <v>1.1200000000000001</v>
      </c>
      <c r="AX77">
        <v>1.01</v>
      </c>
      <c r="AY77">
        <v>0.56999999999999995</v>
      </c>
      <c r="AZ77">
        <v>2.4</v>
      </c>
      <c r="BA77" t="s">
        <v>97</v>
      </c>
      <c r="BB77" t="s">
        <v>97</v>
      </c>
      <c r="BC77" t="s">
        <v>97</v>
      </c>
      <c r="BD77">
        <v>1</v>
      </c>
      <c r="BE77">
        <v>100</v>
      </c>
      <c r="BF77">
        <v>112.29</v>
      </c>
      <c r="BG77" t="s">
        <v>97</v>
      </c>
      <c r="BH77" t="s">
        <v>97</v>
      </c>
      <c r="BI77">
        <v>666163</v>
      </c>
      <c r="BJ77">
        <v>666163</v>
      </c>
      <c r="BK77" t="s">
        <v>97</v>
      </c>
      <c r="BL77" t="s">
        <v>97</v>
      </c>
      <c r="BM77">
        <v>-6.0987890650000001</v>
      </c>
      <c r="BN77">
        <v>-122.52671789999999</v>
      </c>
      <c r="BO77">
        <v>-4.8827023440000001</v>
      </c>
      <c r="BP77">
        <v>12.43614277</v>
      </c>
      <c r="BQ77">
        <v>22.86053244</v>
      </c>
      <c r="BR77">
        <v>-21.26763669</v>
      </c>
      <c r="BS77">
        <v>3.33</v>
      </c>
      <c r="BT77">
        <v>1.5</v>
      </c>
      <c r="BU77">
        <v>50</v>
      </c>
      <c r="BV77">
        <v>102.5</v>
      </c>
      <c r="BW77">
        <v>0</v>
      </c>
      <c r="BX77">
        <v>85.3</v>
      </c>
      <c r="BY77">
        <v>1849</v>
      </c>
      <c r="BZ77">
        <v>6.9</v>
      </c>
      <c r="CA77">
        <v>813069</v>
      </c>
      <c r="CB77">
        <v>666163</v>
      </c>
      <c r="CC77">
        <v>666163</v>
      </c>
      <c r="CD77">
        <v>518692</v>
      </c>
      <c r="CE77">
        <v>500743</v>
      </c>
      <c r="CF77">
        <v>571970</v>
      </c>
      <c r="CG77">
        <v>605141</v>
      </c>
      <c r="CH77">
        <v>571771</v>
      </c>
      <c r="CI77">
        <v>681624</v>
      </c>
      <c r="CJ77">
        <v>606192</v>
      </c>
      <c r="CK77">
        <v>53.62</v>
      </c>
      <c r="CL77">
        <v>0.45700000000000002</v>
      </c>
      <c r="CM77">
        <v>0.41699999999999998</v>
      </c>
      <c r="CN77">
        <v>0.9</v>
      </c>
      <c r="CO77">
        <v>1</v>
      </c>
      <c r="CP77">
        <v>1</v>
      </c>
      <c r="CQ77">
        <v>0</v>
      </c>
      <c r="CR77">
        <v>4</v>
      </c>
      <c r="CS77">
        <v>8</v>
      </c>
      <c r="CT77">
        <v>0</v>
      </c>
      <c r="CU77">
        <v>0</v>
      </c>
      <c r="CV77">
        <v>8</v>
      </c>
      <c r="CW77">
        <v>0</v>
      </c>
      <c r="CX77">
        <v>8</v>
      </c>
      <c r="CY77">
        <v>0</v>
      </c>
      <c r="CZ77">
        <v>8</v>
      </c>
      <c r="DA77" t="s">
        <v>107</v>
      </c>
      <c r="DB77" t="s">
        <v>107</v>
      </c>
      <c r="DC77">
        <v>133</v>
      </c>
      <c r="DD77">
        <v>-1E-3</v>
      </c>
      <c r="DE77">
        <v>0.42499999999999999</v>
      </c>
      <c r="DF77">
        <v>71.599999999999994</v>
      </c>
      <c r="DG77">
        <v>6.8</v>
      </c>
    </row>
    <row r="78" spans="1:111" x14ac:dyDescent="0.2">
      <c r="A78">
        <v>2025</v>
      </c>
      <c r="B78" s="1">
        <v>45930</v>
      </c>
      <c r="C78" t="s">
        <v>95</v>
      </c>
      <c r="D78">
        <v>605483</v>
      </c>
      <c r="E78">
        <v>668715</v>
      </c>
      <c r="F78">
        <v>0</v>
      </c>
      <c r="G78">
        <v>0</v>
      </c>
      <c r="H78">
        <v>7</v>
      </c>
      <c r="I78" t="s">
        <v>96</v>
      </c>
      <c r="J78">
        <v>54</v>
      </c>
      <c r="K78">
        <v>1</v>
      </c>
      <c r="L78" t="s">
        <v>97</v>
      </c>
      <c r="M78" t="s">
        <v>111</v>
      </c>
      <c r="N78" t="s">
        <v>112</v>
      </c>
      <c r="O78">
        <f t="shared" si="16"/>
        <v>0</v>
      </c>
      <c r="P78">
        <f t="shared" si="17"/>
        <v>0</v>
      </c>
      <c r="Q78">
        <f t="shared" si="18"/>
        <v>0</v>
      </c>
      <c r="R78">
        <f t="shared" si="19"/>
        <v>0</v>
      </c>
      <c r="S78">
        <f t="shared" si="20"/>
        <v>0</v>
      </c>
      <c r="T78">
        <f t="shared" si="21"/>
        <v>1</v>
      </c>
      <c r="U78">
        <f t="shared" si="22"/>
        <v>0</v>
      </c>
      <c r="V78">
        <f t="shared" si="23"/>
        <v>0</v>
      </c>
      <c r="W78">
        <f t="shared" si="24"/>
        <v>0</v>
      </c>
      <c r="X78">
        <f t="shared" si="25"/>
        <v>0</v>
      </c>
      <c r="Y78">
        <f t="shared" si="26"/>
        <v>0</v>
      </c>
      <c r="Z78">
        <f t="shared" si="27"/>
        <v>0</v>
      </c>
      <c r="AA78">
        <f t="shared" si="28"/>
        <v>0</v>
      </c>
      <c r="AB78">
        <f t="shared" si="29"/>
        <v>0</v>
      </c>
      <c r="AC78">
        <f t="shared" si="30"/>
        <v>0</v>
      </c>
      <c r="AD78">
        <f t="shared" si="31"/>
        <v>0</v>
      </c>
      <c r="AE78">
        <v>81.5</v>
      </c>
      <c r="AF78">
        <v>1.96</v>
      </c>
      <c r="AG78">
        <v>6.5</v>
      </c>
      <c r="AH78" t="s">
        <v>129</v>
      </c>
      <c r="AI78" t="s">
        <v>97</v>
      </c>
      <c r="AJ78" t="s">
        <v>97</v>
      </c>
      <c r="AK78" t="s">
        <v>97</v>
      </c>
      <c r="AL78" t="s">
        <v>97</v>
      </c>
      <c r="AM78">
        <v>13</v>
      </c>
      <c r="AN78" t="s">
        <v>130</v>
      </c>
      <c r="AO78" t="s">
        <v>102</v>
      </c>
      <c r="AP78" t="s">
        <v>122</v>
      </c>
      <c r="AQ78" t="s">
        <v>103</v>
      </c>
      <c r="AR78" t="s">
        <v>104</v>
      </c>
      <c r="AS78" t="s">
        <v>105</v>
      </c>
      <c r="AT78" t="s">
        <v>110</v>
      </c>
      <c r="AU78" t="s">
        <v>97</v>
      </c>
      <c r="AV78" t="s">
        <v>97</v>
      </c>
      <c r="AW78">
        <v>-1.21</v>
      </c>
      <c r="AX78">
        <v>-0.4</v>
      </c>
      <c r="AY78">
        <v>-0.9</v>
      </c>
      <c r="AZ78">
        <v>1.56</v>
      </c>
      <c r="BA78" t="s">
        <v>97</v>
      </c>
      <c r="BB78" t="s">
        <v>97</v>
      </c>
      <c r="BC78">
        <v>669720</v>
      </c>
      <c r="BD78">
        <v>1</v>
      </c>
      <c r="BE78" t="s">
        <v>97</v>
      </c>
      <c r="BF78" t="s">
        <v>97</v>
      </c>
      <c r="BG78" t="s">
        <v>97</v>
      </c>
      <c r="BH78" t="s">
        <v>97</v>
      </c>
      <c r="BI78">
        <v>666163</v>
      </c>
      <c r="BJ78">
        <v>666163</v>
      </c>
      <c r="BK78" t="s">
        <v>97</v>
      </c>
      <c r="BL78" t="s">
        <v>97</v>
      </c>
      <c r="BM78">
        <v>-4.1188217869999999</v>
      </c>
      <c r="BN78">
        <v>-118.60189800000001</v>
      </c>
      <c r="BO78">
        <v>-3.716521669</v>
      </c>
      <c r="BP78">
        <v>-10.52294013</v>
      </c>
      <c r="BQ78">
        <v>24.394569279999999</v>
      </c>
      <c r="BR78">
        <v>-35.382489749999998</v>
      </c>
      <c r="BS78">
        <v>3.37</v>
      </c>
      <c r="BT78">
        <v>1.59</v>
      </c>
      <c r="BU78">
        <v>350</v>
      </c>
      <c r="BV78">
        <v>101.8</v>
      </c>
      <c r="BW78">
        <v>15</v>
      </c>
      <c r="BX78">
        <v>81.7</v>
      </c>
      <c r="BY78">
        <v>2542</v>
      </c>
      <c r="BZ78">
        <v>6.6</v>
      </c>
      <c r="CA78">
        <v>813069</v>
      </c>
      <c r="CB78">
        <v>666163</v>
      </c>
      <c r="CC78">
        <v>666163</v>
      </c>
      <c r="CD78">
        <v>518692</v>
      </c>
      <c r="CE78">
        <v>500743</v>
      </c>
      <c r="CF78">
        <v>571970</v>
      </c>
      <c r="CG78">
        <v>605141</v>
      </c>
      <c r="CH78">
        <v>571771</v>
      </c>
      <c r="CI78">
        <v>681624</v>
      </c>
      <c r="CJ78">
        <v>606192</v>
      </c>
      <c r="CK78">
        <v>53.9</v>
      </c>
      <c r="CL78" t="s">
        <v>97</v>
      </c>
      <c r="CM78" t="s">
        <v>97</v>
      </c>
      <c r="CN78" t="s">
        <v>97</v>
      </c>
      <c r="CO78" t="s">
        <v>97</v>
      </c>
      <c r="CP78" t="s">
        <v>97</v>
      </c>
      <c r="CQ78" t="s">
        <v>97</v>
      </c>
      <c r="CR78" t="s">
        <v>97</v>
      </c>
      <c r="CS78">
        <v>8</v>
      </c>
      <c r="CT78">
        <v>0</v>
      </c>
      <c r="CU78">
        <v>0</v>
      </c>
      <c r="CV78">
        <v>8</v>
      </c>
      <c r="CW78">
        <v>0</v>
      </c>
      <c r="CX78">
        <v>8</v>
      </c>
      <c r="CY78">
        <v>0</v>
      </c>
      <c r="CZ78">
        <v>8</v>
      </c>
      <c r="DA78" t="s">
        <v>107</v>
      </c>
      <c r="DB78" t="s">
        <v>107</v>
      </c>
      <c r="DC78">
        <v>324</v>
      </c>
      <c r="DD78">
        <v>0</v>
      </c>
      <c r="DE78">
        <v>-0.04</v>
      </c>
      <c r="DF78">
        <v>70</v>
      </c>
      <c r="DG78">
        <v>8.5</v>
      </c>
    </row>
    <row r="79" spans="1:111" x14ac:dyDescent="0.2">
      <c r="A79">
        <v>2025</v>
      </c>
      <c r="B79" s="1">
        <v>45930</v>
      </c>
      <c r="C79" t="s">
        <v>95</v>
      </c>
      <c r="D79">
        <v>605483</v>
      </c>
      <c r="E79">
        <v>668715</v>
      </c>
      <c r="F79">
        <v>0</v>
      </c>
      <c r="G79">
        <v>1</v>
      </c>
      <c r="H79">
        <v>7</v>
      </c>
      <c r="I79" t="s">
        <v>96</v>
      </c>
      <c r="J79">
        <v>54</v>
      </c>
      <c r="K79">
        <v>2</v>
      </c>
      <c r="L79" t="s">
        <v>155</v>
      </c>
      <c r="M79" t="s">
        <v>98</v>
      </c>
      <c r="N79" t="s">
        <v>99</v>
      </c>
      <c r="O79">
        <f t="shared" si="16"/>
        <v>0</v>
      </c>
      <c r="P79">
        <f t="shared" si="17"/>
        <v>0</v>
      </c>
      <c r="Q79">
        <f t="shared" si="18"/>
        <v>1</v>
      </c>
      <c r="R79">
        <f t="shared" si="19"/>
        <v>0</v>
      </c>
      <c r="S79">
        <f t="shared" si="20"/>
        <v>0</v>
      </c>
      <c r="T79">
        <f t="shared" si="21"/>
        <v>0</v>
      </c>
      <c r="U79">
        <f t="shared" si="22"/>
        <v>0</v>
      </c>
      <c r="V79">
        <f t="shared" si="23"/>
        <v>0</v>
      </c>
      <c r="W79">
        <f t="shared" si="24"/>
        <v>0</v>
      </c>
      <c r="X79">
        <f t="shared" si="25"/>
        <v>0</v>
      </c>
      <c r="Y79">
        <f t="shared" si="26"/>
        <v>0</v>
      </c>
      <c r="Z79">
        <f t="shared" si="27"/>
        <v>0</v>
      </c>
      <c r="AA79">
        <f t="shared" si="28"/>
        <v>0</v>
      </c>
      <c r="AB79">
        <f t="shared" si="29"/>
        <v>0</v>
      </c>
      <c r="AC79">
        <f t="shared" si="30"/>
        <v>0</v>
      </c>
      <c r="AD79">
        <f t="shared" si="31"/>
        <v>0</v>
      </c>
      <c r="AE79">
        <v>96.5</v>
      </c>
      <c r="AF79">
        <v>2.0299999999999998</v>
      </c>
      <c r="AG79">
        <v>6.49</v>
      </c>
      <c r="AH79" t="s">
        <v>120</v>
      </c>
      <c r="AI79" t="s">
        <v>97</v>
      </c>
      <c r="AJ79" t="s">
        <v>97</v>
      </c>
      <c r="AK79" t="s">
        <v>97</v>
      </c>
      <c r="AL79" t="s">
        <v>97</v>
      </c>
      <c r="AM79">
        <v>6</v>
      </c>
      <c r="AN79" t="s">
        <v>157</v>
      </c>
      <c r="AO79" t="s">
        <v>102</v>
      </c>
      <c r="AP79" t="s">
        <v>122</v>
      </c>
      <c r="AQ79" t="s">
        <v>103</v>
      </c>
      <c r="AR79" t="s">
        <v>104</v>
      </c>
      <c r="AS79" t="s">
        <v>105</v>
      </c>
      <c r="AT79" t="s">
        <v>123</v>
      </c>
      <c r="AU79">
        <v>3</v>
      </c>
      <c r="AV79" t="s">
        <v>158</v>
      </c>
      <c r="AW79">
        <v>0.52</v>
      </c>
      <c r="AX79">
        <v>1.4</v>
      </c>
      <c r="AY79">
        <v>0.7</v>
      </c>
      <c r="AZ79">
        <v>2.34</v>
      </c>
      <c r="BA79" t="s">
        <v>97</v>
      </c>
      <c r="BB79" t="s">
        <v>97</v>
      </c>
      <c r="BC79">
        <v>669720</v>
      </c>
      <c r="BD79">
        <v>1</v>
      </c>
      <c r="BE79">
        <v>165.94</v>
      </c>
      <c r="BF79">
        <v>150.59</v>
      </c>
      <c r="BG79" t="s">
        <v>97</v>
      </c>
      <c r="BH79" t="s">
        <v>97</v>
      </c>
      <c r="BI79">
        <v>666163</v>
      </c>
      <c r="BJ79">
        <v>666163</v>
      </c>
      <c r="BK79" t="s">
        <v>97</v>
      </c>
      <c r="BL79" t="s">
        <v>97</v>
      </c>
      <c r="BM79">
        <v>-4.7835606200000003</v>
      </c>
      <c r="BN79">
        <v>-140.3063593</v>
      </c>
      <c r="BO79">
        <v>-8.7242090749999992</v>
      </c>
      <c r="BP79">
        <v>7.9657230290000003</v>
      </c>
      <c r="BQ79">
        <v>31.01690095</v>
      </c>
      <c r="BR79">
        <v>-11.90881892</v>
      </c>
      <c r="BS79">
        <v>3.37</v>
      </c>
      <c r="BT79">
        <v>1.59</v>
      </c>
      <c r="BU79">
        <v>160</v>
      </c>
      <c r="BV79">
        <v>91</v>
      </c>
      <c r="BW79">
        <v>9</v>
      </c>
      <c r="BX79">
        <v>97.3</v>
      </c>
      <c r="BY79">
        <v>2489</v>
      </c>
      <c r="BZ79">
        <v>6.7</v>
      </c>
      <c r="CA79">
        <v>813069</v>
      </c>
      <c r="CB79">
        <v>666163</v>
      </c>
      <c r="CC79">
        <v>666163</v>
      </c>
      <c r="CD79">
        <v>518692</v>
      </c>
      <c r="CE79">
        <v>500743</v>
      </c>
      <c r="CF79">
        <v>571970</v>
      </c>
      <c r="CG79">
        <v>605141</v>
      </c>
      <c r="CH79">
        <v>571771</v>
      </c>
      <c r="CI79">
        <v>681624</v>
      </c>
      <c r="CJ79">
        <v>606192</v>
      </c>
      <c r="CK79">
        <v>53.76</v>
      </c>
      <c r="CL79">
        <v>0.54</v>
      </c>
      <c r="CM79">
        <v>0.49099999999999999</v>
      </c>
      <c r="CN79">
        <v>0.9</v>
      </c>
      <c r="CO79">
        <v>1</v>
      </c>
      <c r="CP79">
        <v>1</v>
      </c>
      <c r="CQ79">
        <v>0</v>
      </c>
      <c r="CR79">
        <v>4</v>
      </c>
      <c r="CS79">
        <v>8</v>
      </c>
      <c r="CT79">
        <v>0</v>
      </c>
      <c r="CU79">
        <v>0</v>
      </c>
      <c r="CV79">
        <v>8</v>
      </c>
      <c r="CW79">
        <v>0</v>
      </c>
      <c r="CX79">
        <v>8</v>
      </c>
      <c r="CY79">
        <v>0</v>
      </c>
      <c r="CZ79">
        <v>8</v>
      </c>
      <c r="DA79" t="s">
        <v>107</v>
      </c>
      <c r="DB79" t="s">
        <v>107</v>
      </c>
      <c r="DC79">
        <v>155</v>
      </c>
      <c r="DD79">
        <v>-3.0000000000000001E-3</v>
      </c>
      <c r="DE79">
        <v>0.44600000000000001</v>
      </c>
      <c r="DF79">
        <v>69.3</v>
      </c>
      <c r="DG79">
        <v>6.7</v>
      </c>
    </row>
    <row r="80" spans="1:111" x14ac:dyDescent="0.2">
      <c r="A80">
        <v>2025</v>
      </c>
      <c r="B80" s="1">
        <v>45930</v>
      </c>
      <c r="C80" t="s">
        <v>95</v>
      </c>
      <c r="D80">
        <v>605483</v>
      </c>
      <c r="E80">
        <v>682829</v>
      </c>
      <c r="F80">
        <v>0</v>
      </c>
      <c r="G80">
        <v>0</v>
      </c>
      <c r="H80">
        <v>7</v>
      </c>
      <c r="I80" t="s">
        <v>96</v>
      </c>
      <c r="J80">
        <v>55</v>
      </c>
      <c r="K80">
        <v>1</v>
      </c>
      <c r="L80" t="s">
        <v>97</v>
      </c>
      <c r="M80" t="s">
        <v>132</v>
      </c>
      <c r="N80" t="s">
        <v>133</v>
      </c>
      <c r="O80">
        <f t="shared" si="16"/>
        <v>0</v>
      </c>
      <c r="P80">
        <f t="shared" si="17"/>
        <v>0</v>
      </c>
      <c r="Q80">
        <f t="shared" si="18"/>
        <v>0</v>
      </c>
      <c r="R80">
        <f t="shared" si="19"/>
        <v>0</v>
      </c>
      <c r="S80">
        <f t="shared" si="20"/>
        <v>0</v>
      </c>
      <c r="T80">
        <f t="shared" si="21"/>
        <v>0</v>
      </c>
      <c r="U80">
        <f t="shared" si="22"/>
        <v>0</v>
      </c>
      <c r="V80">
        <f t="shared" si="23"/>
        <v>0</v>
      </c>
      <c r="W80">
        <f t="shared" si="24"/>
        <v>1</v>
      </c>
      <c r="X80">
        <f t="shared" si="25"/>
        <v>0</v>
      </c>
      <c r="Y80">
        <f t="shared" si="26"/>
        <v>0</v>
      </c>
      <c r="Z80">
        <f t="shared" si="27"/>
        <v>0</v>
      </c>
      <c r="AA80">
        <f t="shared" si="28"/>
        <v>0</v>
      </c>
      <c r="AB80">
        <f t="shared" si="29"/>
        <v>0</v>
      </c>
      <c r="AC80">
        <f t="shared" si="30"/>
        <v>0</v>
      </c>
      <c r="AD80">
        <f t="shared" si="31"/>
        <v>0</v>
      </c>
      <c r="AE80">
        <v>86.1</v>
      </c>
      <c r="AF80">
        <v>2.36</v>
      </c>
      <c r="AG80">
        <v>6.32</v>
      </c>
      <c r="AH80" t="s">
        <v>113</v>
      </c>
      <c r="AI80" t="s">
        <v>97</v>
      </c>
      <c r="AJ80" t="s">
        <v>97</v>
      </c>
      <c r="AK80" t="s">
        <v>97</v>
      </c>
      <c r="AL80" t="s">
        <v>97</v>
      </c>
      <c r="AM80">
        <v>14</v>
      </c>
      <c r="AN80" t="s">
        <v>114</v>
      </c>
      <c r="AO80" t="s">
        <v>102</v>
      </c>
      <c r="AP80" t="s">
        <v>122</v>
      </c>
      <c r="AQ80" t="s">
        <v>103</v>
      </c>
      <c r="AR80" t="s">
        <v>104</v>
      </c>
      <c r="AS80" t="s">
        <v>105</v>
      </c>
      <c r="AT80" t="s">
        <v>110</v>
      </c>
      <c r="AU80" t="s">
        <v>97</v>
      </c>
      <c r="AV80" t="s">
        <v>97</v>
      </c>
      <c r="AW80">
        <v>1.28</v>
      </c>
      <c r="AX80">
        <v>0.5</v>
      </c>
      <c r="AY80">
        <v>1</v>
      </c>
      <c r="AZ80">
        <v>2.37</v>
      </c>
      <c r="BA80">
        <v>669720</v>
      </c>
      <c r="BB80" t="s">
        <v>97</v>
      </c>
      <c r="BC80">
        <v>668715</v>
      </c>
      <c r="BD80">
        <v>1</v>
      </c>
      <c r="BE80" t="s">
        <v>97</v>
      </c>
      <c r="BF80" t="s">
        <v>97</v>
      </c>
      <c r="BG80" t="s">
        <v>97</v>
      </c>
      <c r="BH80" t="s">
        <v>97</v>
      </c>
      <c r="BI80">
        <v>666163</v>
      </c>
      <c r="BJ80">
        <v>666163</v>
      </c>
      <c r="BK80" t="s">
        <v>97</v>
      </c>
      <c r="BL80" t="s">
        <v>97</v>
      </c>
      <c r="BM80">
        <v>-5.8634495549999999</v>
      </c>
      <c r="BN80">
        <v>-125.2830098</v>
      </c>
      <c r="BO80">
        <v>-4.1884734899999998</v>
      </c>
      <c r="BP80">
        <v>14.68014748</v>
      </c>
      <c r="BQ80">
        <v>24.805000629999999</v>
      </c>
      <c r="BR80">
        <v>-26.22556054</v>
      </c>
      <c r="BS80">
        <v>3.65</v>
      </c>
      <c r="BT80">
        <v>1.74</v>
      </c>
      <c r="BU80" t="s">
        <v>97</v>
      </c>
      <c r="BV80" t="s">
        <v>97</v>
      </c>
      <c r="BW80" t="s">
        <v>97</v>
      </c>
      <c r="BX80">
        <v>86.6</v>
      </c>
      <c r="BY80">
        <v>1671</v>
      </c>
      <c r="BZ80">
        <v>6.6</v>
      </c>
      <c r="CA80">
        <v>813069</v>
      </c>
      <c r="CB80">
        <v>666163</v>
      </c>
      <c r="CC80">
        <v>666163</v>
      </c>
      <c r="CD80">
        <v>518692</v>
      </c>
      <c r="CE80">
        <v>500743</v>
      </c>
      <c r="CF80">
        <v>571970</v>
      </c>
      <c r="CG80">
        <v>605141</v>
      </c>
      <c r="CH80">
        <v>571771</v>
      </c>
      <c r="CI80">
        <v>681624</v>
      </c>
      <c r="CJ80">
        <v>606192</v>
      </c>
      <c r="CK80">
        <v>53.91</v>
      </c>
      <c r="CL80" t="s">
        <v>97</v>
      </c>
      <c r="CM80" t="s">
        <v>97</v>
      </c>
      <c r="CN80" t="s">
        <v>97</v>
      </c>
      <c r="CO80" t="s">
        <v>97</v>
      </c>
      <c r="CP80" t="s">
        <v>97</v>
      </c>
      <c r="CQ80" t="s">
        <v>97</v>
      </c>
      <c r="CR80" t="s">
        <v>97</v>
      </c>
      <c r="CS80">
        <v>8</v>
      </c>
      <c r="CT80">
        <v>0</v>
      </c>
      <c r="CU80">
        <v>0</v>
      </c>
      <c r="CV80">
        <v>8</v>
      </c>
      <c r="CW80">
        <v>0</v>
      </c>
      <c r="CX80">
        <v>8</v>
      </c>
      <c r="CY80">
        <v>0</v>
      </c>
      <c r="CZ80">
        <v>8</v>
      </c>
      <c r="DA80" t="s">
        <v>107</v>
      </c>
      <c r="DB80" t="s">
        <v>107</v>
      </c>
      <c r="DC80">
        <v>132</v>
      </c>
      <c r="DD80">
        <v>0</v>
      </c>
      <c r="DE80">
        <v>-0.04</v>
      </c>
      <c r="DF80">
        <v>77.7</v>
      </c>
      <c r="DG80">
        <v>7.8</v>
      </c>
    </row>
    <row r="81" spans="1:111" x14ac:dyDescent="0.2">
      <c r="A81">
        <v>2025</v>
      </c>
      <c r="B81" s="1">
        <v>45930</v>
      </c>
      <c r="C81" t="s">
        <v>95</v>
      </c>
      <c r="D81">
        <v>605483</v>
      </c>
      <c r="E81">
        <v>682829</v>
      </c>
      <c r="F81">
        <v>0</v>
      </c>
      <c r="G81">
        <v>1</v>
      </c>
      <c r="H81">
        <v>7</v>
      </c>
      <c r="I81" t="s">
        <v>96</v>
      </c>
      <c r="J81">
        <v>55</v>
      </c>
      <c r="K81">
        <v>2</v>
      </c>
      <c r="L81" t="s">
        <v>97</v>
      </c>
      <c r="M81" t="s">
        <v>132</v>
      </c>
      <c r="N81" t="s">
        <v>133</v>
      </c>
      <c r="O81">
        <f t="shared" si="16"/>
        <v>0</v>
      </c>
      <c r="P81">
        <f t="shared" si="17"/>
        <v>0</v>
      </c>
      <c r="Q81">
        <f t="shared" si="18"/>
        <v>0</v>
      </c>
      <c r="R81">
        <f t="shared" si="19"/>
        <v>0</v>
      </c>
      <c r="S81">
        <f t="shared" si="20"/>
        <v>0</v>
      </c>
      <c r="T81">
        <f t="shared" si="21"/>
        <v>0</v>
      </c>
      <c r="U81">
        <f t="shared" si="22"/>
        <v>0</v>
      </c>
      <c r="V81">
        <f t="shared" si="23"/>
        <v>0</v>
      </c>
      <c r="W81">
        <f t="shared" si="24"/>
        <v>1</v>
      </c>
      <c r="X81">
        <f t="shared" si="25"/>
        <v>0</v>
      </c>
      <c r="Y81">
        <f t="shared" si="26"/>
        <v>0</v>
      </c>
      <c r="Z81">
        <f t="shared" si="27"/>
        <v>0</v>
      </c>
      <c r="AA81">
        <f t="shared" si="28"/>
        <v>0</v>
      </c>
      <c r="AB81">
        <f t="shared" si="29"/>
        <v>0</v>
      </c>
      <c r="AC81">
        <f t="shared" si="30"/>
        <v>0</v>
      </c>
      <c r="AD81">
        <f t="shared" si="31"/>
        <v>0</v>
      </c>
      <c r="AE81">
        <v>84.7</v>
      </c>
      <c r="AF81">
        <v>2.3199999999999998</v>
      </c>
      <c r="AG81">
        <v>6.3</v>
      </c>
      <c r="AH81" t="s">
        <v>140</v>
      </c>
      <c r="AI81" t="s">
        <v>97</v>
      </c>
      <c r="AJ81" t="s">
        <v>97</v>
      </c>
      <c r="AK81" t="s">
        <v>97</v>
      </c>
      <c r="AL81" t="s">
        <v>97</v>
      </c>
      <c r="AM81">
        <v>14</v>
      </c>
      <c r="AN81" t="s">
        <v>141</v>
      </c>
      <c r="AO81" t="s">
        <v>102</v>
      </c>
      <c r="AP81" t="s">
        <v>122</v>
      </c>
      <c r="AQ81" t="s">
        <v>103</v>
      </c>
      <c r="AR81" t="s">
        <v>104</v>
      </c>
      <c r="AS81" t="s">
        <v>105</v>
      </c>
      <c r="AT81" t="s">
        <v>106</v>
      </c>
      <c r="AU81" t="s">
        <v>97</v>
      </c>
      <c r="AV81" t="s">
        <v>97</v>
      </c>
      <c r="AW81">
        <v>1.35</v>
      </c>
      <c r="AX81">
        <v>0.63</v>
      </c>
      <c r="AY81">
        <v>0.28999999999999998</v>
      </c>
      <c r="AZ81">
        <v>0.52</v>
      </c>
      <c r="BA81">
        <v>669720</v>
      </c>
      <c r="BB81" t="s">
        <v>97</v>
      </c>
      <c r="BC81">
        <v>668715</v>
      </c>
      <c r="BD81">
        <v>1</v>
      </c>
      <c r="BE81" t="s">
        <v>97</v>
      </c>
      <c r="BF81" t="s">
        <v>97</v>
      </c>
      <c r="BG81" t="s">
        <v>97</v>
      </c>
      <c r="BH81" t="s">
        <v>97</v>
      </c>
      <c r="BI81">
        <v>666163</v>
      </c>
      <c r="BJ81">
        <v>666163</v>
      </c>
      <c r="BK81" t="s">
        <v>97</v>
      </c>
      <c r="BL81" t="s">
        <v>97</v>
      </c>
      <c r="BM81">
        <v>-7.5121987810000004</v>
      </c>
      <c r="BN81">
        <v>-122.9918775</v>
      </c>
      <c r="BO81">
        <v>-8.4827770329999996</v>
      </c>
      <c r="BP81">
        <v>15.16917892</v>
      </c>
      <c r="BQ81">
        <v>23.59449124</v>
      </c>
      <c r="BR81">
        <v>-24.308780989999999</v>
      </c>
      <c r="BS81">
        <v>3.79</v>
      </c>
      <c r="BT81">
        <v>1.84</v>
      </c>
      <c r="BU81" t="s">
        <v>97</v>
      </c>
      <c r="BV81" t="s">
        <v>97</v>
      </c>
      <c r="BW81" t="s">
        <v>97</v>
      </c>
      <c r="BX81">
        <v>85.7</v>
      </c>
      <c r="BY81">
        <v>1887</v>
      </c>
      <c r="BZ81">
        <v>7</v>
      </c>
      <c r="CA81">
        <v>813069</v>
      </c>
      <c r="CB81">
        <v>666163</v>
      </c>
      <c r="CC81">
        <v>666163</v>
      </c>
      <c r="CD81">
        <v>518692</v>
      </c>
      <c r="CE81">
        <v>500743</v>
      </c>
      <c r="CF81">
        <v>571970</v>
      </c>
      <c r="CG81">
        <v>605141</v>
      </c>
      <c r="CH81">
        <v>571771</v>
      </c>
      <c r="CI81">
        <v>681624</v>
      </c>
      <c r="CJ81">
        <v>606192</v>
      </c>
      <c r="CK81">
        <v>53.5</v>
      </c>
      <c r="CL81" t="s">
        <v>97</v>
      </c>
      <c r="CM81" t="s">
        <v>97</v>
      </c>
      <c r="CN81" t="s">
        <v>97</v>
      </c>
      <c r="CO81" t="s">
        <v>97</v>
      </c>
      <c r="CP81" t="s">
        <v>97</v>
      </c>
      <c r="CQ81" t="s">
        <v>97</v>
      </c>
      <c r="CR81" t="s">
        <v>97</v>
      </c>
      <c r="CS81">
        <v>8</v>
      </c>
      <c r="CT81">
        <v>0</v>
      </c>
      <c r="CU81">
        <v>0</v>
      </c>
      <c r="CV81">
        <v>8</v>
      </c>
      <c r="CW81">
        <v>0</v>
      </c>
      <c r="CX81">
        <v>8</v>
      </c>
      <c r="CY81">
        <v>0</v>
      </c>
      <c r="CZ81">
        <v>8</v>
      </c>
      <c r="DA81" t="s">
        <v>107</v>
      </c>
      <c r="DB81" t="s">
        <v>107</v>
      </c>
      <c r="DC81">
        <v>131</v>
      </c>
      <c r="DD81">
        <v>0</v>
      </c>
      <c r="DE81">
        <v>1.0999999999999999E-2</v>
      </c>
      <c r="DF81" t="s">
        <v>97</v>
      </c>
      <c r="DG81" t="s">
        <v>97</v>
      </c>
    </row>
    <row r="82" spans="1:111" x14ac:dyDescent="0.2">
      <c r="A82">
        <v>2025</v>
      </c>
      <c r="B82" s="1">
        <v>45930</v>
      </c>
      <c r="C82" t="s">
        <v>95</v>
      </c>
      <c r="D82">
        <v>605483</v>
      </c>
      <c r="E82">
        <v>682829</v>
      </c>
      <c r="F82">
        <v>1</v>
      </c>
      <c r="G82">
        <v>1</v>
      </c>
      <c r="H82">
        <v>7</v>
      </c>
      <c r="I82" t="s">
        <v>96</v>
      </c>
      <c r="J82">
        <v>55</v>
      </c>
      <c r="K82">
        <v>3</v>
      </c>
      <c r="L82" t="s">
        <v>97</v>
      </c>
      <c r="M82" t="s">
        <v>132</v>
      </c>
      <c r="N82" t="s">
        <v>133</v>
      </c>
      <c r="O82">
        <f t="shared" si="16"/>
        <v>0</v>
      </c>
      <c r="P82">
        <f t="shared" si="17"/>
        <v>0</v>
      </c>
      <c r="Q82">
        <f t="shared" si="18"/>
        <v>0</v>
      </c>
      <c r="R82">
        <f t="shared" si="19"/>
        <v>0</v>
      </c>
      <c r="S82">
        <f t="shared" si="20"/>
        <v>0</v>
      </c>
      <c r="T82">
        <f t="shared" si="21"/>
        <v>0</v>
      </c>
      <c r="U82">
        <f t="shared" si="22"/>
        <v>0</v>
      </c>
      <c r="V82">
        <f t="shared" si="23"/>
        <v>0</v>
      </c>
      <c r="W82">
        <f t="shared" si="24"/>
        <v>0</v>
      </c>
      <c r="X82">
        <f t="shared" si="25"/>
        <v>0</v>
      </c>
      <c r="Y82">
        <f t="shared" si="26"/>
        <v>1</v>
      </c>
      <c r="Z82">
        <f t="shared" si="27"/>
        <v>0</v>
      </c>
      <c r="AA82">
        <f t="shared" si="28"/>
        <v>0</v>
      </c>
      <c r="AB82">
        <f t="shared" si="29"/>
        <v>0</v>
      </c>
      <c r="AC82">
        <f t="shared" si="30"/>
        <v>0</v>
      </c>
      <c r="AD82">
        <f t="shared" si="31"/>
        <v>0</v>
      </c>
      <c r="AE82">
        <v>86.6</v>
      </c>
      <c r="AF82">
        <v>2.35</v>
      </c>
      <c r="AG82">
        <v>6.29</v>
      </c>
      <c r="AH82" t="s">
        <v>113</v>
      </c>
      <c r="AI82" t="s">
        <v>97</v>
      </c>
      <c r="AJ82" t="s">
        <v>97</v>
      </c>
      <c r="AK82" t="s">
        <v>97</v>
      </c>
      <c r="AL82" t="s">
        <v>97</v>
      </c>
      <c r="AM82">
        <v>13</v>
      </c>
      <c r="AN82" t="s">
        <v>114</v>
      </c>
      <c r="AO82" t="s">
        <v>102</v>
      </c>
      <c r="AP82" t="s">
        <v>122</v>
      </c>
      <c r="AQ82" t="s">
        <v>103</v>
      </c>
      <c r="AR82" t="s">
        <v>104</v>
      </c>
      <c r="AS82" t="s">
        <v>105</v>
      </c>
      <c r="AT82" t="s">
        <v>110</v>
      </c>
      <c r="AU82" t="s">
        <v>97</v>
      </c>
      <c r="AV82" t="s">
        <v>97</v>
      </c>
      <c r="AW82">
        <v>1.17</v>
      </c>
      <c r="AX82">
        <v>0.71</v>
      </c>
      <c r="AY82">
        <v>-0.03</v>
      </c>
      <c r="AZ82">
        <v>1.6</v>
      </c>
      <c r="BA82">
        <v>669720</v>
      </c>
      <c r="BB82" t="s">
        <v>97</v>
      </c>
      <c r="BC82">
        <v>668715</v>
      </c>
      <c r="BD82">
        <v>1</v>
      </c>
      <c r="BE82" t="s">
        <v>97</v>
      </c>
      <c r="BF82" t="s">
        <v>97</v>
      </c>
      <c r="BG82" t="s">
        <v>97</v>
      </c>
      <c r="BH82" t="s">
        <v>97</v>
      </c>
      <c r="BI82">
        <v>666163</v>
      </c>
      <c r="BJ82">
        <v>666163</v>
      </c>
      <c r="BK82" t="s">
        <v>97</v>
      </c>
      <c r="BL82" t="s">
        <v>97</v>
      </c>
      <c r="BM82">
        <v>-8.1270153310000008</v>
      </c>
      <c r="BN82">
        <v>-125.74107050000001</v>
      </c>
      <c r="BO82">
        <v>-6.4848711090000002</v>
      </c>
      <c r="BP82">
        <v>14.076859799999999</v>
      </c>
      <c r="BQ82">
        <v>24.265457690000002</v>
      </c>
      <c r="BR82">
        <v>-23.491312709999999</v>
      </c>
      <c r="BS82">
        <v>3.65</v>
      </c>
      <c r="BT82">
        <v>1.74</v>
      </c>
      <c r="BU82" t="s">
        <v>97</v>
      </c>
      <c r="BV82" t="s">
        <v>97</v>
      </c>
      <c r="BW82" t="s">
        <v>97</v>
      </c>
      <c r="BX82">
        <v>87.3</v>
      </c>
      <c r="BY82">
        <v>1805</v>
      </c>
      <c r="BZ82">
        <v>6.8</v>
      </c>
      <c r="CA82">
        <v>813069</v>
      </c>
      <c r="CB82">
        <v>666163</v>
      </c>
      <c r="CC82">
        <v>666163</v>
      </c>
      <c r="CD82">
        <v>518692</v>
      </c>
      <c r="CE82">
        <v>500743</v>
      </c>
      <c r="CF82">
        <v>571970</v>
      </c>
      <c r="CG82">
        <v>605141</v>
      </c>
      <c r="CH82">
        <v>571771</v>
      </c>
      <c r="CI82">
        <v>681624</v>
      </c>
      <c r="CJ82">
        <v>606192</v>
      </c>
      <c r="CK82">
        <v>53.73</v>
      </c>
      <c r="CL82" t="s">
        <v>97</v>
      </c>
      <c r="CM82" t="s">
        <v>97</v>
      </c>
      <c r="CN82" t="s">
        <v>97</v>
      </c>
      <c r="CO82" t="s">
        <v>97</v>
      </c>
      <c r="CP82" t="s">
        <v>97</v>
      </c>
      <c r="CQ82" t="s">
        <v>97</v>
      </c>
      <c r="CR82" t="s">
        <v>97</v>
      </c>
      <c r="CS82">
        <v>8</v>
      </c>
      <c r="CT82">
        <v>0</v>
      </c>
      <c r="CU82">
        <v>0</v>
      </c>
      <c r="CV82">
        <v>8</v>
      </c>
      <c r="CW82">
        <v>0</v>
      </c>
      <c r="CX82">
        <v>8</v>
      </c>
      <c r="CY82">
        <v>0</v>
      </c>
      <c r="CZ82">
        <v>8</v>
      </c>
      <c r="DA82" t="s">
        <v>107</v>
      </c>
      <c r="DB82" t="s">
        <v>107</v>
      </c>
      <c r="DC82">
        <v>128</v>
      </c>
      <c r="DD82">
        <v>0</v>
      </c>
      <c r="DE82">
        <v>-5.8000000000000003E-2</v>
      </c>
      <c r="DF82">
        <v>82.3</v>
      </c>
      <c r="DG82">
        <v>7.4</v>
      </c>
    </row>
    <row r="83" spans="1:111" x14ac:dyDescent="0.2">
      <c r="A83">
        <v>2025</v>
      </c>
      <c r="B83" s="1">
        <v>45930</v>
      </c>
      <c r="C83" t="s">
        <v>95</v>
      </c>
      <c r="D83">
        <v>605483</v>
      </c>
      <c r="E83">
        <v>682829</v>
      </c>
      <c r="F83">
        <v>1</v>
      </c>
      <c r="G83">
        <v>2</v>
      </c>
      <c r="H83">
        <v>7</v>
      </c>
      <c r="I83" t="s">
        <v>96</v>
      </c>
      <c r="J83">
        <v>55</v>
      </c>
      <c r="K83">
        <v>4</v>
      </c>
      <c r="L83" t="s">
        <v>97</v>
      </c>
      <c r="M83" t="s">
        <v>111</v>
      </c>
      <c r="N83" t="s">
        <v>112</v>
      </c>
      <c r="O83">
        <f t="shared" si="16"/>
        <v>0</v>
      </c>
      <c r="P83">
        <f t="shared" si="17"/>
        <v>0</v>
      </c>
      <c r="Q83">
        <f t="shared" si="18"/>
        <v>0</v>
      </c>
      <c r="R83">
        <f t="shared" si="19"/>
        <v>0</v>
      </c>
      <c r="S83">
        <f t="shared" si="20"/>
        <v>0</v>
      </c>
      <c r="T83">
        <f t="shared" si="21"/>
        <v>0</v>
      </c>
      <c r="U83">
        <f t="shared" si="22"/>
        <v>1</v>
      </c>
      <c r="V83">
        <f t="shared" si="23"/>
        <v>0</v>
      </c>
      <c r="W83">
        <f t="shared" si="24"/>
        <v>0</v>
      </c>
      <c r="X83">
        <f t="shared" si="25"/>
        <v>0</v>
      </c>
      <c r="Y83">
        <f t="shared" si="26"/>
        <v>0</v>
      </c>
      <c r="Z83">
        <f t="shared" si="27"/>
        <v>0</v>
      </c>
      <c r="AA83">
        <f t="shared" si="28"/>
        <v>0</v>
      </c>
      <c r="AB83">
        <f t="shared" si="29"/>
        <v>0</v>
      </c>
      <c r="AC83">
        <f t="shared" si="30"/>
        <v>0</v>
      </c>
      <c r="AD83">
        <f t="shared" si="31"/>
        <v>0</v>
      </c>
      <c r="AE83">
        <v>83</v>
      </c>
      <c r="AF83">
        <v>1.95</v>
      </c>
      <c r="AG83">
        <v>6.4</v>
      </c>
      <c r="AH83" t="s">
        <v>140</v>
      </c>
      <c r="AI83" t="s">
        <v>97</v>
      </c>
      <c r="AJ83" t="s">
        <v>97</v>
      </c>
      <c r="AK83" t="s">
        <v>97</v>
      </c>
      <c r="AL83" t="s">
        <v>97</v>
      </c>
      <c r="AM83">
        <v>13</v>
      </c>
      <c r="AN83" t="s">
        <v>141</v>
      </c>
      <c r="AO83" t="s">
        <v>102</v>
      </c>
      <c r="AP83" t="s">
        <v>122</v>
      </c>
      <c r="AQ83" t="s">
        <v>103</v>
      </c>
      <c r="AR83" t="s">
        <v>104</v>
      </c>
      <c r="AS83" t="s">
        <v>105</v>
      </c>
      <c r="AT83" t="s">
        <v>106</v>
      </c>
      <c r="AU83" t="s">
        <v>97</v>
      </c>
      <c r="AV83" t="s">
        <v>97</v>
      </c>
      <c r="AW83">
        <v>-0.97</v>
      </c>
      <c r="AX83">
        <v>-0.32</v>
      </c>
      <c r="AY83">
        <v>-0.7</v>
      </c>
      <c r="AZ83">
        <v>0.1</v>
      </c>
      <c r="BA83">
        <v>669720</v>
      </c>
      <c r="BB83" t="s">
        <v>97</v>
      </c>
      <c r="BC83">
        <v>668715</v>
      </c>
      <c r="BD83">
        <v>1</v>
      </c>
      <c r="BE83" t="s">
        <v>97</v>
      </c>
      <c r="BF83" t="s">
        <v>97</v>
      </c>
      <c r="BG83" t="s">
        <v>97</v>
      </c>
      <c r="BH83" t="s">
        <v>97</v>
      </c>
      <c r="BI83">
        <v>666163</v>
      </c>
      <c r="BJ83">
        <v>666163</v>
      </c>
      <c r="BK83" t="s">
        <v>97</v>
      </c>
      <c r="BL83" t="s">
        <v>97</v>
      </c>
      <c r="BM83">
        <v>-4.1899713199999997</v>
      </c>
      <c r="BN83">
        <v>-120.7291257</v>
      </c>
      <c r="BO83">
        <v>-7.3274449339999999</v>
      </c>
      <c r="BP83">
        <v>-8.6398498109999995</v>
      </c>
      <c r="BQ83">
        <v>24.61702798</v>
      </c>
      <c r="BR83">
        <v>-34.032394500000002</v>
      </c>
      <c r="BS83">
        <v>3.59</v>
      </c>
      <c r="BT83">
        <v>1.74</v>
      </c>
      <c r="BU83" t="s">
        <v>97</v>
      </c>
      <c r="BV83" t="s">
        <v>97</v>
      </c>
      <c r="BW83" t="s">
        <v>97</v>
      </c>
      <c r="BX83">
        <v>83.6</v>
      </c>
      <c r="BY83">
        <v>2617</v>
      </c>
      <c r="BZ83">
        <v>6.8</v>
      </c>
      <c r="CA83">
        <v>813069</v>
      </c>
      <c r="CB83">
        <v>666163</v>
      </c>
      <c r="CC83">
        <v>666163</v>
      </c>
      <c r="CD83">
        <v>518692</v>
      </c>
      <c r="CE83">
        <v>500743</v>
      </c>
      <c r="CF83">
        <v>571970</v>
      </c>
      <c r="CG83">
        <v>605141</v>
      </c>
      <c r="CH83">
        <v>571771</v>
      </c>
      <c r="CI83">
        <v>681624</v>
      </c>
      <c r="CJ83">
        <v>606192</v>
      </c>
      <c r="CK83">
        <v>53.67</v>
      </c>
      <c r="CL83" t="s">
        <v>97</v>
      </c>
      <c r="CM83" t="s">
        <v>97</v>
      </c>
      <c r="CN83" t="s">
        <v>97</v>
      </c>
      <c r="CO83" t="s">
        <v>97</v>
      </c>
      <c r="CP83" t="s">
        <v>97</v>
      </c>
      <c r="CQ83" t="s">
        <v>97</v>
      </c>
      <c r="CR83" t="s">
        <v>97</v>
      </c>
      <c r="CS83">
        <v>8</v>
      </c>
      <c r="CT83">
        <v>0</v>
      </c>
      <c r="CU83">
        <v>0</v>
      </c>
      <c r="CV83">
        <v>8</v>
      </c>
      <c r="CW83">
        <v>0</v>
      </c>
      <c r="CX83">
        <v>8</v>
      </c>
      <c r="CY83">
        <v>0</v>
      </c>
      <c r="CZ83">
        <v>8</v>
      </c>
      <c r="DA83" t="s">
        <v>107</v>
      </c>
      <c r="DB83" t="s">
        <v>107</v>
      </c>
      <c r="DC83">
        <v>324</v>
      </c>
      <c r="DD83">
        <v>0</v>
      </c>
      <c r="DE83">
        <v>3.3000000000000002E-2</v>
      </c>
      <c r="DF83" t="s">
        <v>97</v>
      </c>
      <c r="DG83" t="s">
        <v>97</v>
      </c>
    </row>
    <row r="84" spans="1:111" x14ac:dyDescent="0.2">
      <c r="A84">
        <v>2025</v>
      </c>
      <c r="B84" s="1">
        <v>45930</v>
      </c>
      <c r="C84" t="s">
        <v>95</v>
      </c>
      <c r="D84">
        <v>605483</v>
      </c>
      <c r="E84">
        <v>682829</v>
      </c>
      <c r="F84">
        <v>2</v>
      </c>
      <c r="G84">
        <v>2</v>
      </c>
      <c r="H84">
        <v>7</v>
      </c>
      <c r="I84" t="s">
        <v>96</v>
      </c>
      <c r="J84">
        <v>55</v>
      </c>
      <c r="K84">
        <v>5</v>
      </c>
      <c r="L84" t="s">
        <v>97</v>
      </c>
      <c r="M84" t="s">
        <v>132</v>
      </c>
      <c r="N84" t="s">
        <v>133</v>
      </c>
      <c r="O84">
        <f t="shared" si="16"/>
        <v>0</v>
      </c>
      <c r="P84">
        <f t="shared" si="17"/>
        <v>0</v>
      </c>
      <c r="Q84">
        <f t="shared" si="18"/>
        <v>0</v>
      </c>
      <c r="R84">
        <f t="shared" si="19"/>
        <v>0</v>
      </c>
      <c r="S84">
        <f t="shared" si="20"/>
        <v>0</v>
      </c>
      <c r="T84">
        <f t="shared" si="21"/>
        <v>0</v>
      </c>
      <c r="U84">
        <f t="shared" si="22"/>
        <v>0</v>
      </c>
      <c r="V84">
        <f t="shared" si="23"/>
        <v>0</v>
      </c>
      <c r="W84">
        <f t="shared" si="24"/>
        <v>1</v>
      </c>
      <c r="X84">
        <f t="shared" si="25"/>
        <v>0</v>
      </c>
      <c r="Y84">
        <f t="shared" si="26"/>
        <v>0</v>
      </c>
      <c r="Z84">
        <f t="shared" si="27"/>
        <v>0</v>
      </c>
      <c r="AA84">
        <f t="shared" si="28"/>
        <v>0</v>
      </c>
      <c r="AB84">
        <f t="shared" si="29"/>
        <v>0</v>
      </c>
      <c r="AC84">
        <f t="shared" si="30"/>
        <v>0</v>
      </c>
      <c r="AD84">
        <f t="shared" si="31"/>
        <v>0</v>
      </c>
      <c r="AE84">
        <v>84.6</v>
      </c>
      <c r="AF84">
        <v>2.2200000000000002</v>
      </c>
      <c r="AG84">
        <v>6.29</v>
      </c>
      <c r="AH84" t="s">
        <v>100</v>
      </c>
      <c r="AI84" t="s">
        <v>97</v>
      </c>
      <c r="AJ84" t="s">
        <v>97</v>
      </c>
      <c r="AK84" t="s">
        <v>97</v>
      </c>
      <c r="AL84" t="s">
        <v>97</v>
      </c>
      <c r="AM84">
        <v>13</v>
      </c>
      <c r="AN84" t="s">
        <v>101</v>
      </c>
      <c r="AO84" t="s">
        <v>102</v>
      </c>
      <c r="AP84" t="s">
        <v>122</v>
      </c>
      <c r="AQ84" t="s">
        <v>103</v>
      </c>
      <c r="AR84" t="s">
        <v>104</v>
      </c>
      <c r="AS84" t="s">
        <v>105</v>
      </c>
      <c r="AT84" t="s">
        <v>106</v>
      </c>
      <c r="AU84" t="s">
        <v>97</v>
      </c>
      <c r="AV84" t="s">
        <v>97</v>
      </c>
      <c r="AW84">
        <v>1.04</v>
      </c>
      <c r="AX84">
        <v>0.86</v>
      </c>
      <c r="AY84">
        <v>-0.11</v>
      </c>
      <c r="AZ84">
        <v>1.3</v>
      </c>
      <c r="BA84">
        <v>669720</v>
      </c>
      <c r="BB84" t="s">
        <v>97</v>
      </c>
      <c r="BC84">
        <v>668715</v>
      </c>
      <c r="BD84">
        <v>1</v>
      </c>
      <c r="BE84" t="s">
        <v>97</v>
      </c>
      <c r="BF84" t="s">
        <v>97</v>
      </c>
      <c r="BG84" t="s">
        <v>97</v>
      </c>
      <c r="BH84" t="s">
        <v>97</v>
      </c>
      <c r="BI84">
        <v>666163</v>
      </c>
      <c r="BJ84">
        <v>666163</v>
      </c>
      <c r="BK84" t="s">
        <v>97</v>
      </c>
      <c r="BL84" t="s">
        <v>97</v>
      </c>
      <c r="BM84">
        <v>-7.6115284550000002</v>
      </c>
      <c r="BN84">
        <v>-122.86181569999999</v>
      </c>
      <c r="BO84">
        <v>-7.0765067950000002</v>
      </c>
      <c r="BP84">
        <v>12.05418854</v>
      </c>
      <c r="BQ84">
        <v>23.65309697</v>
      </c>
      <c r="BR84">
        <v>-22.236454550000001</v>
      </c>
      <c r="BS84">
        <v>3.71</v>
      </c>
      <c r="BT84">
        <v>1.88</v>
      </c>
      <c r="BU84" t="s">
        <v>97</v>
      </c>
      <c r="BV84" t="s">
        <v>97</v>
      </c>
      <c r="BW84" t="s">
        <v>97</v>
      </c>
      <c r="BX84">
        <v>85.6</v>
      </c>
      <c r="BY84">
        <v>1823</v>
      </c>
      <c r="BZ84">
        <v>7</v>
      </c>
      <c r="CA84">
        <v>813069</v>
      </c>
      <c r="CB84">
        <v>666163</v>
      </c>
      <c r="CC84">
        <v>666163</v>
      </c>
      <c r="CD84">
        <v>518692</v>
      </c>
      <c r="CE84">
        <v>500743</v>
      </c>
      <c r="CF84">
        <v>571970</v>
      </c>
      <c r="CG84">
        <v>605141</v>
      </c>
      <c r="CH84">
        <v>571771</v>
      </c>
      <c r="CI84">
        <v>681624</v>
      </c>
      <c r="CJ84">
        <v>606192</v>
      </c>
      <c r="CK84">
        <v>53.55</v>
      </c>
      <c r="CL84" t="s">
        <v>97</v>
      </c>
      <c r="CM84" t="s">
        <v>97</v>
      </c>
      <c r="CN84" t="s">
        <v>97</v>
      </c>
      <c r="CO84" t="s">
        <v>97</v>
      </c>
      <c r="CP84" t="s">
        <v>97</v>
      </c>
      <c r="CQ84" t="s">
        <v>97</v>
      </c>
      <c r="CR84" t="s">
        <v>97</v>
      </c>
      <c r="CS84">
        <v>8</v>
      </c>
      <c r="CT84">
        <v>0</v>
      </c>
      <c r="CU84">
        <v>0</v>
      </c>
      <c r="CV84">
        <v>8</v>
      </c>
      <c r="CW84">
        <v>0</v>
      </c>
      <c r="CX84">
        <v>8</v>
      </c>
      <c r="CY84">
        <v>0</v>
      </c>
      <c r="CZ84">
        <v>8</v>
      </c>
      <c r="DA84" t="s">
        <v>107</v>
      </c>
      <c r="DB84" t="s">
        <v>107</v>
      </c>
      <c r="DC84">
        <v>128</v>
      </c>
      <c r="DD84">
        <v>0</v>
      </c>
      <c r="DE84">
        <v>5.1999999999999998E-2</v>
      </c>
      <c r="DF84" t="s">
        <v>97</v>
      </c>
      <c r="DG84" t="s">
        <v>97</v>
      </c>
    </row>
    <row r="85" spans="1:111" x14ac:dyDescent="0.2">
      <c r="A85">
        <v>2025</v>
      </c>
      <c r="B85" s="1">
        <v>45930</v>
      </c>
      <c r="C85" t="s">
        <v>95</v>
      </c>
      <c r="D85">
        <v>605483</v>
      </c>
      <c r="E85">
        <v>682829</v>
      </c>
      <c r="F85">
        <v>3</v>
      </c>
      <c r="G85">
        <v>2</v>
      </c>
      <c r="H85">
        <v>7</v>
      </c>
      <c r="I85" t="s">
        <v>96</v>
      </c>
      <c r="J85">
        <v>55</v>
      </c>
      <c r="K85">
        <v>6</v>
      </c>
      <c r="L85" t="s">
        <v>159</v>
      </c>
      <c r="M85" t="s">
        <v>132</v>
      </c>
      <c r="N85" t="s">
        <v>133</v>
      </c>
      <c r="O85">
        <f t="shared" si="16"/>
        <v>0</v>
      </c>
      <c r="P85">
        <f t="shared" si="17"/>
        <v>0</v>
      </c>
      <c r="Q85">
        <f t="shared" si="18"/>
        <v>0</v>
      </c>
      <c r="R85">
        <f t="shared" si="19"/>
        <v>0</v>
      </c>
      <c r="S85">
        <f t="shared" si="20"/>
        <v>0</v>
      </c>
      <c r="T85">
        <f t="shared" si="21"/>
        <v>0</v>
      </c>
      <c r="U85">
        <f t="shared" si="22"/>
        <v>0</v>
      </c>
      <c r="V85">
        <f t="shared" si="23"/>
        <v>0</v>
      </c>
      <c r="W85">
        <f t="shared" si="24"/>
        <v>1</v>
      </c>
      <c r="X85">
        <f t="shared" si="25"/>
        <v>0</v>
      </c>
      <c r="Y85">
        <f t="shared" si="26"/>
        <v>0</v>
      </c>
      <c r="Z85">
        <f t="shared" si="27"/>
        <v>0</v>
      </c>
      <c r="AA85">
        <f t="shared" si="28"/>
        <v>0</v>
      </c>
      <c r="AB85">
        <f t="shared" si="29"/>
        <v>0</v>
      </c>
      <c r="AC85">
        <f t="shared" si="30"/>
        <v>0</v>
      </c>
      <c r="AD85">
        <f t="shared" si="31"/>
        <v>0</v>
      </c>
      <c r="AE85">
        <v>86.6</v>
      </c>
      <c r="AF85">
        <v>2.3199999999999998</v>
      </c>
      <c r="AG85">
        <v>6.34</v>
      </c>
      <c r="AH85" t="s">
        <v>120</v>
      </c>
      <c r="AI85" t="s">
        <v>97</v>
      </c>
      <c r="AJ85" t="s">
        <v>97</v>
      </c>
      <c r="AK85" t="s">
        <v>97</v>
      </c>
      <c r="AL85" t="s">
        <v>97</v>
      </c>
      <c r="AM85">
        <v>14</v>
      </c>
      <c r="AN85" t="s">
        <v>160</v>
      </c>
      <c r="AO85" t="s">
        <v>102</v>
      </c>
      <c r="AP85" t="s">
        <v>122</v>
      </c>
      <c r="AQ85" t="s">
        <v>103</v>
      </c>
      <c r="AR85" t="s">
        <v>104</v>
      </c>
      <c r="AS85" t="s">
        <v>105</v>
      </c>
      <c r="AT85" t="s">
        <v>123</v>
      </c>
      <c r="AU85">
        <v>6</v>
      </c>
      <c r="AV85" t="s">
        <v>127</v>
      </c>
      <c r="AW85">
        <v>1.1200000000000001</v>
      </c>
      <c r="AX85">
        <v>0.86</v>
      </c>
      <c r="AY85">
        <v>1.0900000000000001</v>
      </c>
      <c r="AZ85">
        <v>2.33</v>
      </c>
      <c r="BA85">
        <v>669720</v>
      </c>
      <c r="BB85" t="s">
        <v>97</v>
      </c>
      <c r="BC85">
        <v>668715</v>
      </c>
      <c r="BD85">
        <v>1</v>
      </c>
      <c r="BE85">
        <v>112.19</v>
      </c>
      <c r="BF85">
        <v>155.06</v>
      </c>
      <c r="BG85" t="s">
        <v>97</v>
      </c>
      <c r="BH85" t="s">
        <v>97</v>
      </c>
      <c r="BI85">
        <v>666163</v>
      </c>
      <c r="BJ85">
        <v>666163</v>
      </c>
      <c r="BK85" t="s">
        <v>97</v>
      </c>
      <c r="BL85" t="s">
        <v>97</v>
      </c>
      <c r="BM85">
        <v>-5.2634125039999997</v>
      </c>
      <c r="BN85">
        <v>-126.05528870000001</v>
      </c>
      <c r="BO85">
        <v>-5.1999948480000002</v>
      </c>
      <c r="BP85">
        <v>12.999386619999999</v>
      </c>
      <c r="BQ85">
        <v>24.637852380000002</v>
      </c>
      <c r="BR85">
        <v>-22.142172819999999</v>
      </c>
      <c r="BS85">
        <v>3.65</v>
      </c>
      <c r="BT85">
        <v>1.74</v>
      </c>
      <c r="BU85">
        <v>9</v>
      </c>
      <c r="BV85">
        <v>82.2</v>
      </c>
      <c r="BW85">
        <v>-15</v>
      </c>
      <c r="BX85">
        <v>87.5</v>
      </c>
      <c r="BY85">
        <v>1780</v>
      </c>
      <c r="BZ85">
        <v>6.8</v>
      </c>
      <c r="CA85">
        <v>813069</v>
      </c>
      <c r="CB85">
        <v>666163</v>
      </c>
      <c r="CC85">
        <v>666163</v>
      </c>
      <c r="CD85">
        <v>518692</v>
      </c>
      <c r="CE85">
        <v>500743</v>
      </c>
      <c r="CF85">
        <v>571970</v>
      </c>
      <c r="CG85">
        <v>605141</v>
      </c>
      <c r="CH85">
        <v>571771</v>
      </c>
      <c r="CI85">
        <v>681624</v>
      </c>
      <c r="CJ85">
        <v>606192</v>
      </c>
      <c r="CK85">
        <v>53.75</v>
      </c>
      <c r="CL85">
        <v>0.109</v>
      </c>
      <c r="CM85">
        <v>0.14000000000000001</v>
      </c>
      <c r="CN85">
        <v>0</v>
      </c>
      <c r="CO85">
        <v>1</v>
      </c>
      <c r="CP85">
        <v>0</v>
      </c>
      <c r="CQ85">
        <v>0</v>
      </c>
      <c r="CR85">
        <v>2</v>
      </c>
      <c r="CS85">
        <v>8</v>
      </c>
      <c r="CT85">
        <v>0</v>
      </c>
      <c r="CU85">
        <v>0</v>
      </c>
      <c r="CV85">
        <v>8</v>
      </c>
      <c r="CW85">
        <v>1</v>
      </c>
      <c r="CX85">
        <v>8</v>
      </c>
      <c r="CY85">
        <v>1</v>
      </c>
      <c r="CZ85">
        <v>8</v>
      </c>
      <c r="DA85" t="s">
        <v>107</v>
      </c>
      <c r="DB85" t="s">
        <v>107</v>
      </c>
      <c r="DC85">
        <v>131</v>
      </c>
      <c r="DD85">
        <v>2E-3</v>
      </c>
      <c r="DE85">
        <v>-0.28799999999999998</v>
      </c>
      <c r="DF85">
        <v>73.900000000000006</v>
      </c>
      <c r="DG85">
        <v>7.4</v>
      </c>
    </row>
    <row r="86" spans="1:111" x14ac:dyDescent="0.2">
      <c r="A86">
        <v>2025</v>
      </c>
      <c r="B86" s="1">
        <v>45930</v>
      </c>
      <c r="C86" t="s">
        <v>95</v>
      </c>
      <c r="D86">
        <v>605483</v>
      </c>
      <c r="E86">
        <v>663886</v>
      </c>
      <c r="F86">
        <v>0</v>
      </c>
      <c r="G86">
        <v>0</v>
      </c>
      <c r="H86">
        <v>7</v>
      </c>
      <c r="I86" t="s">
        <v>96</v>
      </c>
      <c r="J86">
        <v>56</v>
      </c>
      <c r="K86">
        <v>1</v>
      </c>
      <c r="L86" t="s">
        <v>97</v>
      </c>
      <c r="M86" t="s">
        <v>132</v>
      </c>
      <c r="N86" t="s">
        <v>133</v>
      </c>
      <c r="O86">
        <f t="shared" si="16"/>
        <v>0</v>
      </c>
      <c r="P86">
        <f t="shared" si="17"/>
        <v>0</v>
      </c>
      <c r="Q86">
        <f t="shared" si="18"/>
        <v>0</v>
      </c>
      <c r="R86">
        <f t="shared" si="19"/>
        <v>0</v>
      </c>
      <c r="S86">
        <f t="shared" si="20"/>
        <v>0</v>
      </c>
      <c r="T86">
        <f t="shared" si="21"/>
        <v>0</v>
      </c>
      <c r="U86">
        <f t="shared" si="22"/>
        <v>0</v>
      </c>
      <c r="V86">
        <f t="shared" si="23"/>
        <v>0</v>
      </c>
      <c r="W86">
        <f t="shared" si="24"/>
        <v>0</v>
      </c>
      <c r="X86">
        <f t="shared" si="25"/>
        <v>0</v>
      </c>
      <c r="Y86">
        <f t="shared" si="26"/>
        <v>0</v>
      </c>
      <c r="Z86">
        <f t="shared" si="27"/>
        <v>1</v>
      </c>
      <c r="AA86">
        <f t="shared" si="28"/>
        <v>0</v>
      </c>
      <c r="AB86">
        <f t="shared" si="29"/>
        <v>0</v>
      </c>
      <c r="AC86">
        <f t="shared" si="30"/>
        <v>0</v>
      </c>
      <c r="AD86">
        <f t="shared" si="31"/>
        <v>0</v>
      </c>
      <c r="AE86">
        <v>87</v>
      </c>
      <c r="AF86">
        <v>2.35</v>
      </c>
      <c r="AG86">
        <v>6.3</v>
      </c>
      <c r="AH86" t="s">
        <v>108</v>
      </c>
      <c r="AI86" t="s">
        <v>97</v>
      </c>
      <c r="AJ86" t="s">
        <v>97</v>
      </c>
      <c r="AK86" t="s">
        <v>97</v>
      </c>
      <c r="AL86" t="s">
        <v>97</v>
      </c>
      <c r="AM86">
        <v>9</v>
      </c>
      <c r="AN86" t="s">
        <v>109</v>
      </c>
      <c r="AO86" t="s">
        <v>102</v>
      </c>
      <c r="AP86" t="s">
        <v>122</v>
      </c>
      <c r="AQ86" t="s">
        <v>103</v>
      </c>
      <c r="AR86" t="s">
        <v>104</v>
      </c>
      <c r="AS86" t="s">
        <v>105</v>
      </c>
      <c r="AT86" t="s">
        <v>110</v>
      </c>
      <c r="AU86" t="s">
        <v>97</v>
      </c>
      <c r="AV86" t="s">
        <v>97</v>
      </c>
      <c r="AW86">
        <v>1.17</v>
      </c>
      <c r="AX86">
        <v>0.74</v>
      </c>
      <c r="AY86">
        <v>0.35</v>
      </c>
      <c r="AZ86">
        <v>1.51</v>
      </c>
      <c r="BA86" t="s">
        <v>97</v>
      </c>
      <c r="BB86" t="s">
        <v>97</v>
      </c>
      <c r="BC86">
        <v>682829</v>
      </c>
      <c r="BD86">
        <v>2</v>
      </c>
      <c r="BE86" t="s">
        <v>97</v>
      </c>
      <c r="BF86" t="s">
        <v>97</v>
      </c>
      <c r="BG86" t="s">
        <v>97</v>
      </c>
      <c r="BH86" t="s">
        <v>97</v>
      </c>
      <c r="BI86">
        <v>666163</v>
      </c>
      <c r="BJ86">
        <v>666163</v>
      </c>
      <c r="BK86" t="s">
        <v>97</v>
      </c>
      <c r="BL86" t="s">
        <v>97</v>
      </c>
      <c r="BM86">
        <v>-7.2769005819999997</v>
      </c>
      <c r="BN86">
        <v>-126.3123992</v>
      </c>
      <c r="BO86">
        <v>-6.8627916369999999</v>
      </c>
      <c r="BP86">
        <v>13.9753916</v>
      </c>
      <c r="BQ86">
        <v>25.912352179999999</v>
      </c>
      <c r="BR86">
        <v>-23.033982269999999</v>
      </c>
      <c r="BS86">
        <v>3.35</v>
      </c>
      <c r="BT86">
        <v>1.53</v>
      </c>
      <c r="BU86" t="s">
        <v>97</v>
      </c>
      <c r="BV86" t="s">
        <v>97</v>
      </c>
      <c r="BW86" t="s">
        <v>97</v>
      </c>
      <c r="BX86">
        <v>87.8</v>
      </c>
      <c r="BY86">
        <v>1836</v>
      </c>
      <c r="BZ86">
        <v>6.9</v>
      </c>
      <c r="CA86">
        <v>813069</v>
      </c>
      <c r="CB86">
        <v>666163</v>
      </c>
      <c r="CC86">
        <v>666163</v>
      </c>
      <c r="CD86">
        <v>518692</v>
      </c>
      <c r="CE86">
        <v>500743</v>
      </c>
      <c r="CF86">
        <v>571970</v>
      </c>
      <c r="CG86">
        <v>605141</v>
      </c>
      <c r="CH86">
        <v>571771</v>
      </c>
      <c r="CI86">
        <v>681624</v>
      </c>
      <c r="CJ86">
        <v>606192</v>
      </c>
      <c r="CK86">
        <v>53.56</v>
      </c>
      <c r="CL86" t="s">
        <v>97</v>
      </c>
      <c r="CM86" t="s">
        <v>97</v>
      </c>
      <c r="CN86" t="s">
        <v>97</v>
      </c>
      <c r="CO86" t="s">
        <v>97</v>
      </c>
      <c r="CP86" t="s">
        <v>97</v>
      </c>
      <c r="CQ86" t="s">
        <v>97</v>
      </c>
      <c r="CR86" t="s">
        <v>97</v>
      </c>
      <c r="CS86">
        <v>8</v>
      </c>
      <c r="CT86">
        <v>1</v>
      </c>
      <c r="CU86">
        <v>1</v>
      </c>
      <c r="CV86">
        <v>8</v>
      </c>
      <c r="CW86">
        <v>1</v>
      </c>
      <c r="CX86">
        <v>8</v>
      </c>
      <c r="CY86">
        <v>1</v>
      </c>
      <c r="CZ86">
        <v>8</v>
      </c>
      <c r="DA86" t="s">
        <v>107</v>
      </c>
      <c r="DB86" t="s">
        <v>107</v>
      </c>
      <c r="DC86">
        <v>130</v>
      </c>
      <c r="DD86">
        <v>0</v>
      </c>
      <c r="DE86">
        <v>-4.2000000000000003E-2</v>
      </c>
      <c r="DF86" t="s">
        <v>97</v>
      </c>
      <c r="DG86" t="s">
        <v>97</v>
      </c>
    </row>
    <row r="87" spans="1:111" x14ac:dyDescent="0.2">
      <c r="A87">
        <v>2025</v>
      </c>
      <c r="B87" s="1">
        <v>45930</v>
      </c>
      <c r="C87" t="s">
        <v>95</v>
      </c>
      <c r="D87">
        <v>605483</v>
      </c>
      <c r="E87">
        <v>663886</v>
      </c>
      <c r="F87">
        <v>0</v>
      </c>
      <c r="G87">
        <v>1</v>
      </c>
      <c r="H87">
        <v>7</v>
      </c>
      <c r="I87" t="s">
        <v>96</v>
      </c>
      <c r="J87">
        <v>56</v>
      </c>
      <c r="K87">
        <v>2</v>
      </c>
      <c r="L87" t="s">
        <v>97</v>
      </c>
      <c r="M87" t="s">
        <v>138</v>
      </c>
      <c r="N87" t="s">
        <v>139</v>
      </c>
      <c r="O87">
        <f t="shared" si="16"/>
        <v>0</v>
      </c>
      <c r="P87">
        <f t="shared" si="17"/>
        <v>0</v>
      </c>
      <c r="Q87">
        <f t="shared" si="18"/>
        <v>0</v>
      </c>
      <c r="R87">
        <f t="shared" si="19"/>
        <v>0</v>
      </c>
      <c r="S87">
        <f t="shared" si="20"/>
        <v>0</v>
      </c>
      <c r="T87">
        <f t="shared" si="21"/>
        <v>0</v>
      </c>
      <c r="U87">
        <f t="shared" si="22"/>
        <v>0</v>
      </c>
      <c r="V87">
        <f t="shared" si="23"/>
        <v>0</v>
      </c>
      <c r="W87">
        <f t="shared" si="24"/>
        <v>0</v>
      </c>
      <c r="X87">
        <f t="shared" si="25"/>
        <v>0</v>
      </c>
      <c r="Y87">
        <f t="shared" si="26"/>
        <v>0</v>
      </c>
      <c r="Z87">
        <f t="shared" si="27"/>
        <v>0</v>
      </c>
      <c r="AA87">
        <f t="shared" si="28"/>
        <v>0</v>
      </c>
      <c r="AB87">
        <f t="shared" si="29"/>
        <v>1</v>
      </c>
      <c r="AC87">
        <f t="shared" si="30"/>
        <v>0</v>
      </c>
      <c r="AD87">
        <f t="shared" si="31"/>
        <v>0</v>
      </c>
      <c r="AE87">
        <v>88.3</v>
      </c>
      <c r="AF87">
        <v>2.0699999999999998</v>
      </c>
      <c r="AG87">
        <v>6.49</v>
      </c>
      <c r="AH87" t="s">
        <v>140</v>
      </c>
      <c r="AI87" t="s">
        <v>97</v>
      </c>
      <c r="AJ87" t="s">
        <v>97</v>
      </c>
      <c r="AK87" t="s">
        <v>97</v>
      </c>
      <c r="AL87" t="s">
        <v>97</v>
      </c>
      <c r="AM87">
        <v>13</v>
      </c>
      <c r="AN87" t="s">
        <v>141</v>
      </c>
      <c r="AO87" t="s">
        <v>102</v>
      </c>
      <c r="AP87" t="s">
        <v>122</v>
      </c>
      <c r="AQ87" t="s">
        <v>103</v>
      </c>
      <c r="AR87" t="s">
        <v>104</v>
      </c>
      <c r="AS87" t="s">
        <v>105</v>
      </c>
      <c r="AT87" t="s">
        <v>106</v>
      </c>
      <c r="AU87" t="s">
        <v>97</v>
      </c>
      <c r="AV87" t="s">
        <v>97</v>
      </c>
      <c r="AW87">
        <v>-0.13</v>
      </c>
      <c r="AX87">
        <v>0.54</v>
      </c>
      <c r="AY87">
        <v>-1.1200000000000001</v>
      </c>
      <c r="AZ87">
        <v>0.65</v>
      </c>
      <c r="BA87" t="s">
        <v>97</v>
      </c>
      <c r="BB87" t="s">
        <v>97</v>
      </c>
      <c r="BC87">
        <v>682829</v>
      </c>
      <c r="BD87">
        <v>2</v>
      </c>
      <c r="BE87" t="s">
        <v>97</v>
      </c>
      <c r="BF87" t="s">
        <v>97</v>
      </c>
      <c r="BG87" t="s">
        <v>97</v>
      </c>
      <c r="BH87" t="s">
        <v>97</v>
      </c>
      <c r="BI87">
        <v>666163</v>
      </c>
      <c r="BJ87">
        <v>666163</v>
      </c>
      <c r="BK87" t="s">
        <v>97</v>
      </c>
      <c r="BL87" t="s">
        <v>97</v>
      </c>
      <c r="BM87">
        <v>-7.5255820560000002</v>
      </c>
      <c r="BN87">
        <v>-128.1518413</v>
      </c>
      <c r="BO87">
        <v>-9.2225668810000005</v>
      </c>
      <c r="BP87">
        <v>0.139483777</v>
      </c>
      <c r="BQ87">
        <v>26.727419699999999</v>
      </c>
      <c r="BR87">
        <v>-24.501319179999999</v>
      </c>
      <c r="BS87">
        <v>3.35</v>
      </c>
      <c r="BT87">
        <v>1.53</v>
      </c>
      <c r="BU87" t="s">
        <v>97</v>
      </c>
      <c r="BV87" t="s">
        <v>97</v>
      </c>
      <c r="BW87" t="s">
        <v>97</v>
      </c>
      <c r="BX87">
        <v>88.4</v>
      </c>
      <c r="BY87">
        <v>2347</v>
      </c>
      <c r="BZ87">
        <v>6.5</v>
      </c>
      <c r="CA87">
        <v>813069</v>
      </c>
      <c r="CB87">
        <v>666163</v>
      </c>
      <c r="CC87">
        <v>666163</v>
      </c>
      <c r="CD87">
        <v>518692</v>
      </c>
      <c r="CE87">
        <v>500743</v>
      </c>
      <c r="CF87">
        <v>571970</v>
      </c>
      <c r="CG87">
        <v>605141</v>
      </c>
      <c r="CH87">
        <v>571771</v>
      </c>
      <c r="CI87">
        <v>681624</v>
      </c>
      <c r="CJ87">
        <v>606192</v>
      </c>
      <c r="CK87">
        <v>53.98</v>
      </c>
      <c r="CL87" t="s">
        <v>97</v>
      </c>
      <c r="CM87" t="s">
        <v>97</v>
      </c>
      <c r="CN87" t="s">
        <v>97</v>
      </c>
      <c r="CO87" t="s">
        <v>97</v>
      </c>
      <c r="CP87" t="s">
        <v>97</v>
      </c>
      <c r="CQ87" t="s">
        <v>97</v>
      </c>
      <c r="CR87" t="s">
        <v>97</v>
      </c>
      <c r="CS87">
        <v>8</v>
      </c>
      <c r="CT87">
        <v>1</v>
      </c>
      <c r="CU87">
        <v>1</v>
      </c>
      <c r="CV87">
        <v>8</v>
      </c>
      <c r="CW87">
        <v>1</v>
      </c>
      <c r="CX87">
        <v>8</v>
      </c>
      <c r="CY87">
        <v>1</v>
      </c>
      <c r="CZ87">
        <v>8</v>
      </c>
      <c r="DA87" t="s">
        <v>107</v>
      </c>
      <c r="DB87" t="s">
        <v>107</v>
      </c>
      <c r="DC87">
        <v>161</v>
      </c>
      <c r="DD87">
        <v>0</v>
      </c>
      <c r="DE87">
        <v>2.7E-2</v>
      </c>
      <c r="DF87" t="s">
        <v>97</v>
      </c>
      <c r="DG87" t="s">
        <v>97</v>
      </c>
    </row>
    <row r="88" spans="1:111" x14ac:dyDescent="0.2">
      <c r="A88">
        <v>2025</v>
      </c>
      <c r="B88" s="1">
        <v>45930</v>
      </c>
      <c r="C88" t="s">
        <v>95</v>
      </c>
      <c r="D88">
        <v>605483</v>
      </c>
      <c r="E88">
        <v>663886</v>
      </c>
      <c r="F88">
        <v>1</v>
      </c>
      <c r="G88">
        <v>1</v>
      </c>
      <c r="H88">
        <v>7</v>
      </c>
      <c r="I88" t="s">
        <v>96</v>
      </c>
      <c r="J88">
        <v>56</v>
      </c>
      <c r="K88">
        <v>3</v>
      </c>
      <c r="L88" t="s">
        <v>136</v>
      </c>
      <c r="M88" t="s">
        <v>98</v>
      </c>
      <c r="N88" t="s">
        <v>99</v>
      </c>
      <c r="O88">
        <f t="shared" si="16"/>
        <v>1</v>
      </c>
      <c r="P88">
        <f t="shared" si="17"/>
        <v>0</v>
      </c>
      <c r="Q88">
        <f t="shared" si="18"/>
        <v>0</v>
      </c>
      <c r="R88">
        <f t="shared" si="19"/>
        <v>0</v>
      </c>
      <c r="S88">
        <f t="shared" si="20"/>
        <v>0</v>
      </c>
      <c r="T88">
        <f t="shared" si="21"/>
        <v>0</v>
      </c>
      <c r="U88">
        <f t="shared" si="22"/>
        <v>0</v>
      </c>
      <c r="V88">
        <f t="shared" si="23"/>
        <v>0</v>
      </c>
      <c r="W88">
        <f t="shared" si="24"/>
        <v>0</v>
      </c>
      <c r="X88">
        <f t="shared" si="25"/>
        <v>0</v>
      </c>
      <c r="Y88">
        <f t="shared" si="26"/>
        <v>0</v>
      </c>
      <c r="Z88">
        <f t="shared" si="27"/>
        <v>0</v>
      </c>
      <c r="AA88">
        <f t="shared" si="28"/>
        <v>0</v>
      </c>
      <c r="AB88">
        <f t="shared" si="29"/>
        <v>0</v>
      </c>
      <c r="AC88">
        <f t="shared" si="30"/>
        <v>0</v>
      </c>
      <c r="AD88">
        <f t="shared" si="31"/>
        <v>0</v>
      </c>
      <c r="AE88">
        <v>94.9</v>
      </c>
      <c r="AF88">
        <v>1.84</v>
      </c>
      <c r="AG88">
        <v>6.49</v>
      </c>
      <c r="AH88" t="s">
        <v>120</v>
      </c>
      <c r="AI88" t="s">
        <v>97</v>
      </c>
      <c r="AJ88" t="s">
        <v>97</v>
      </c>
      <c r="AK88" t="s">
        <v>97</v>
      </c>
      <c r="AL88" t="s">
        <v>97</v>
      </c>
      <c r="AM88">
        <v>1</v>
      </c>
      <c r="AN88" t="s">
        <v>161</v>
      </c>
      <c r="AO88" t="s">
        <v>102</v>
      </c>
      <c r="AP88" t="s">
        <v>122</v>
      </c>
      <c r="AQ88" t="s">
        <v>103</v>
      </c>
      <c r="AR88" t="s">
        <v>104</v>
      </c>
      <c r="AS88" t="s">
        <v>105</v>
      </c>
      <c r="AT88" t="s">
        <v>123</v>
      </c>
      <c r="AU88">
        <v>7</v>
      </c>
      <c r="AV88" t="s">
        <v>158</v>
      </c>
      <c r="AW88">
        <v>0.63</v>
      </c>
      <c r="AX88">
        <v>1.36</v>
      </c>
      <c r="AY88">
        <v>-0.51</v>
      </c>
      <c r="AZ88">
        <v>2.96</v>
      </c>
      <c r="BA88" t="s">
        <v>97</v>
      </c>
      <c r="BB88" t="s">
        <v>97</v>
      </c>
      <c r="BC88">
        <v>682829</v>
      </c>
      <c r="BD88">
        <v>2</v>
      </c>
      <c r="BE88">
        <v>57.91</v>
      </c>
      <c r="BF88">
        <v>129.82</v>
      </c>
      <c r="BG88" t="s">
        <v>97</v>
      </c>
      <c r="BH88" t="s">
        <v>97</v>
      </c>
      <c r="BI88">
        <v>666163</v>
      </c>
      <c r="BJ88">
        <v>666163</v>
      </c>
      <c r="BK88" t="s">
        <v>97</v>
      </c>
      <c r="BL88" t="s">
        <v>97</v>
      </c>
      <c r="BM88">
        <v>-7.6350742230000002</v>
      </c>
      <c r="BN88">
        <v>-137.86229</v>
      </c>
      <c r="BO88">
        <v>-6.6899248179999997</v>
      </c>
      <c r="BP88">
        <v>9.7369043420000008</v>
      </c>
      <c r="BQ88">
        <v>29.599659020000001</v>
      </c>
      <c r="BR88">
        <v>-13.465033050000001</v>
      </c>
      <c r="BS88">
        <v>3.3</v>
      </c>
      <c r="BT88">
        <v>1.53</v>
      </c>
      <c r="BU88">
        <v>240</v>
      </c>
      <c r="BV88">
        <v>104.7</v>
      </c>
      <c r="BW88">
        <v>15</v>
      </c>
      <c r="BX88">
        <v>95.7</v>
      </c>
      <c r="BY88">
        <v>2433</v>
      </c>
      <c r="BZ88">
        <v>6.8</v>
      </c>
      <c r="CA88">
        <v>813069</v>
      </c>
      <c r="CB88">
        <v>666163</v>
      </c>
      <c r="CC88">
        <v>666163</v>
      </c>
      <c r="CD88">
        <v>518692</v>
      </c>
      <c r="CE88">
        <v>500743</v>
      </c>
      <c r="CF88">
        <v>571970</v>
      </c>
      <c r="CG88">
        <v>605141</v>
      </c>
      <c r="CH88">
        <v>571771</v>
      </c>
      <c r="CI88">
        <v>681624</v>
      </c>
      <c r="CJ88">
        <v>606192</v>
      </c>
      <c r="CK88">
        <v>53.72</v>
      </c>
      <c r="CL88">
        <v>0.67100000000000004</v>
      </c>
      <c r="CM88">
        <v>0.73399999999999999</v>
      </c>
      <c r="CN88">
        <v>1.25</v>
      </c>
      <c r="CO88">
        <v>1</v>
      </c>
      <c r="CP88">
        <v>1</v>
      </c>
      <c r="CQ88">
        <v>1</v>
      </c>
      <c r="CR88">
        <v>5</v>
      </c>
      <c r="CS88">
        <v>8</v>
      </c>
      <c r="CT88">
        <v>1</v>
      </c>
      <c r="CU88">
        <v>1</v>
      </c>
      <c r="CV88">
        <v>8</v>
      </c>
      <c r="CW88">
        <v>2</v>
      </c>
      <c r="CX88">
        <v>8</v>
      </c>
      <c r="CY88">
        <v>2</v>
      </c>
      <c r="CZ88">
        <v>8</v>
      </c>
      <c r="DA88" t="s">
        <v>107</v>
      </c>
      <c r="DB88" t="s">
        <v>107</v>
      </c>
      <c r="DC88">
        <v>155</v>
      </c>
      <c r="DD88">
        <v>-6.0000000000000001E-3</v>
      </c>
      <c r="DE88">
        <v>0.93200000000000005</v>
      </c>
      <c r="DF88">
        <v>73.3</v>
      </c>
      <c r="DG88">
        <v>7.2</v>
      </c>
    </row>
    <row r="89" spans="1:111" x14ac:dyDescent="0.2">
      <c r="A89">
        <v>2025</v>
      </c>
      <c r="B89" s="1">
        <v>45930</v>
      </c>
      <c r="C89" t="s">
        <v>95</v>
      </c>
      <c r="D89">
        <v>605483</v>
      </c>
      <c r="E89">
        <v>663647</v>
      </c>
      <c r="F89">
        <v>0</v>
      </c>
      <c r="G89">
        <v>0</v>
      </c>
      <c r="H89">
        <v>7</v>
      </c>
      <c r="I89" t="s">
        <v>96</v>
      </c>
      <c r="J89">
        <v>57</v>
      </c>
      <c r="K89">
        <v>1</v>
      </c>
      <c r="L89" t="s">
        <v>97</v>
      </c>
      <c r="M89" t="s">
        <v>98</v>
      </c>
      <c r="N89" t="s">
        <v>99</v>
      </c>
      <c r="O89">
        <f t="shared" si="16"/>
        <v>0</v>
      </c>
      <c r="P89">
        <f t="shared" si="17"/>
        <v>0</v>
      </c>
      <c r="Q89">
        <f t="shared" si="18"/>
        <v>1</v>
      </c>
      <c r="R89">
        <f t="shared" si="19"/>
        <v>0</v>
      </c>
      <c r="S89">
        <f t="shared" si="20"/>
        <v>0</v>
      </c>
      <c r="T89">
        <f t="shared" si="21"/>
        <v>0</v>
      </c>
      <c r="U89">
        <f t="shared" si="22"/>
        <v>0</v>
      </c>
      <c r="V89">
        <f t="shared" si="23"/>
        <v>0</v>
      </c>
      <c r="W89">
        <f t="shared" si="24"/>
        <v>0</v>
      </c>
      <c r="X89">
        <f t="shared" si="25"/>
        <v>0</v>
      </c>
      <c r="Y89">
        <f t="shared" si="26"/>
        <v>0</v>
      </c>
      <c r="Z89">
        <f t="shared" si="27"/>
        <v>0</v>
      </c>
      <c r="AA89">
        <f t="shared" si="28"/>
        <v>0</v>
      </c>
      <c r="AB89">
        <f t="shared" si="29"/>
        <v>0</v>
      </c>
      <c r="AC89">
        <f t="shared" si="30"/>
        <v>0</v>
      </c>
      <c r="AD89">
        <f t="shared" si="31"/>
        <v>0</v>
      </c>
      <c r="AE89">
        <v>97.2</v>
      </c>
      <c r="AF89">
        <v>1.91</v>
      </c>
      <c r="AG89">
        <v>6.59</v>
      </c>
      <c r="AH89" t="s">
        <v>100</v>
      </c>
      <c r="AI89" t="s">
        <v>97</v>
      </c>
      <c r="AJ89" t="s">
        <v>97</v>
      </c>
      <c r="AK89" t="s">
        <v>97</v>
      </c>
      <c r="AL89" t="s">
        <v>97</v>
      </c>
      <c r="AM89">
        <v>12</v>
      </c>
      <c r="AN89" t="s">
        <v>101</v>
      </c>
      <c r="AO89" t="s">
        <v>102</v>
      </c>
      <c r="AP89" t="s">
        <v>122</v>
      </c>
      <c r="AQ89" t="s">
        <v>103</v>
      </c>
      <c r="AR89" t="s">
        <v>104</v>
      </c>
      <c r="AS89" t="s">
        <v>105</v>
      </c>
      <c r="AT89" t="s">
        <v>106</v>
      </c>
      <c r="AU89" t="s">
        <v>97</v>
      </c>
      <c r="AV89" t="s">
        <v>97</v>
      </c>
      <c r="AW89">
        <v>0.28000000000000003</v>
      </c>
      <c r="AX89">
        <v>1.38</v>
      </c>
      <c r="AY89">
        <v>0.53</v>
      </c>
      <c r="AZ89">
        <v>3.75</v>
      </c>
      <c r="BA89" t="s">
        <v>97</v>
      </c>
      <c r="BB89">
        <v>663886</v>
      </c>
      <c r="BC89" t="s">
        <v>97</v>
      </c>
      <c r="BD89">
        <v>2</v>
      </c>
      <c r="BE89" t="s">
        <v>97</v>
      </c>
      <c r="BF89" t="s">
        <v>97</v>
      </c>
      <c r="BG89" t="s">
        <v>97</v>
      </c>
      <c r="BH89" t="s">
        <v>97</v>
      </c>
      <c r="BI89">
        <v>666163</v>
      </c>
      <c r="BJ89">
        <v>666163</v>
      </c>
      <c r="BK89" t="s">
        <v>97</v>
      </c>
      <c r="BL89" t="s">
        <v>97</v>
      </c>
      <c r="BM89">
        <v>-4.3922593640000001</v>
      </c>
      <c r="BN89">
        <v>-141.43914330000001</v>
      </c>
      <c r="BO89">
        <v>-5.2749496489999999</v>
      </c>
      <c r="BP89">
        <v>4.7785190200000001</v>
      </c>
      <c r="BQ89">
        <v>31.47723826</v>
      </c>
      <c r="BR89">
        <v>-12.68510567</v>
      </c>
      <c r="BS89">
        <v>3.25</v>
      </c>
      <c r="BT89">
        <v>1.53</v>
      </c>
      <c r="BU89" t="s">
        <v>97</v>
      </c>
      <c r="BV89" t="s">
        <v>97</v>
      </c>
      <c r="BW89" t="s">
        <v>97</v>
      </c>
      <c r="BX89">
        <v>98</v>
      </c>
      <c r="BY89">
        <v>2515</v>
      </c>
      <c r="BZ89">
        <v>6.7</v>
      </c>
      <c r="CA89">
        <v>813069</v>
      </c>
      <c r="CB89">
        <v>666163</v>
      </c>
      <c r="CC89">
        <v>666163</v>
      </c>
      <c r="CD89">
        <v>518692</v>
      </c>
      <c r="CE89">
        <v>500743</v>
      </c>
      <c r="CF89">
        <v>571970</v>
      </c>
      <c r="CG89">
        <v>605141</v>
      </c>
      <c r="CH89">
        <v>571771</v>
      </c>
      <c r="CI89">
        <v>681624</v>
      </c>
      <c r="CJ89">
        <v>606192</v>
      </c>
      <c r="CK89">
        <v>53.83</v>
      </c>
      <c r="CL89" t="s">
        <v>97</v>
      </c>
      <c r="CM89" t="s">
        <v>97</v>
      </c>
      <c r="CN89" t="s">
        <v>97</v>
      </c>
      <c r="CO89" t="s">
        <v>97</v>
      </c>
      <c r="CP89" t="s">
        <v>97</v>
      </c>
      <c r="CQ89" t="s">
        <v>97</v>
      </c>
      <c r="CR89" t="s">
        <v>97</v>
      </c>
      <c r="CS89">
        <v>8</v>
      </c>
      <c r="CT89">
        <v>2</v>
      </c>
      <c r="CU89">
        <v>2</v>
      </c>
      <c r="CV89">
        <v>8</v>
      </c>
      <c r="CW89">
        <v>2</v>
      </c>
      <c r="CX89">
        <v>8</v>
      </c>
      <c r="CY89">
        <v>2</v>
      </c>
      <c r="CZ89">
        <v>8</v>
      </c>
      <c r="DA89" t="s">
        <v>107</v>
      </c>
      <c r="DB89" t="s">
        <v>107</v>
      </c>
      <c r="DC89">
        <v>157</v>
      </c>
      <c r="DD89">
        <v>0</v>
      </c>
      <c r="DE89">
        <v>1.9E-2</v>
      </c>
      <c r="DF89" t="s">
        <v>97</v>
      </c>
      <c r="DG89" t="s">
        <v>97</v>
      </c>
    </row>
    <row r="90" spans="1:111" x14ac:dyDescent="0.2">
      <c r="A90">
        <v>2025</v>
      </c>
      <c r="B90" s="1">
        <v>45930</v>
      </c>
      <c r="C90" t="s">
        <v>95</v>
      </c>
      <c r="D90">
        <v>605483</v>
      </c>
      <c r="E90">
        <v>663647</v>
      </c>
      <c r="F90">
        <v>1</v>
      </c>
      <c r="G90">
        <v>0</v>
      </c>
      <c r="H90">
        <v>7</v>
      </c>
      <c r="I90" t="s">
        <v>96</v>
      </c>
      <c r="J90">
        <v>57</v>
      </c>
      <c r="K90">
        <v>2</v>
      </c>
      <c r="L90" t="s">
        <v>97</v>
      </c>
      <c r="M90" t="s">
        <v>132</v>
      </c>
      <c r="N90" t="s">
        <v>133</v>
      </c>
      <c r="O90">
        <f t="shared" si="16"/>
        <v>0</v>
      </c>
      <c r="P90">
        <f t="shared" si="17"/>
        <v>0</v>
      </c>
      <c r="Q90">
        <f t="shared" si="18"/>
        <v>0</v>
      </c>
      <c r="R90">
        <f t="shared" si="19"/>
        <v>0</v>
      </c>
      <c r="S90">
        <f t="shared" si="20"/>
        <v>0</v>
      </c>
      <c r="T90">
        <f t="shared" si="21"/>
        <v>0</v>
      </c>
      <c r="U90">
        <f t="shared" si="22"/>
        <v>0</v>
      </c>
      <c r="V90">
        <f t="shared" si="23"/>
        <v>0</v>
      </c>
      <c r="W90">
        <f t="shared" si="24"/>
        <v>1</v>
      </c>
      <c r="X90">
        <f t="shared" si="25"/>
        <v>0</v>
      </c>
      <c r="Y90">
        <f t="shared" si="26"/>
        <v>0</v>
      </c>
      <c r="Z90">
        <f t="shared" si="27"/>
        <v>0</v>
      </c>
      <c r="AA90">
        <f t="shared" si="28"/>
        <v>0</v>
      </c>
      <c r="AB90">
        <f t="shared" si="29"/>
        <v>0</v>
      </c>
      <c r="AC90">
        <f t="shared" si="30"/>
        <v>0</v>
      </c>
      <c r="AD90">
        <f t="shared" si="31"/>
        <v>0</v>
      </c>
      <c r="AE90">
        <v>86.1</v>
      </c>
      <c r="AF90">
        <v>2.39</v>
      </c>
      <c r="AG90">
        <v>6.28</v>
      </c>
      <c r="AH90" t="s">
        <v>100</v>
      </c>
      <c r="AI90" t="s">
        <v>97</v>
      </c>
      <c r="AJ90" t="s">
        <v>97</v>
      </c>
      <c r="AK90" t="s">
        <v>97</v>
      </c>
      <c r="AL90" t="s">
        <v>97</v>
      </c>
      <c r="AM90">
        <v>14</v>
      </c>
      <c r="AN90" t="s">
        <v>101</v>
      </c>
      <c r="AO90" t="s">
        <v>102</v>
      </c>
      <c r="AP90" t="s">
        <v>122</v>
      </c>
      <c r="AQ90" t="s">
        <v>103</v>
      </c>
      <c r="AR90" t="s">
        <v>104</v>
      </c>
      <c r="AS90" t="s">
        <v>105</v>
      </c>
      <c r="AT90" t="s">
        <v>106</v>
      </c>
      <c r="AU90" t="s">
        <v>97</v>
      </c>
      <c r="AV90" t="s">
        <v>97</v>
      </c>
      <c r="AW90">
        <v>1.26</v>
      </c>
      <c r="AX90">
        <v>0.52</v>
      </c>
      <c r="AY90">
        <v>0.71</v>
      </c>
      <c r="AZ90">
        <v>0.86</v>
      </c>
      <c r="BA90" t="s">
        <v>97</v>
      </c>
      <c r="BB90">
        <v>663886</v>
      </c>
      <c r="BC90" t="s">
        <v>97</v>
      </c>
      <c r="BD90">
        <v>2</v>
      </c>
      <c r="BE90" t="s">
        <v>97</v>
      </c>
      <c r="BF90" t="s">
        <v>97</v>
      </c>
      <c r="BG90" t="s">
        <v>97</v>
      </c>
      <c r="BH90" t="s">
        <v>97</v>
      </c>
      <c r="BI90">
        <v>666163</v>
      </c>
      <c r="BJ90">
        <v>666163</v>
      </c>
      <c r="BK90" t="s">
        <v>97</v>
      </c>
      <c r="BL90" t="s">
        <v>97</v>
      </c>
      <c r="BM90">
        <v>-6.5864862029999998</v>
      </c>
      <c r="BN90">
        <v>-125.04008810000001</v>
      </c>
      <c r="BO90">
        <v>-7.7119426899999999</v>
      </c>
      <c r="BP90">
        <v>14.52206735</v>
      </c>
      <c r="BQ90">
        <v>25.645980340000001</v>
      </c>
      <c r="BR90">
        <v>-25.301712980000001</v>
      </c>
      <c r="BS90">
        <v>3.2</v>
      </c>
      <c r="BT90">
        <v>1.53</v>
      </c>
      <c r="BU90" t="s">
        <v>97</v>
      </c>
      <c r="BV90" t="s">
        <v>97</v>
      </c>
      <c r="BW90" t="s">
        <v>97</v>
      </c>
      <c r="BX90">
        <v>86.7</v>
      </c>
      <c r="BY90">
        <v>1660</v>
      </c>
      <c r="BZ90">
        <v>6.8</v>
      </c>
      <c r="CA90">
        <v>813069</v>
      </c>
      <c r="CB90">
        <v>666163</v>
      </c>
      <c r="CC90">
        <v>666163</v>
      </c>
      <c r="CD90">
        <v>518692</v>
      </c>
      <c r="CE90">
        <v>500743</v>
      </c>
      <c r="CF90">
        <v>571970</v>
      </c>
      <c r="CG90">
        <v>605141</v>
      </c>
      <c r="CH90">
        <v>571771</v>
      </c>
      <c r="CI90">
        <v>681624</v>
      </c>
      <c r="CJ90">
        <v>606192</v>
      </c>
      <c r="CK90">
        <v>53.68</v>
      </c>
      <c r="CL90" t="s">
        <v>97</v>
      </c>
      <c r="CM90" t="s">
        <v>97</v>
      </c>
      <c r="CN90" t="s">
        <v>97</v>
      </c>
      <c r="CO90" t="s">
        <v>97</v>
      </c>
      <c r="CP90" t="s">
        <v>97</v>
      </c>
      <c r="CQ90" t="s">
        <v>97</v>
      </c>
      <c r="CR90" t="s">
        <v>97</v>
      </c>
      <c r="CS90">
        <v>8</v>
      </c>
      <c r="CT90">
        <v>2</v>
      </c>
      <c r="CU90">
        <v>2</v>
      </c>
      <c r="CV90">
        <v>8</v>
      </c>
      <c r="CW90">
        <v>2</v>
      </c>
      <c r="CX90">
        <v>8</v>
      </c>
      <c r="CY90">
        <v>2</v>
      </c>
      <c r="CZ90">
        <v>8</v>
      </c>
      <c r="DA90" t="s">
        <v>107</v>
      </c>
      <c r="DB90" t="s">
        <v>107</v>
      </c>
      <c r="DC90">
        <v>130</v>
      </c>
      <c r="DD90">
        <v>0</v>
      </c>
      <c r="DE90">
        <v>2.8000000000000001E-2</v>
      </c>
      <c r="DF90" t="s">
        <v>97</v>
      </c>
      <c r="DG90" t="s">
        <v>97</v>
      </c>
    </row>
    <row r="91" spans="1:111" x14ac:dyDescent="0.2">
      <c r="A91">
        <v>2025</v>
      </c>
      <c r="B91" s="1">
        <v>45930</v>
      </c>
      <c r="C91" t="s">
        <v>95</v>
      </c>
      <c r="D91">
        <v>605483</v>
      </c>
      <c r="E91">
        <v>663647</v>
      </c>
      <c r="F91">
        <v>2</v>
      </c>
      <c r="G91">
        <v>0</v>
      </c>
      <c r="H91">
        <v>7</v>
      </c>
      <c r="I91" t="s">
        <v>96</v>
      </c>
      <c r="J91">
        <v>57</v>
      </c>
      <c r="K91">
        <v>3</v>
      </c>
      <c r="L91" t="s">
        <v>97</v>
      </c>
      <c r="M91" t="s">
        <v>132</v>
      </c>
      <c r="N91" t="s">
        <v>133</v>
      </c>
      <c r="O91">
        <f t="shared" si="16"/>
        <v>0</v>
      </c>
      <c r="P91">
        <f t="shared" si="17"/>
        <v>0</v>
      </c>
      <c r="Q91">
        <f t="shared" si="18"/>
        <v>0</v>
      </c>
      <c r="R91">
        <f t="shared" si="19"/>
        <v>0</v>
      </c>
      <c r="S91">
        <f t="shared" si="20"/>
        <v>0</v>
      </c>
      <c r="T91">
        <f t="shared" si="21"/>
        <v>0</v>
      </c>
      <c r="U91">
        <f t="shared" si="22"/>
        <v>0</v>
      </c>
      <c r="V91">
        <f t="shared" si="23"/>
        <v>0</v>
      </c>
      <c r="W91">
        <f t="shared" si="24"/>
        <v>1</v>
      </c>
      <c r="X91">
        <f t="shared" si="25"/>
        <v>0</v>
      </c>
      <c r="Y91">
        <f t="shared" si="26"/>
        <v>0</v>
      </c>
      <c r="Z91">
        <f t="shared" si="27"/>
        <v>0</v>
      </c>
      <c r="AA91">
        <f t="shared" si="28"/>
        <v>0</v>
      </c>
      <c r="AB91">
        <f t="shared" si="29"/>
        <v>0</v>
      </c>
      <c r="AC91">
        <f t="shared" si="30"/>
        <v>0</v>
      </c>
      <c r="AD91">
        <f t="shared" si="31"/>
        <v>0</v>
      </c>
      <c r="AE91">
        <v>86.7</v>
      </c>
      <c r="AF91">
        <v>2.35</v>
      </c>
      <c r="AG91">
        <v>6.34</v>
      </c>
      <c r="AH91" t="s">
        <v>113</v>
      </c>
      <c r="AI91" t="s">
        <v>97</v>
      </c>
      <c r="AJ91" t="s">
        <v>97</v>
      </c>
      <c r="AK91" t="s">
        <v>97</v>
      </c>
      <c r="AL91" t="s">
        <v>97</v>
      </c>
      <c r="AM91">
        <v>14</v>
      </c>
      <c r="AN91" t="s">
        <v>114</v>
      </c>
      <c r="AO91" t="s">
        <v>102</v>
      </c>
      <c r="AP91" t="s">
        <v>122</v>
      </c>
      <c r="AQ91" t="s">
        <v>103</v>
      </c>
      <c r="AR91" t="s">
        <v>104</v>
      </c>
      <c r="AS91" t="s">
        <v>105</v>
      </c>
      <c r="AT91" t="s">
        <v>110</v>
      </c>
      <c r="AU91" t="s">
        <v>97</v>
      </c>
      <c r="AV91" t="s">
        <v>97</v>
      </c>
      <c r="AW91">
        <v>1.27</v>
      </c>
      <c r="AX91">
        <v>0.57999999999999996</v>
      </c>
      <c r="AY91">
        <v>1.1200000000000001</v>
      </c>
      <c r="AZ91">
        <v>2.16</v>
      </c>
      <c r="BA91" t="s">
        <v>97</v>
      </c>
      <c r="BB91">
        <v>663886</v>
      </c>
      <c r="BC91" t="s">
        <v>97</v>
      </c>
      <c r="BD91">
        <v>2</v>
      </c>
      <c r="BE91" t="s">
        <v>97</v>
      </c>
      <c r="BF91" t="s">
        <v>97</v>
      </c>
      <c r="BG91" t="s">
        <v>97</v>
      </c>
      <c r="BH91" t="s">
        <v>97</v>
      </c>
      <c r="BI91">
        <v>666163</v>
      </c>
      <c r="BJ91">
        <v>666163</v>
      </c>
      <c r="BK91" t="s">
        <v>97</v>
      </c>
      <c r="BL91" t="s">
        <v>97</v>
      </c>
      <c r="BM91">
        <v>-5.5545959170000003</v>
      </c>
      <c r="BN91">
        <v>-126.1135043</v>
      </c>
      <c r="BO91">
        <v>-5.0227868369999999</v>
      </c>
      <c r="BP91">
        <v>14.708320779999999</v>
      </c>
      <c r="BQ91">
        <v>23.8748887</v>
      </c>
      <c r="BR91">
        <v>-25.207502089999998</v>
      </c>
      <c r="BS91">
        <v>3.28</v>
      </c>
      <c r="BT91">
        <v>1.53</v>
      </c>
      <c r="BU91" t="s">
        <v>97</v>
      </c>
      <c r="BV91" t="s">
        <v>97</v>
      </c>
      <c r="BW91" t="s">
        <v>97</v>
      </c>
      <c r="BX91">
        <v>87.2</v>
      </c>
      <c r="BY91">
        <v>1896</v>
      </c>
      <c r="BZ91">
        <v>6.5</v>
      </c>
      <c r="CA91">
        <v>813069</v>
      </c>
      <c r="CB91">
        <v>666163</v>
      </c>
      <c r="CC91">
        <v>666163</v>
      </c>
      <c r="CD91">
        <v>518692</v>
      </c>
      <c r="CE91">
        <v>500743</v>
      </c>
      <c r="CF91">
        <v>571970</v>
      </c>
      <c r="CG91">
        <v>605141</v>
      </c>
      <c r="CH91">
        <v>571771</v>
      </c>
      <c r="CI91">
        <v>681624</v>
      </c>
      <c r="CJ91">
        <v>606192</v>
      </c>
      <c r="CK91">
        <v>54.02</v>
      </c>
      <c r="CL91" t="s">
        <v>97</v>
      </c>
      <c r="CM91" t="s">
        <v>97</v>
      </c>
      <c r="CN91" t="s">
        <v>97</v>
      </c>
      <c r="CO91" t="s">
        <v>97</v>
      </c>
      <c r="CP91" t="s">
        <v>97</v>
      </c>
      <c r="CQ91" t="s">
        <v>97</v>
      </c>
      <c r="CR91" t="s">
        <v>97</v>
      </c>
      <c r="CS91">
        <v>8</v>
      </c>
      <c r="CT91">
        <v>2</v>
      </c>
      <c r="CU91">
        <v>2</v>
      </c>
      <c r="CV91">
        <v>8</v>
      </c>
      <c r="CW91">
        <v>2</v>
      </c>
      <c r="CX91">
        <v>8</v>
      </c>
      <c r="CY91">
        <v>2</v>
      </c>
      <c r="CZ91">
        <v>8</v>
      </c>
      <c r="DA91" t="s">
        <v>107</v>
      </c>
      <c r="DB91" t="s">
        <v>107</v>
      </c>
      <c r="DC91">
        <v>134</v>
      </c>
      <c r="DD91">
        <v>0</v>
      </c>
      <c r="DE91">
        <v>-5.0999999999999997E-2</v>
      </c>
      <c r="DF91">
        <v>72.8</v>
      </c>
      <c r="DG91">
        <v>8</v>
      </c>
    </row>
    <row r="92" spans="1:111" x14ac:dyDescent="0.2">
      <c r="A92">
        <v>2025</v>
      </c>
      <c r="B92" s="1">
        <v>45930</v>
      </c>
      <c r="C92" t="s">
        <v>95</v>
      </c>
      <c r="D92">
        <v>605483</v>
      </c>
      <c r="E92">
        <v>663647</v>
      </c>
      <c r="F92">
        <v>2</v>
      </c>
      <c r="G92">
        <v>1</v>
      </c>
      <c r="H92">
        <v>7</v>
      </c>
      <c r="I92" t="s">
        <v>96</v>
      </c>
      <c r="J92">
        <v>57</v>
      </c>
      <c r="K92">
        <v>4</v>
      </c>
      <c r="L92" t="s">
        <v>119</v>
      </c>
      <c r="M92" t="s">
        <v>132</v>
      </c>
      <c r="N92" t="s">
        <v>133</v>
      </c>
      <c r="O92">
        <f t="shared" si="16"/>
        <v>0</v>
      </c>
      <c r="P92">
        <f t="shared" si="17"/>
        <v>0</v>
      </c>
      <c r="Q92">
        <f t="shared" si="18"/>
        <v>0</v>
      </c>
      <c r="R92">
        <f t="shared" si="19"/>
        <v>0</v>
      </c>
      <c r="S92">
        <f t="shared" si="20"/>
        <v>0</v>
      </c>
      <c r="T92">
        <f t="shared" si="21"/>
        <v>0</v>
      </c>
      <c r="U92">
        <f t="shared" si="22"/>
        <v>0</v>
      </c>
      <c r="V92">
        <f t="shared" si="23"/>
        <v>0</v>
      </c>
      <c r="W92">
        <f t="shared" si="24"/>
        <v>0</v>
      </c>
      <c r="X92">
        <f t="shared" si="25"/>
        <v>1</v>
      </c>
      <c r="Y92">
        <f t="shared" si="26"/>
        <v>0</v>
      </c>
      <c r="Z92">
        <f t="shared" si="27"/>
        <v>0</v>
      </c>
      <c r="AA92">
        <f t="shared" si="28"/>
        <v>0</v>
      </c>
      <c r="AB92">
        <f t="shared" si="29"/>
        <v>0</v>
      </c>
      <c r="AC92">
        <f t="shared" si="30"/>
        <v>0</v>
      </c>
      <c r="AD92">
        <f t="shared" si="31"/>
        <v>0</v>
      </c>
      <c r="AE92">
        <v>83.9</v>
      </c>
      <c r="AF92">
        <v>2.5099999999999998</v>
      </c>
      <c r="AG92">
        <v>6.34</v>
      </c>
      <c r="AH92" t="s">
        <v>120</v>
      </c>
      <c r="AI92" t="s">
        <v>97</v>
      </c>
      <c r="AJ92" t="s">
        <v>97</v>
      </c>
      <c r="AK92" t="s">
        <v>97</v>
      </c>
      <c r="AL92" t="s">
        <v>97</v>
      </c>
      <c r="AM92">
        <v>6</v>
      </c>
      <c r="AN92" t="s">
        <v>162</v>
      </c>
      <c r="AO92" t="s">
        <v>102</v>
      </c>
      <c r="AP92" t="s">
        <v>122</v>
      </c>
      <c r="AQ92" t="s">
        <v>103</v>
      </c>
      <c r="AR92" t="s">
        <v>104</v>
      </c>
      <c r="AS92" t="s">
        <v>105</v>
      </c>
      <c r="AT92" t="s">
        <v>123</v>
      </c>
      <c r="AU92">
        <v>4</v>
      </c>
      <c r="AV92" t="s">
        <v>127</v>
      </c>
      <c r="AW92">
        <v>1.06</v>
      </c>
      <c r="AX92">
        <v>0.67</v>
      </c>
      <c r="AY92">
        <v>0.72</v>
      </c>
      <c r="AZ92">
        <v>2.3199999999999998</v>
      </c>
      <c r="BA92" t="s">
        <v>97</v>
      </c>
      <c r="BB92">
        <v>663886</v>
      </c>
      <c r="BC92" t="s">
        <v>97</v>
      </c>
      <c r="BD92">
        <v>2</v>
      </c>
      <c r="BE92">
        <v>152.77000000000001</v>
      </c>
      <c r="BF92">
        <v>153.24</v>
      </c>
      <c r="BG92" t="s">
        <v>97</v>
      </c>
      <c r="BH92" t="s">
        <v>97</v>
      </c>
      <c r="BI92">
        <v>666163</v>
      </c>
      <c r="BJ92">
        <v>666163</v>
      </c>
      <c r="BK92" t="s">
        <v>97</v>
      </c>
      <c r="BL92" t="s">
        <v>97</v>
      </c>
      <c r="BM92">
        <v>-6.3202332889999999</v>
      </c>
      <c r="BN92">
        <v>-122.0898437</v>
      </c>
      <c r="BO92">
        <v>-4.2840942980000003</v>
      </c>
      <c r="BP92">
        <v>11.8794614</v>
      </c>
      <c r="BQ92">
        <v>23.42550232</v>
      </c>
      <c r="BR92">
        <v>-24.786515179999999</v>
      </c>
      <c r="BS92">
        <v>3.28</v>
      </c>
      <c r="BT92">
        <v>1.53</v>
      </c>
      <c r="BU92">
        <v>41</v>
      </c>
      <c r="BV92">
        <v>70.8</v>
      </c>
      <c r="BW92">
        <v>1</v>
      </c>
      <c r="BX92">
        <v>84.8</v>
      </c>
      <c r="BY92">
        <v>1778</v>
      </c>
      <c r="BZ92">
        <v>6.8</v>
      </c>
      <c r="CA92">
        <v>813069</v>
      </c>
      <c r="CB92">
        <v>666163</v>
      </c>
      <c r="CC92">
        <v>666163</v>
      </c>
      <c r="CD92">
        <v>518692</v>
      </c>
      <c r="CE92">
        <v>500743</v>
      </c>
      <c r="CF92">
        <v>571970</v>
      </c>
      <c r="CG92">
        <v>605141</v>
      </c>
      <c r="CH92">
        <v>571771</v>
      </c>
      <c r="CI92">
        <v>681624</v>
      </c>
      <c r="CJ92">
        <v>606192</v>
      </c>
      <c r="CK92">
        <v>53.7</v>
      </c>
      <c r="CL92">
        <v>0.12</v>
      </c>
      <c r="CM92">
        <v>0.107</v>
      </c>
      <c r="CN92">
        <v>0</v>
      </c>
      <c r="CO92">
        <v>1</v>
      </c>
      <c r="CP92">
        <v>0</v>
      </c>
      <c r="CQ92">
        <v>0</v>
      </c>
      <c r="CR92">
        <v>2</v>
      </c>
      <c r="CS92">
        <v>8</v>
      </c>
      <c r="CT92">
        <v>2</v>
      </c>
      <c r="CU92">
        <v>2</v>
      </c>
      <c r="CV92">
        <v>8</v>
      </c>
      <c r="CW92">
        <v>2</v>
      </c>
      <c r="CX92">
        <v>8</v>
      </c>
      <c r="CY92">
        <v>2</v>
      </c>
      <c r="CZ92">
        <v>8</v>
      </c>
      <c r="DA92" t="s">
        <v>107</v>
      </c>
      <c r="DB92" t="s">
        <v>107</v>
      </c>
      <c r="DC92">
        <v>127</v>
      </c>
      <c r="DD92">
        <v>4.0000000000000001E-3</v>
      </c>
      <c r="DE92">
        <v>-0.28299999999999997</v>
      </c>
      <c r="DF92">
        <v>74.900000000000006</v>
      </c>
      <c r="DG92">
        <v>7.3</v>
      </c>
    </row>
    <row r="93" spans="1:111" x14ac:dyDescent="0.2">
      <c r="A93">
        <v>2025</v>
      </c>
      <c r="B93" s="1">
        <v>45936</v>
      </c>
      <c r="C93" t="s">
        <v>95</v>
      </c>
      <c r="D93">
        <v>605483</v>
      </c>
      <c r="E93">
        <v>607208</v>
      </c>
      <c r="F93">
        <v>0</v>
      </c>
      <c r="G93">
        <v>0</v>
      </c>
      <c r="H93">
        <v>1</v>
      </c>
      <c r="I93" t="s">
        <v>163</v>
      </c>
      <c r="J93">
        <v>6</v>
      </c>
      <c r="K93">
        <v>1</v>
      </c>
      <c r="L93" t="s">
        <v>97</v>
      </c>
      <c r="M93" t="s">
        <v>98</v>
      </c>
      <c r="N93" t="s">
        <v>99</v>
      </c>
      <c r="O93">
        <f t="shared" si="16"/>
        <v>0</v>
      </c>
      <c r="P93">
        <f t="shared" si="17"/>
        <v>0</v>
      </c>
      <c r="Q93">
        <f t="shared" si="18"/>
        <v>0</v>
      </c>
      <c r="R93">
        <f t="shared" si="19"/>
        <v>1</v>
      </c>
      <c r="S93">
        <f t="shared" si="20"/>
        <v>0</v>
      </c>
      <c r="T93">
        <f t="shared" si="21"/>
        <v>0</v>
      </c>
      <c r="U93">
        <f t="shared" si="22"/>
        <v>0</v>
      </c>
      <c r="V93">
        <f t="shared" si="23"/>
        <v>0</v>
      </c>
      <c r="W93">
        <f t="shared" si="24"/>
        <v>0</v>
      </c>
      <c r="X93">
        <f t="shared" si="25"/>
        <v>0</v>
      </c>
      <c r="Y93">
        <f t="shared" si="26"/>
        <v>0</v>
      </c>
      <c r="Z93">
        <f t="shared" si="27"/>
        <v>0</v>
      </c>
      <c r="AA93">
        <f t="shared" si="28"/>
        <v>0</v>
      </c>
      <c r="AB93">
        <f t="shared" si="29"/>
        <v>0</v>
      </c>
      <c r="AC93">
        <f t="shared" si="30"/>
        <v>0</v>
      </c>
      <c r="AD93">
        <f t="shared" si="31"/>
        <v>0</v>
      </c>
      <c r="AE93">
        <v>96</v>
      </c>
      <c r="AF93">
        <v>1.91</v>
      </c>
      <c r="AG93">
        <v>6.86</v>
      </c>
      <c r="AH93" t="s">
        <v>108</v>
      </c>
      <c r="AI93" t="s">
        <v>97</v>
      </c>
      <c r="AJ93" t="s">
        <v>97</v>
      </c>
      <c r="AK93" t="s">
        <v>97</v>
      </c>
      <c r="AL93" t="s">
        <v>97</v>
      </c>
      <c r="AM93">
        <v>2</v>
      </c>
      <c r="AN93" t="s">
        <v>109</v>
      </c>
      <c r="AO93" t="s">
        <v>164</v>
      </c>
      <c r="AP93" t="s">
        <v>122</v>
      </c>
      <c r="AQ93" t="s">
        <v>103</v>
      </c>
      <c r="AR93" t="s">
        <v>165</v>
      </c>
      <c r="AS93" t="s">
        <v>104</v>
      </c>
      <c r="AT93" t="s">
        <v>110</v>
      </c>
      <c r="AU93" t="s">
        <v>97</v>
      </c>
      <c r="AV93" t="s">
        <v>97</v>
      </c>
      <c r="AW93">
        <v>0.38</v>
      </c>
      <c r="AX93">
        <v>1.72</v>
      </c>
      <c r="AY93">
        <v>-0.01</v>
      </c>
      <c r="AZ93">
        <v>3.18</v>
      </c>
      <c r="BA93" t="s">
        <v>97</v>
      </c>
      <c r="BB93" t="s">
        <v>97</v>
      </c>
      <c r="BC93" t="s">
        <v>97</v>
      </c>
      <c r="BD93">
        <v>0</v>
      </c>
      <c r="BE93" t="s">
        <v>97</v>
      </c>
      <c r="BF93" t="s">
        <v>97</v>
      </c>
      <c r="BG93" t="s">
        <v>97</v>
      </c>
      <c r="BH93" t="s">
        <v>97</v>
      </c>
      <c r="BI93">
        <v>666163</v>
      </c>
      <c r="BJ93">
        <v>666163</v>
      </c>
      <c r="BK93" t="s">
        <v>97</v>
      </c>
      <c r="BL93" t="s">
        <v>97</v>
      </c>
      <c r="BM93">
        <v>-5.9692937390000003</v>
      </c>
      <c r="BN93">
        <v>-139.42429469999999</v>
      </c>
      <c r="BO93">
        <v>-8.0404836119999992</v>
      </c>
      <c r="BP93">
        <v>6.4037129080000001</v>
      </c>
      <c r="BQ93">
        <v>32.735352740000003</v>
      </c>
      <c r="BR93">
        <v>-8.1407295889999993</v>
      </c>
      <c r="BS93">
        <v>3.59</v>
      </c>
      <c r="BT93">
        <v>1.79</v>
      </c>
      <c r="BU93" t="s">
        <v>97</v>
      </c>
      <c r="BV93" t="s">
        <v>97</v>
      </c>
      <c r="BW93" t="s">
        <v>97</v>
      </c>
      <c r="BX93">
        <v>96.1</v>
      </c>
      <c r="BY93">
        <v>2495</v>
      </c>
      <c r="BZ93">
        <v>6.6</v>
      </c>
      <c r="CA93">
        <v>813052</v>
      </c>
      <c r="CB93">
        <v>666163</v>
      </c>
      <c r="CC93">
        <v>666163</v>
      </c>
      <c r="CD93">
        <v>518692</v>
      </c>
      <c r="CE93">
        <v>669242</v>
      </c>
      <c r="CF93">
        <v>500743</v>
      </c>
      <c r="CG93">
        <v>605141</v>
      </c>
      <c r="CH93">
        <v>571771</v>
      </c>
      <c r="CI93">
        <v>681624</v>
      </c>
      <c r="CJ93">
        <v>606192</v>
      </c>
      <c r="CK93">
        <v>53.93</v>
      </c>
      <c r="CL93" t="s">
        <v>97</v>
      </c>
      <c r="CM93" t="s">
        <v>97</v>
      </c>
      <c r="CN93" t="s">
        <v>97</v>
      </c>
      <c r="CO93" t="s">
        <v>97</v>
      </c>
      <c r="CP93" t="s">
        <v>97</v>
      </c>
      <c r="CQ93" t="s">
        <v>97</v>
      </c>
      <c r="CR93" t="s">
        <v>97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 t="s">
        <v>107</v>
      </c>
      <c r="DB93" t="s">
        <v>107</v>
      </c>
      <c r="DC93">
        <v>160</v>
      </c>
      <c r="DD93">
        <v>0</v>
      </c>
      <c r="DE93">
        <v>-3.9E-2</v>
      </c>
      <c r="DF93" t="s">
        <v>97</v>
      </c>
      <c r="DG93" t="s">
        <v>97</v>
      </c>
    </row>
    <row r="94" spans="1:111" x14ac:dyDescent="0.2">
      <c r="A94">
        <v>2025</v>
      </c>
      <c r="B94" s="1">
        <v>45936</v>
      </c>
      <c r="C94" t="s">
        <v>95</v>
      </c>
      <c r="D94">
        <v>605483</v>
      </c>
      <c r="E94">
        <v>607208</v>
      </c>
      <c r="F94">
        <v>0</v>
      </c>
      <c r="G94">
        <v>1</v>
      </c>
      <c r="H94">
        <v>1</v>
      </c>
      <c r="I94" t="s">
        <v>163</v>
      </c>
      <c r="J94">
        <v>6</v>
      </c>
      <c r="K94">
        <v>2</v>
      </c>
      <c r="L94" t="s">
        <v>97</v>
      </c>
      <c r="M94" t="s">
        <v>138</v>
      </c>
      <c r="N94" t="s">
        <v>139</v>
      </c>
      <c r="O94">
        <f t="shared" si="16"/>
        <v>0</v>
      </c>
      <c r="P94">
        <f t="shared" si="17"/>
        <v>0</v>
      </c>
      <c r="Q94">
        <f t="shared" si="18"/>
        <v>0</v>
      </c>
      <c r="R94">
        <f t="shared" si="19"/>
        <v>0</v>
      </c>
      <c r="S94">
        <f t="shared" si="20"/>
        <v>0</v>
      </c>
      <c r="T94">
        <f t="shared" si="21"/>
        <v>0</v>
      </c>
      <c r="U94">
        <f t="shared" si="22"/>
        <v>0</v>
      </c>
      <c r="V94">
        <f t="shared" si="23"/>
        <v>0</v>
      </c>
      <c r="W94">
        <f t="shared" si="24"/>
        <v>0</v>
      </c>
      <c r="X94">
        <f t="shared" si="25"/>
        <v>0</v>
      </c>
      <c r="Y94">
        <f t="shared" si="26"/>
        <v>0</v>
      </c>
      <c r="Z94">
        <f t="shared" si="27"/>
        <v>0</v>
      </c>
      <c r="AA94">
        <f t="shared" si="28"/>
        <v>0</v>
      </c>
      <c r="AB94">
        <f t="shared" si="29"/>
        <v>0</v>
      </c>
      <c r="AC94">
        <f t="shared" si="30"/>
        <v>1</v>
      </c>
      <c r="AD94">
        <f t="shared" si="31"/>
        <v>0</v>
      </c>
      <c r="AE94">
        <v>88.1</v>
      </c>
      <c r="AF94">
        <v>1.97</v>
      </c>
      <c r="AG94">
        <v>6.79</v>
      </c>
      <c r="AH94" t="s">
        <v>113</v>
      </c>
      <c r="AI94" t="s">
        <v>97</v>
      </c>
      <c r="AJ94" t="s">
        <v>97</v>
      </c>
      <c r="AK94" t="s">
        <v>97</v>
      </c>
      <c r="AL94" t="s">
        <v>97</v>
      </c>
      <c r="AM94">
        <v>4</v>
      </c>
      <c r="AN94" t="s">
        <v>114</v>
      </c>
      <c r="AO94" t="s">
        <v>164</v>
      </c>
      <c r="AP94" t="s">
        <v>122</v>
      </c>
      <c r="AQ94" t="s">
        <v>103</v>
      </c>
      <c r="AR94" t="s">
        <v>165</v>
      </c>
      <c r="AS94" t="s">
        <v>104</v>
      </c>
      <c r="AT94" t="s">
        <v>110</v>
      </c>
      <c r="AU94" t="s">
        <v>97</v>
      </c>
      <c r="AV94" t="s">
        <v>97</v>
      </c>
      <c r="AW94">
        <v>-0.35</v>
      </c>
      <c r="AX94">
        <v>0.59</v>
      </c>
      <c r="AY94">
        <v>-0.75</v>
      </c>
      <c r="AZ94">
        <v>2.2599999999999998</v>
      </c>
      <c r="BA94" t="s">
        <v>97</v>
      </c>
      <c r="BB94" t="s">
        <v>97</v>
      </c>
      <c r="BC94" t="s">
        <v>97</v>
      </c>
      <c r="BD94">
        <v>0</v>
      </c>
      <c r="BE94" t="s">
        <v>97</v>
      </c>
      <c r="BF94" t="s">
        <v>97</v>
      </c>
      <c r="BG94" t="s">
        <v>97</v>
      </c>
      <c r="BH94" t="s">
        <v>97</v>
      </c>
      <c r="BI94">
        <v>666163</v>
      </c>
      <c r="BJ94">
        <v>666163</v>
      </c>
      <c r="BK94" t="s">
        <v>97</v>
      </c>
      <c r="BL94" t="s">
        <v>97</v>
      </c>
      <c r="BM94">
        <v>-5.9318336049999996</v>
      </c>
      <c r="BN94">
        <v>-128.16039710000001</v>
      </c>
      <c r="BO94">
        <v>-6.1936539670000004</v>
      </c>
      <c r="BP94">
        <v>-2.6622322359999999</v>
      </c>
      <c r="BQ94">
        <v>25.204675680000001</v>
      </c>
      <c r="BR94">
        <v>-24.66089899</v>
      </c>
      <c r="BS94">
        <v>3.49</v>
      </c>
      <c r="BT94">
        <v>1.69</v>
      </c>
      <c r="BU94" t="s">
        <v>97</v>
      </c>
      <c r="BV94" t="s">
        <v>97</v>
      </c>
      <c r="BW94" t="s">
        <v>97</v>
      </c>
      <c r="BX94">
        <v>89</v>
      </c>
      <c r="BY94">
        <v>2468</v>
      </c>
      <c r="BZ94">
        <v>6.8</v>
      </c>
      <c r="CA94">
        <v>813052</v>
      </c>
      <c r="CB94">
        <v>666163</v>
      </c>
      <c r="CC94">
        <v>666163</v>
      </c>
      <c r="CD94">
        <v>518692</v>
      </c>
      <c r="CE94">
        <v>669242</v>
      </c>
      <c r="CF94">
        <v>500743</v>
      </c>
      <c r="CG94">
        <v>605141</v>
      </c>
      <c r="CH94">
        <v>571771</v>
      </c>
      <c r="CI94">
        <v>681624</v>
      </c>
      <c r="CJ94">
        <v>606192</v>
      </c>
      <c r="CK94">
        <v>53.75</v>
      </c>
      <c r="CL94" t="s">
        <v>97</v>
      </c>
      <c r="CM94" t="s">
        <v>97</v>
      </c>
      <c r="CN94" t="s">
        <v>97</v>
      </c>
      <c r="CO94" t="s">
        <v>97</v>
      </c>
      <c r="CP94" t="s">
        <v>97</v>
      </c>
      <c r="CQ94" t="s">
        <v>97</v>
      </c>
      <c r="CR94" t="s">
        <v>97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 t="s">
        <v>107</v>
      </c>
      <c r="DB94" t="s">
        <v>107</v>
      </c>
      <c r="DC94">
        <v>176</v>
      </c>
      <c r="DD94">
        <v>0</v>
      </c>
      <c r="DE94">
        <v>-5.5E-2</v>
      </c>
      <c r="DF94">
        <v>75.099999999999994</v>
      </c>
      <c r="DG94">
        <v>7.3</v>
      </c>
    </row>
    <row r="95" spans="1:111" x14ac:dyDescent="0.2">
      <c r="A95">
        <v>2025</v>
      </c>
      <c r="B95" s="1">
        <v>45936</v>
      </c>
      <c r="C95" t="s">
        <v>95</v>
      </c>
      <c r="D95">
        <v>605483</v>
      </c>
      <c r="E95">
        <v>607208</v>
      </c>
      <c r="F95">
        <v>0</v>
      </c>
      <c r="G95">
        <v>2</v>
      </c>
      <c r="H95">
        <v>1</v>
      </c>
      <c r="I95" t="s">
        <v>163</v>
      </c>
      <c r="J95">
        <v>6</v>
      </c>
      <c r="K95">
        <v>3</v>
      </c>
      <c r="L95" t="s">
        <v>97</v>
      </c>
      <c r="M95" t="s">
        <v>111</v>
      </c>
      <c r="N95" t="s">
        <v>112</v>
      </c>
      <c r="O95">
        <f t="shared" si="16"/>
        <v>0</v>
      </c>
      <c r="P95">
        <f t="shared" si="17"/>
        <v>0</v>
      </c>
      <c r="Q95">
        <f t="shared" si="18"/>
        <v>0</v>
      </c>
      <c r="R95">
        <f t="shared" si="19"/>
        <v>0</v>
      </c>
      <c r="S95">
        <f t="shared" si="20"/>
        <v>0</v>
      </c>
      <c r="T95">
        <f t="shared" si="21"/>
        <v>1</v>
      </c>
      <c r="U95">
        <f t="shared" si="22"/>
        <v>0</v>
      </c>
      <c r="V95">
        <f t="shared" si="23"/>
        <v>0</v>
      </c>
      <c r="W95">
        <f t="shared" si="24"/>
        <v>0</v>
      </c>
      <c r="X95">
        <f t="shared" si="25"/>
        <v>0</v>
      </c>
      <c r="Y95">
        <f t="shared" si="26"/>
        <v>0</v>
      </c>
      <c r="Z95">
        <f t="shared" si="27"/>
        <v>0</v>
      </c>
      <c r="AA95">
        <f t="shared" si="28"/>
        <v>0</v>
      </c>
      <c r="AB95">
        <f t="shared" si="29"/>
        <v>0</v>
      </c>
      <c r="AC95">
        <f t="shared" si="30"/>
        <v>0</v>
      </c>
      <c r="AD95">
        <f t="shared" si="31"/>
        <v>0</v>
      </c>
      <c r="AE95">
        <v>83.4</v>
      </c>
      <c r="AF95">
        <v>1.83</v>
      </c>
      <c r="AG95">
        <v>6.78</v>
      </c>
      <c r="AH95" t="s">
        <v>100</v>
      </c>
      <c r="AI95" t="s">
        <v>97</v>
      </c>
      <c r="AJ95" t="s">
        <v>97</v>
      </c>
      <c r="AK95" t="s">
        <v>97</v>
      </c>
      <c r="AL95" t="s">
        <v>97</v>
      </c>
      <c r="AM95">
        <v>13</v>
      </c>
      <c r="AN95" t="s">
        <v>101</v>
      </c>
      <c r="AO95" t="s">
        <v>164</v>
      </c>
      <c r="AP95" t="s">
        <v>122</v>
      </c>
      <c r="AQ95" t="s">
        <v>103</v>
      </c>
      <c r="AR95" t="s">
        <v>165</v>
      </c>
      <c r="AS95" t="s">
        <v>104</v>
      </c>
      <c r="AT95" t="s">
        <v>106</v>
      </c>
      <c r="AU95" t="s">
        <v>97</v>
      </c>
      <c r="AV95" t="s">
        <v>97</v>
      </c>
      <c r="AW95">
        <v>-0.8</v>
      </c>
      <c r="AX95">
        <v>-0.49</v>
      </c>
      <c r="AY95">
        <v>-0.31</v>
      </c>
      <c r="AZ95">
        <v>-0.21</v>
      </c>
      <c r="BA95" t="s">
        <v>97</v>
      </c>
      <c r="BB95" t="s">
        <v>97</v>
      </c>
      <c r="BC95" t="s">
        <v>97</v>
      </c>
      <c r="BD95">
        <v>0</v>
      </c>
      <c r="BE95" t="s">
        <v>97</v>
      </c>
      <c r="BF95" t="s">
        <v>97</v>
      </c>
      <c r="BG95" t="s">
        <v>97</v>
      </c>
      <c r="BH95" t="s">
        <v>97</v>
      </c>
      <c r="BI95">
        <v>666163</v>
      </c>
      <c r="BJ95">
        <v>666163</v>
      </c>
      <c r="BK95" t="s">
        <v>97</v>
      </c>
      <c r="BL95" t="s">
        <v>97</v>
      </c>
      <c r="BM95">
        <v>-3.3652425429999999</v>
      </c>
      <c r="BN95">
        <v>-121.13427969999999</v>
      </c>
      <c r="BO95">
        <v>-8.6640531280000008</v>
      </c>
      <c r="BP95">
        <v>-7.1811441470000004</v>
      </c>
      <c r="BQ95">
        <v>24.835108909999999</v>
      </c>
      <c r="BR95">
        <v>-35.420388129999999</v>
      </c>
      <c r="BS95">
        <v>3.49</v>
      </c>
      <c r="BT95">
        <v>1.69</v>
      </c>
      <c r="BU95" t="s">
        <v>97</v>
      </c>
      <c r="BV95" t="s">
        <v>97</v>
      </c>
      <c r="BW95" t="s">
        <v>97</v>
      </c>
      <c r="BX95">
        <v>83.7</v>
      </c>
      <c r="BY95">
        <v>2624</v>
      </c>
      <c r="BZ95">
        <v>6.7</v>
      </c>
      <c r="CA95">
        <v>813052</v>
      </c>
      <c r="CB95">
        <v>666163</v>
      </c>
      <c r="CC95">
        <v>666163</v>
      </c>
      <c r="CD95">
        <v>518692</v>
      </c>
      <c r="CE95">
        <v>669242</v>
      </c>
      <c r="CF95">
        <v>500743</v>
      </c>
      <c r="CG95">
        <v>605141</v>
      </c>
      <c r="CH95">
        <v>571771</v>
      </c>
      <c r="CI95">
        <v>681624</v>
      </c>
      <c r="CJ95">
        <v>606192</v>
      </c>
      <c r="CK95">
        <v>53.79</v>
      </c>
      <c r="CL95" t="s">
        <v>97</v>
      </c>
      <c r="CM95" t="s">
        <v>97</v>
      </c>
      <c r="CN95" t="s">
        <v>97</v>
      </c>
      <c r="CO95" t="s">
        <v>97</v>
      </c>
      <c r="CP95" t="s">
        <v>97</v>
      </c>
      <c r="CQ95" t="s">
        <v>97</v>
      </c>
      <c r="CR95" t="s">
        <v>97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 t="s">
        <v>107</v>
      </c>
      <c r="DB95" t="s">
        <v>107</v>
      </c>
      <c r="DC95">
        <v>328</v>
      </c>
      <c r="DD95">
        <v>0</v>
      </c>
      <c r="DE95">
        <v>2.4E-2</v>
      </c>
      <c r="DF95" t="s">
        <v>97</v>
      </c>
      <c r="DG95" t="s">
        <v>97</v>
      </c>
    </row>
    <row r="96" spans="1:111" x14ac:dyDescent="0.2">
      <c r="A96">
        <v>2025</v>
      </c>
      <c r="B96" s="1">
        <v>45936</v>
      </c>
      <c r="C96" t="s">
        <v>95</v>
      </c>
      <c r="D96">
        <v>605483</v>
      </c>
      <c r="E96">
        <v>607208</v>
      </c>
      <c r="F96">
        <v>1</v>
      </c>
      <c r="G96">
        <v>2</v>
      </c>
      <c r="H96">
        <v>1</v>
      </c>
      <c r="I96" t="s">
        <v>163</v>
      </c>
      <c r="J96">
        <v>6</v>
      </c>
      <c r="K96">
        <v>4</v>
      </c>
      <c r="L96" t="s">
        <v>97</v>
      </c>
      <c r="M96" t="s">
        <v>98</v>
      </c>
      <c r="N96" t="s">
        <v>99</v>
      </c>
      <c r="O96">
        <f t="shared" si="16"/>
        <v>1</v>
      </c>
      <c r="P96">
        <f t="shared" si="17"/>
        <v>0</v>
      </c>
      <c r="Q96">
        <f t="shared" si="18"/>
        <v>0</v>
      </c>
      <c r="R96">
        <f t="shared" si="19"/>
        <v>0</v>
      </c>
      <c r="S96">
        <f t="shared" si="20"/>
        <v>0</v>
      </c>
      <c r="T96">
        <f t="shared" si="21"/>
        <v>0</v>
      </c>
      <c r="U96">
        <f t="shared" si="22"/>
        <v>0</v>
      </c>
      <c r="V96">
        <f t="shared" si="23"/>
        <v>0</v>
      </c>
      <c r="W96">
        <f t="shared" si="24"/>
        <v>0</v>
      </c>
      <c r="X96">
        <f t="shared" si="25"/>
        <v>0</v>
      </c>
      <c r="Y96">
        <f t="shared" si="26"/>
        <v>0</v>
      </c>
      <c r="Z96">
        <f t="shared" si="27"/>
        <v>0</v>
      </c>
      <c r="AA96">
        <f t="shared" si="28"/>
        <v>0</v>
      </c>
      <c r="AB96">
        <f t="shared" si="29"/>
        <v>0</v>
      </c>
      <c r="AC96">
        <f t="shared" si="30"/>
        <v>0</v>
      </c>
      <c r="AD96">
        <f t="shared" si="31"/>
        <v>0</v>
      </c>
      <c r="AE96">
        <v>96.5</v>
      </c>
      <c r="AF96">
        <v>2.09</v>
      </c>
      <c r="AG96">
        <v>6.82</v>
      </c>
      <c r="AH96" t="s">
        <v>100</v>
      </c>
      <c r="AI96" t="s">
        <v>97</v>
      </c>
      <c r="AJ96" t="s">
        <v>97</v>
      </c>
      <c r="AK96" t="s">
        <v>97</v>
      </c>
      <c r="AL96" t="s">
        <v>97</v>
      </c>
      <c r="AM96">
        <v>12</v>
      </c>
      <c r="AN96" t="s">
        <v>101</v>
      </c>
      <c r="AO96" t="s">
        <v>164</v>
      </c>
      <c r="AP96" t="s">
        <v>122</v>
      </c>
      <c r="AQ96" t="s">
        <v>103</v>
      </c>
      <c r="AR96" t="s">
        <v>165</v>
      </c>
      <c r="AS96" t="s">
        <v>104</v>
      </c>
      <c r="AT96" t="s">
        <v>106</v>
      </c>
      <c r="AU96" t="s">
        <v>97</v>
      </c>
      <c r="AV96" t="s">
        <v>97</v>
      </c>
      <c r="AW96">
        <v>0.42</v>
      </c>
      <c r="AX96">
        <v>1.42</v>
      </c>
      <c r="AY96">
        <v>1.17</v>
      </c>
      <c r="AZ96">
        <v>4.7300000000000004</v>
      </c>
      <c r="BA96" t="s">
        <v>97</v>
      </c>
      <c r="BB96" t="s">
        <v>97</v>
      </c>
      <c r="BC96" t="s">
        <v>97</v>
      </c>
      <c r="BD96">
        <v>0</v>
      </c>
      <c r="BE96" t="s">
        <v>97</v>
      </c>
      <c r="BF96" t="s">
        <v>97</v>
      </c>
      <c r="BG96" t="s">
        <v>97</v>
      </c>
      <c r="BH96" t="s">
        <v>97</v>
      </c>
      <c r="BI96">
        <v>666163</v>
      </c>
      <c r="BJ96">
        <v>666163</v>
      </c>
      <c r="BK96" t="s">
        <v>97</v>
      </c>
      <c r="BL96" t="s">
        <v>97</v>
      </c>
      <c r="BM96">
        <v>-3.4348531009999999</v>
      </c>
      <c r="BN96">
        <v>-140.5217304</v>
      </c>
      <c r="BO96">
        <v>-3.258890267</v>
      </c>
      <c r="BP96">
        <v>6.3592890129999997</v>
      </c>
      <c r="BQ96">
        <v>31.830810509999999</v>
      </c>
      <c r="BR96">
        <v>-12.78959246</v>
      </c>
      <c r="BS96">
        <v>3.38</v>
      </c>
      <c r="BT96">
        <v>1.61</v>
      </c>
      <c r="BU96" t="s">
        <v>97</v>
      </c>
      <c r="BV96" t="s">
        <v>97</v>
      </c>
      <c r="BW96" t="s">
        <v>97</v>
      </c>
      <c r="BX96">
        <v>97.1</v>
      </c>
      <c r="BY96">
        <v>2506</v>
      </c>
      <c r="BZ96">
        <v>6.6</v>
      </c>
      <c r="CA96">
        <v>813052</v>
      </c>
      <c r="CB96">
        <v>666163</v>
      </c>
      <c r="CC96">
        <v>666163</v>
      </c>
      <c r="CD96">
        <v>518692</v>
      </c>
      <c r="CE96">
        <v>669242</v>
      </c>
      <c r="CF96">
        <v>500743</v>
      </c>
      <c r="CG96">
        <v>605141</v>
      </c>
      <c r="CH96">
        <v>571771</v>
      </c>
      <c r="CI96">
        <v>681624</v>
      </c>
      <c r="CJ96">
        <v>606192</v>
      </c>
      <c r="CK96">
        <v>53.89</v>
      </c>
      <c r="CL96" t="s">
        <v>97</v>
      </c>
      <c r="CM96" t="s">
        <v>97</v>
      </c>
      <c r="CN96" t="s">
        <v>97</v>
      </c>
      <c r="CO96" t="s">
        <v>97</v>
      </c>
      <c r="CP96" t="s">
        <v>97</v>
      </c>
      <c r="CQ96" t="s">
        <v>97</v>
      </c>
      <c r="CR96" t="s">
        <v>97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 t="s">
        <v>107</v>
      </c>
      <c r="DB96" t="s">
        <v>107</v>
      </c>
      <c r="DC96">
        <v>153</v>
      </c>
      <c r="DD96">
        <v>0</v>
      </c>
      <c r="DE96">
        <v>4.2999999999999997E-2</v>
      </c>
      <c r="DF96" t="s">
        <v>97</v>
      </c>
      <c r="DG96" t="s">
        <v>97</v>
      </c>
    </row>
    <row r="97" spans="1:111" x14ac:dyDescent="0.2">
      <c r="A97">
        <v>2025</v>
      </c>
      <c r="B97" s="1">
        <v>45936</v>
      </c>
      <c r="C97" t="s">
        <v>95</v>
      </c>
      <c r="D97">
        <v>605483</v>
      </c>
      <c r="E97">
        <v>607208</v>
      </c>
      <c r="F97">
        <v>2</v>
      </c>
      <c r="G97">
        <v>2</v>
      </c>
      <c r="H97">
        <v>1</v>
      </c>
      <c r="I97" t="s">
        <v>163</v>
      </c>
      <c r="J97">
        <v>6</v>
      </c>
      <c r="K97">
        <v>5</v>
      </c>
      <c r="L97" t="s">
        <v>116</v>
      </c>
      <c r="M97" t="s">
        <v>98</v>
      </c>
      <c r="N97" t="s">
        <v>99</v>
      </c>
      <c r="O97">
        <f t="shared" si="16"/>
        <v>1</v>
      </c>
      <c r="P97">
        <f t="shared" si="17"/>
        <v>0</v>
      </c>
      <c r="Q97">
        <f t="shared" si="18"/>
        <v>0</v>
      </c>
      <c r="R97">
        <f t="shared" si="19"/>
        <v>0</v>
      </c>
      <c r="S97">
        <f t="shared" si="20"/>
        <v>0</v>
      </c>
      <c r="T97">
        <f t="shared" si="21"/>
        <v>0</v>
      </c>
      <c r="U97">
        <f t="shared" si="22"/>
        <v>0</v>
      </c>
      <c r="V97">
        <f t="shared" si="23"/>
        <v>0</v>
      </c>
      <c r="W97">
        <f t="shared" si="24"/>
        <v>0</v>
      </c>
      <c r="X97">
        <f t="shared" si="25"/>
        <v>0</v>
      </c>
      <c r="Y97">
        <f t="shared" si="26"/>
        <v>0</v>
      </c>
      <c r="Z97">
        <f t="shared" si="27"/>
        <v>0</v>
      </c>
      <c r="AA97">
        <f t="shared" si="28"/>
        <v>0</v>
      </c>
      <c r="AB97">
        <f t="shared" si="29"/>
        <v>0</v>
      </c>
      <c r="AC97">
        <f t="shared" si="30"/>
        <v>0</v>
      </c>
      <c r="AD97">
        <f t="shared" si="31"/>
        <v>0</v>
      </c>
      <c r="AE97">
        <v>97</v>
      </c>
      <c r="AF97">
        <v>1.88</v>
      </c>
      <c r="AG97">
        <v>6.75</v>
      </c>
      <c r="AH97" t="s">
        <v>108</v>
      </c>
      <c r="AI97" t="s">
        <v>97</v>
      </c>
      <c r="AJ97" t="s">
        <v>97</v>
      </c>
      <c r="AK97" t="s">
        <v>97</v>
      </c>
      <c r="AL97" t="s">
        <v>97</v>
      </c>
      <c r="AM97">
        <v>1</v>
      </c>
      <c r="AN97" t="s">
        <v>166</v>
      </c>
      <c r="AO97" t="s">
        <v>164</v>
      </c>
      <c r="AP97" t="s">
        <v>122</v>
      </c>
      <c r="AQ97" t="s">
        <v>103</v>
      </c>
      <c r="AR97" t="s">
        <v>165</v>
      </c>
      <c r="AS97" t="s">
        <v>104</v>
      </c>
      <c r="AT97" t="s">
        <v>110</v>
      </c>
      <c r="AU97">
        <v>2</v>
      </c>
      <c r="AV97" t="s">
        <v>97</v>
      </c>
      <c r="AW97">
        <v>0.36</v>
      </c>
      <c r="AX97">
        <v>1.69</v>
      </c>
      <c r="AY97">
        <v>-0.82</v>
      </c>
      <c r="AZ97">
        <v>2.96</v>
      </c>
      <c r="BA97" t="s">
        <v>97</v>
      </c>
      <c r="BB97" t="s">
        <v>97</v>
      </c>
      <c r="BC97" t="s">
        <v>97</v>
      </c>
      <c r="BD97">
        <v>0</v>
      </c>
      <c r="BE97" t="s">
        <v>97</v>
      </c>
      <c r="BF97" t="s">
        <v>97</v>
      </c>
      <c r="BG97" t="s">
        <v>97</v>
      </c>
      <c r="BH97" t="s">
        <v>97</v>
      </c>
      <c r="BI97">
        <v>666163</v>
      </c>
      <c r="BJ97">
        <v>666163</v>
      </c>
      <c r="BK97" t="s">
        <v>97</v>
      </c>
      <c r="BL97" t="s">
        <v>97</v>
      </c>
      <c r="BM97">
        <v>-8.0919713340000001</v>
      </c>
      <c r="BN97">
        <v>-140.75924420000001</v>
      </c>
      <c r="BO97">
        <v>-8.4440764589999997</v>
      </c>
      <c r="BP97">
        <v>6.7409341520000003</v>
      </c>
      <c r="BQ97">
        <v>33.550418319999999</v>
      </c>
      <c r="BR97">
        <v>-7.9881422989999997</v>
      </c>
      <c r="BS97">
        <v>3.36</v>
      </c>
      <c r="BT97">
        <v>1.61</v>
      </c>
      <c r="BU97" t="s">
        <v>97</v>
      </c>
      <c r="BV97" t="s">
        <v>97</v>
      </c>
      <c r="BW97" t="s">
        <v>97</v>
      </c>
      <c r="BX97">
        <v>97.3</v>
      </c>
      <c r="BY97">
        <v>2523</v>
      </c>
      <c r="BZ97">
        <v>6.7</v>
      </c>
      <c r="CA97">
        <v>813052</v>
      </c>
      <c r="CB97">
        <v>666163</v>
      </c>
      <c r="CC97">
        <v>666163</v>
      </c>
      <c r="CD97">
        <v>518692</v>
      </c>
      <c r="CE97">
        <v>669242</v>
      </c>
      <c r="CF97">
        <v>500743</v>
      </c>
      <c r="CG97">
        <v>605141</v>
      </c>
      <c r="CH97">
        <v>571771</v>
      </c>
      <c r="CI97">
        <v>681624</v>
      </c>
      <c r="CJ97">
        <v>606192</v>
      </c>
      <c r="CK97">
        <v>53.76</v>
      </c>
      <c r="CL97" t="s">
        <v>97</v>
      </c>
      <c r="CM97">
        <v>0</v>
      </c>
      <c r="CN97">
        <v>0</v>
      </c>
      <c r="CO97">
        <v>1</v>
      </c>
      <c r="CP97">
        <v>0</v>
      </c>
      <c r="CQ97">
        <v>0</v>
      </c>
      <c r="CR97" t="s">
        <v>97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 t="s">
        <v>107</v>
      </c>
      <c r="DB97" t="s">
        <v>107</v>
      </c>
      <c r="DC97">
        <v>156</v>
      </c>
      <c r="DD97">
        <v>-2.1000000000000001E-2</v>
      </c>
      <c r="DE97">
        <v>-0.23200000000000001</v>
      </c>
      <c r="DF97" t="s">
        <v>97</v>
      </c>
      <c r="DG97" t="s">
        <v>97</v>
      </c>
    </row>
    <row r="98" spans="1:111" x14ac:dyDescent="0.2">
      <c r="A98">
        <v>2025</v>
      </c>
      <c r="B98" s="1">
        <v>45936</v>
      </c>
      <c r="C98" t="s">
        <v>95</v>
      </c>
      <c r="D98">
        <v>605483</v>
      </c>
      <c r="E98">
        <v>656941</v>
      </c>
      <c r="F98">
        <v>0</v>
      </c>
      <c r="G98">
        <v>0</v>
      </c>
      <c r="H98">
        <v>1</v>
      </c>
      <c r="I98" t="s">
        <v>163</v>
      </c>
      <c r="J98">
        <v>7</v>
      </c>
      <c r="K98">
        <v>1</v>
      </c>
      <c r="L98" t="s">
        <v>119</v>
      </c>
      <c r="M98" t="s">
        <v>98</v>
      </c>
      <c r="N98" t="s">
        <v>99</v>
      </c>
      <c r="O98">
        <f t="shared" si="16"/>
        <v>0</v>
      </c>
      <c r="P98">
        <f t="shared" si="17"/>
        <v>0</v>
      </c>
      <c r="Q98">
        <f t="shared" si="18"/>
        <v>0</v>
      </c>
      <c r="R98">
        <f t="shared" si="19"/>
        <v>1</v>
      </c>
      <c r="S98">
        <f t="shared" si="20"/>
        <v>0</v>
      </c>
      <c r="T98">
        <f t="shared" si="21"/>
        <v>0</v>
      </c>
      <c r="U98">
        <f t="shared" si="22"/>
        <v>0</v>
      </c>
      <c r="V98">
        <f t="shared" si="23"/>
        <v>0</v>
      </c>
      <c r="W98">
        <f t="shared" si="24"/>
        <v>0</v>
      </c>
      <c r="X98">
        <f t="shared" si="25"/>
        <v>0</v>
      </c>
      <c r="Y98">
        <f t="shared" si="26"/>
        <v>0</v>
      </c>
      <c r="Z98">
        <f t="shared" si="27"/>
        <v>0</v>
      </c>
      <c r="AA98">
        <f t="shared" si="28"/>
        <v>0</v>
      </c>
      <c r="AB98">
        <f t="shared" si="29"/>
        <v>0</v>
      </c>
      <c r="AC98">
        <f t="shared" si="30"/>
        <v>0</v>
      </c>
      <c r="AD98">
        <f t="shared" si="31"/>
        <v>0</v>
      </c>
      <c r="AE98">
        <v>96.5</v>
      </c>
      <c r="AF98">
        <v>1.97</v>
      </c>
      <c r="AG98">
        <v>6.82</v>
      </c>
      <c r="AH98" t="s">
        <v>120</v>
      </c>
      <c r="AI98" t="s">
        <v>97</v>
      </c>
      <c r="AJ98" t="s">
        <v>97</v>
      </c>
      <c r="AK98" t="s">
        <v>97</v>
      </c>
      <c r="AL98" t="s">
        <v>97</v>
      </c>
      <c r="AM98">
        <v>1</v>
      </c>
      <c r="AN98" t="s">
        <v>167</v>
      </c>
      <c r="AO98" t="s">
        <v>164</v>
      </c>
      <c r="AP98" t="s">
        <v>103</v>
      </c>
      <c r="AQ98" t="s">
        <v>103</v>
      </c>
      <c r="AR98" t="s">
        <v>165</v>
      </c>
      <c r="AS98" t="s">
        <v>104</v>
      </c>
      <c r="AT98" t="s">
        <v>123</v>
      </c>
      <c r="AU98">
        <v>7</v>
      </c>
      <c r="AV98" t="s">
        <v>124</v>
      </c>
      <c r="AW98">
        <v>0.2</v>
      </c>
      <c r="AX98">
        <v>1.53</v>
      </c>
      <c r="AY98">
        <v>-0.52</v>
      </c>
      <c r="AZ98">
        <v>3.37</v>
      </c>
      <c r="BA98" t="s">
        <v>97</v>
      </c>
      <c r="BB98" t="s">
        <v>97</v>
      </c>
      <c r="BC98" t="s">
        <v>97</v>
      </c>
      <c r="BD98">
        <v>1</v>
      </c>
      <c r="BE98">
        <v>76.73</v>
      </c>
      <c r="BF98">
        <v>140.1</v>
      </c>
      <c r="BG98" t="s">
        <v>97</v>
      </c>
      <c r="BH98" t="s">
        <v>97</v>
      </c>
      <c r="BI98">
        <v>666163</v>
      </c>
      <c r="BJ98">
        <v>666163</v>
      </c>
      <c r="BK98" t="s">
        <v>97</v>
      </c>
      <c r="BL98" t="s">
        <v>97</v>
      </c>
      <c r="BM98">
        <v>-7.1236504419999997</v>
      </c>
      <c r="BN98">
        <v>-140.2302894</v>
      </c>
      <c r="BO98">
        <v>-7.081464982</v>
      </c>
      <c r="BP98">
        <v>4.3177238390000001</v>
      </c>
      <c r="BQ98">
        <v>33.962592800000003</v>
      </c>
      <c r="BR98">
        <v>-10.56087497</v>
      </c>
      <c r="BS98">
        <v>3.28</v>
      </c>
      <c r="BT98">
        <v>1.51</v>
      </c>
      <c r="BU98">
        <v>192</v>
      </c>
      <c r="BV98">
        <v>99.2</v>
      </c>
      <c r="BW98">
        <v>63</v>
      </c>
      <c r="BX98">
        <v>96.9</v>
      </c>
      <c r="BY98">
        <v>2558</v>
      </c>
      <c r="BZ98">
        <v>6.7</v>
      </c>
      <c r="CA98">
        <v>813052</v>
      </c>
      <c r="CB98">
        <v>666163</v>
      </c>
      <c r="CC98">
        <v>666163</v>
      </c>
      <c r="CD98">
        <v>518692</v>
      </c>
      <c r="CE98">
        <v>669242</v>
      </c>
      <c r="CF98">
        <v>500743</v>
      </c>
      <c r="CG98">
        <v>605141</v>
      </c>
      <c r="CH98">
        <v>571771</v>
      </c>
      <c r="CI98">
        <v>681624</v>
      </c>
      <c r="CJ98">
        <v>606192</v>
      </c>
      <c r="CK98">
        <v>53.77</v>
      </c>
      <c r="CL98">
        <v>1.0999999999999999E-2</v>
      </c>
      <c r="CM98">
        <v>0.01</v>
      </c>
      <c r="CN98">
        <v>0</v>
      </c>
      <c r="CO98">
        <v>1</v>
      </c>
      <c r="CP98">
        <v>0</v>
      </c>
      <c r="CQ98">
        <v>0</v>
      </c>
      <c r="CR98">
        <v>3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 t="s">
        <v>115</v>
      </c>
      <c r="DB98" t="s">
        <v>107</v>
      </c>
      <c r="DC98">
        <v>160</v>
      </c>
      <c r="DD98">
        <v>-1.6E-2</v>
      </c>
      <c r="DE98">
        <v>-0.254</v>
      </c>
      <c r="DF98">
        <v>77.7</v>
      </c>
      <c r="DG98">
        <v>6.9</v>
      </c>
    </row>
    <row r="99" spans="1:111" x14ac:dyDescent="0.2">
      <c r="A99">
        <v>2025</v>
      </c>
      <c r="B99" s="1">
        <v>45936</v>
      </c>
      <c r="C99" t="s">
        <v>95</v>
      </c>
      <c r="D99">
        <v>605483</v>
      </c>
      <c r="E99">
        <v>547180</v>
      </c>
      <c r="F99">
        <v>0</v>
      </c>
      <c r="G99">
        <v>0</v>
      </c>
      <c r="H99">
        <v>1</v>
      </c>
      <c r="I99" t="s">
        <v>163</v>
      </c>
      <c r="J99">
        <v>8</v>
      </c>
      <c r="K99">
        <v>1</v>
      </c>
      <c r="L99" t="s">
        <v>97</v>
      </c>
      <c r="M99" t="s">
        <v>138</v>
      </c>
      <c r="N99" t="s">
        <v>139</v>
      </c>
      <c r="O99">
        <f t="shared" si="16"/>
        <v>0</v>
      </c>
      <c r="P99">
        <f t="shared" si="17"/>
        <v>0</v>
      </c>
      <c r="Q99">
        <f t="shared" si="18"/>
        <v>0</v>
      </c>
      <c r="R99">
        <f t="shared" si="19"/>
        <v>0</v>
      </c>
      <c r="S99">
        <f t="shared" si="20"/>
        <v>0</v>
      </c>
      <c r="T99">
        <f t="shared" si="21"/>
        <v>0</v>
      </c>
      <c r="U99">
        <f t="shared" si="22"/>
        <v>0</v>
      </c>
      <c r="V99">
        <f t="shared" si="23"/>
        <v>0</v>
      </c>
      <c r="W99">
        <f t="shared" si="24"/>
        <v>0</v>
      </c>
      <c r="X99">
        <f t="shared" si="25"/>
        <v>0</v>
      </c>
      <c r="Y99">
        <f t="shared" si="26"/>
        <v>0</v>
      </c>
      <c r="Z99">
        <f t="shared" si="27"/>
        <v>0</v>
      </c>
      <c r="AA99">
        <f t="shared" si="28"/>
        <v>1</v>
      </c>
      <c r="AB99">
        <f t="shared" si="29"/>
        <v>0</v>
      </c>
      <c r="AC99">
        <f t="shared" si="30"/>
        <v>0</v>
      </c>
      <c r="AD99">
        <f t="shared" si="31"/>
        <v>0</v>
      </c>
      <c r="AE99">
        <v>90.1</v>
      </c>
      <c r="AF99">
        <v>1.91</v>
      </c>
      <c r="AG99">
        <v>6.76</v>
      </c>
      <c r="AH99" t="s">
        <v>100</v>
      </c>
      <c r="AI99" t="s">
        <v>97</v>
      </c>
      <c r="AJ99" t="s">
        <v>97</v>
      </c>
      <c r="AK99" t="s">
        <v>97</v>
      </c>
      <c r="AL99" t="s">
        <v>97</v>
      </c>
      <c r="AM99">
        <v>13</v>
      </c>
      <c r="AN99" t="s">
        <v>101</v>
      </c>
      <c r="AO99" t="s">
        <v>164</v>
      </c>
      <c r="AP99" t="s">
        <v>103</v>
      </c>
      <c r="AQ99" t="s">
        <v>103</v>
      </c>
      <c r="AR99" t="s">
        <v>165</v>
      </c>
      <c r="AS99" t="s">
        <v>104</v>
      </c>
      <c r="AT99" t="s">
        <v>106</v>
      </c>
      <c r="AU99" t="s">
        <v>97</v>
      </c>
      <c r="AV99" t="s">
        <v>97</v>
      </c>
      <c r="AW99">
        <v>-0.32</v>
      </c>
      <c r="AX99">
        <v>0.72</v>
      </c>
      <c r="AY99">
        <v>-1.1499999999999999</v>
      </c>
      <c r="AZ99">
        <v>1.9</v>
      </c>
      <c r="BA99" t="s">
        <v>97</v>
      </c>
      <c r="BB99" t="s">
        <v>97</v>
      </c>
      <c r="BC99" t="s">
        <v>97</v>
      </c>
      <c r="BD99">
        <v>2</v>
      </c>
      <c r="BE99" t="s">
        <v>97</v>
      </c>
      <c r="BF99" t="s">
        <v>97</v>
      </c>
      <c r="BG99" t="s">
        <v>97</v>
      </c>
      <c r="BH99" t="s">
        <v>97</v>
      </c>
      <c r="BI99">
        <v>666163</v>
      </c>
      <c r="BJ99">
        <v>666163</v>
      </c>
      <c r="BK99" t="s">
        <v>97</v>
      </c>
      <c r="BL99" t="s">
        <v>97</v>
      </c>
      <c r="BM99">
        <v>-6.9706491189999999</v>
      </c>
      <c r="BN99">
        <v>-130.9720926</v>
      </c>
      <c r="BO99">
        <v>-7.7074145490000001</v>
      </c>
      <c r="BP99">
        <v>-2.23882409</v>
      </c>
      <c r="BQ99">
        <v>27.034704649999998</v>
      </c>
      <c r="BR99">
        <v>-22.472195989999999</v>
      </c>
      <c r="BS99">
        <v>3.31</v>
      </c>
      <c r="BT99">
        <v>1.71</v>
      </c>
      <c r="BU99" t="s">
        <v>97</v>
      </c>
      <c r="BV99" t="s">
        <v>97</v>
      </c>
      <c r="BW99" t="s">
        <v>97</v>
      </c>
      <c r="BX99">
        <v>90.9</v>
      </c>
      <c r="BY99">
        <v>2464</v>
      </c>
      <c r="BZ99">
        <v>6.8</v>
      </c>
      <c r="CA99">
        <v>813052</v>
      </c>
      <c r="CB99">
        <v>666163</v>
      </c>
      <c r="CC99">
        <v>666163</v>
      </c>
      <c r="CD99">
        <v>518692</v>
      </c>
      <c r="CE99">
        <v>669242</v>
      </c>
      <c r="CF99">
        <v>500743</v>
      </c>
      <c r="CG99">
        <v>605141</v>
      </c>
      <c r="CH99">
        <v>571771</v>
      </c>
      <c r="CI99">
        <v>681624</v>
      </c>
      <c r="CJ99">
        <v>606192</v>
      </c>
      <c r="CK99">
        <v>53.75</v>
      </c>
      <c r="CL99" t="s">
        <v>97</v>
      </c>
      <c r="CM99" t="s">
        <v>97</v>
      </c>
      <c r="CN99" t="s">
        <v>97</v>
      </c>
      <c r="CO99" t="s">
        <v>97</v>
      </c>
      <c r="CP99" t="s">
        <v>97</v>
      </c>
      <c r="CQ99" t="s">
        <v>97</v>
      </c>
      <c r="CR99" t="s">
        <v>97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t="s">
        <v>168</v>
      </c>
      <c r="DB99" t="s">
        <v>107</v>
      </c>
      <c r="DC99">
        <v>179</v>
      </c>
      <c r="DD99">
        <v>0</v>
      </c>
      <c r="DE99">
        <v>3.6999999999999998E-2</v>
      </c>
      <c r="DF99" t="s">
        <v>97</v>
      </c>
      <c r="DG99" t="s">
        <v>97</v>
      </c>
    </row>
    <row r="100" spans="1:111" x14ac:dyDescent="0.2">
      <c r="A100">
        <v>2025</v>
      </c>
      <c r="B100" s="1">
        <v>45936</v>
      </c>
      <c r="C100" t="s">
        <v>95</v>
      </c>
      <c r="D100">
        <v>605483</v>
      </c>
      <c r="E100">
        <v>547180</v>
      </c>
      <c r="F100">
        <v>1</v>
      </c>
      <c r="G100">
        <v>0</v>
      </c>
      <c r="H100">
        <v>1</v>
      </c>
      <c r="I100" t="s">
        <v>163</v>
      </c>
      <c r="J100">
        <v>8</v>
      </c>
      <c r="K100">
        <v>2</v>
      </c>
      <c r="L100" t="s">
        <v>97</v>
      </c>
      <c r="M100" t="s">
        <v>138</v>
      </c>
      <c r="N100" t="s">
        <v>139</v>
      </c>
      <c r="O100">
        <f t="shared" si="16"/>
        <v>0</v>
      </c>
      <c r="P100">
        <f t="shared" si="17"/>
        <v>0</v>
      </c>
      <c r="Q100">
        <f t="shared" si="18"/>
        <v>0</v>
      </c>
      <c r="R100">
        <f t="shared" si="19"/>
        <v>0</v>
      </c>
      <c r="S100">
        <f t="shared" si="20"/>
        <v>0</v>
      </c>
      <c r="T100">
        <f t="shared" si="21"/>
        <v>0</v>
      </c>
      <c r="U100">
        <f t="shared" si="22"/>
        <v>0</v>
      </c>
      <c r="V100">
        <f t="shared" si="23"/>
        <v>0</v>
      </c>
      <c r="W100">
        <f t="shared" si="24"/>
        <v>0</v>
      </c>
      <c r="X100">
        <f t="shared" si="25"/>
        <v>0</v>
      </c>
      <c r="Y100">
        <f t="shared" si="26"/>
        <v>0</v>
      </c>
      <c r="Z100">
        <f t="shared" si="27"/>
        <v>0</v>
      </c>
      <c r="AA100">
        <f t="shared" si="28"/>
        <v>0</v>
      </c>
      <c r="AB100">
        <f t="shared" si="29"/>
        <v>0</v>
      </c>
      <c r="AC100">
        <f t="shared" si="30"/>
        <v>1</v>
      </c>
      <c r="AD100">
        <f t="shared" si="31"/>
        <v>0</v>
      </c>
      <c r="AE100">
        <v>89.7</v>
      </c>
      <c r="AF100">
        <v>1.99</v>
      </c>
      <c r="AG100">
        <v>6.79</v>
      </c>
      <c r="AH100" t="s">
        <v>100</v>
      </c>
      <c r="AI100" t="s">
        <v>97</v>
      </c>
      <c r="AJ100" t="s">
        <v>97</v>
      </c>
      <c r="AK100" t="s">
        <v>97</v>
      </c>
      <c r="AL100" t="s">
        <v>97</v>
      </c>
      <c r="AM100">
        <v>13</v>
      </c>
      <c r="AN100" t="s">
        <v>101</v>
      </c>
      <c r="AO100" t="s">
        <v>164</v>
      </c>
      <c r="AP100" t="s">
        <v>103</v>
      </c>
      <c r="AQ100" t="s">
        <v>103</v>
      </c>
      <c r="AR100" t="s">
        <v>165</v>
      </c>
      <c r="AS100" t="s">
        <v>104</v>
      </c>
      <c r="AT100" t="s">
        <v>106</v>
      </c>
      <c r="AU100" t="s">
        <v>97</v>
      </c>
      <c r="AV100" t="s">
        <v>97</v>
      </c>
      <c r="AW100">
        <v>-0.45</v>
      </c>
      <c r="AX100">
        <v>0.84</v>
      </c>
      <c r="AY100">
        <v>-0.83</v>
      </c>
      <c r="AZ100">
        <v>2.19</v>
      </c>
      <c r="BA100" t="s">
        <v>97</v>
      </c>
      <c r="BB100" t="s">
        <v>97</v>
      </c>
      <c r="BC100" t="s">
        <v>97</v>
      </c>
      <c r="BD100">
        <v>2</v>
      </c>
      <c r="BE100" t="s">
        <v>97</v>
      </c>
      <c r="BF100" t="s">
        <v>97</v>
      </c>
      <c r="BG100" t="s">
        <v>97</v>
      </c>
      <c r="BH100" t="s">
        <v>97</v>
      </c>
      <c r="BI100">
        <v>666163</v>
      </c>
      <c r="BJ100">
        <v>666163</v>
      </c>
      <c r="BK100" t="s">
        <v>97</v>
      </c>
      <c r="BL100" t="s">
        <v>97</v>
      </c>
      <c r="BM100">
        <v>-6.063988406</v>
      </c>
      <c r="BN100">
        <v>-130.37458559999999</v>
      </c>
      <c r="BO100">
        <v>-7.1656934840000002</v>
      </c>
      <c r="BP100">
        <v>-3.7459520529999999</v>
      </c>
      <c r="BQ100">
        <v>29.322499029999999</v>
      </c>
      <c r="BR100">
        <v>-21.193215840000001</v>
      </c>
      <c r="BS100">
        <v>3.27</v>
      </c>
      <c r="BT100">
        <v>1.72</v>
      </c>
      <c r="BU100" t="s">
        <v>97</v>
      </c>
      <c r="BV100" t="s">
        <v>97</v>
      </c>
      <c r="BW100" t="s">
        <v>97</v>
      </c>
      <c r="BX100">
        <v>90</v>
      </c>
      <c r="BY100">
        <v>2458</v>
      </c>
      <c r="BZ100">
        <v>6.7</v>
      </c>
      <c r="CA100">
        <v>813052</v>
      </c>
      <c r="CB100">
        <v>666163</v>
      </c>
      <c r="CC100">
        <v>666163</v>
      </c>
      <c r="CD100">
        <v>518692</v>
      </c>
      <c r="CE100">
        <v>669242</v>
      </c>
      <c r="CF100">
        <v>500743</v>
      </c>
      <c r="CG100">
        <v>605141</v>
      </c>
      <c r="CH100">
        <v>571771</v>
      </c>
      <c r="CI100">
        <v>681624</v>
      </c>
      <c r="CJ100">
        <v>606192</v>
      </c>
      <c r="CK100">
        <v>53.78</v>
      </c>
      <c r="CL100" t="s">
        <v>97</v>
      </c>
      <c r="CM100" t="s">
        <v>97</v>
      </c>
      <c r="CN100" t="s">
        <v>97</v>
      </c>
      <c r="CO100" t="s">
        <v>97</v>
      </c>
      <c r="CP100" t="s">
        <v>97</v>
      </c>
      <c r="CQ100" t="s">
        <v>97</v>
      </c>
      <c r="CR100" t="s">
        <v>97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 t="s">
        <v>115</v>
      </c>
      <c r="DB100" t="s">
        <v>107</v>
      </c>
      <c r="DC100">
        <v>172</v>
      </c>
      <c r="DD100">
        <v>0</v>
      </c>
      <c r="DE100">
        <v>6.4000000000000001E-2</v>
      </c>
      <c r="DF100" t="s">
        <v>97</v>
      </c>
      <c r="DG100" t="s">
        <v>97</v>
      </c>
    </row>
    <row r="101" spans="1:111" x14ac:dyDescent="0.2">
      <c r="A101">
        <v>2025</v>
      </c>
      <c r="B101" s="1">
        <v>45936</v>
      </c>
      <c r="C101" t="s">
        <v>95</v>
      </c>
      <c r="D101">
        <v>605483</v>
      </c>
      <c r="E101">
        <v>547180</v>
      </c>
      <c r="F101">
        <v>2</v>
      </c>
      <c r="G101">
        <v>0</v>
      </c>
      <c r="H101">
        <v>1</v>
      </c>
      <c r="I101" t="s">
        <v>163</v>
      </c>
      <c r="J101">
        <v>8</v>
      </c>
      <c r="K101">
        <v>3</v>
      </c>
      <c r="L101" t="s">
        <v>97</v>
      </c>
      <c r="M101" t="s">
        <v>111</v>
      </c>
      <c r="N101" t="s">
        <v>112</v>
      </c>
      <c r="O101">
        <f t="shared" si="16"/>
        <v>0</v>
      </c>
      <c r="P101">
        <f t="shared" si="17"/>
        <v>0</v>
      </c>
      <c r="Q101">
        <f t="shared" si="18"/>
        <v>0</v>
      </c>
      <c r="R101">
        <f t="shared" si="19"/>
        <v>0</v>
      </c>
      <c r="S101">
        <f t="shared" si="20"/>
        <v>0</v>
      </c>
      <c r="T101">
        <f t="shared" si="21"/>
        <v>1</v>
      </c>
      <c r="U101">
        <f t="shared" si="22"/>
        <v>0</v>
      </c>
      <c r="V101">
        <f t="shared" si="23"/>
        <v>0</v>
      </c>
      <c r="W101">
        <f t="shared" si="24"/>
        <v>0</v>
      </c>
      <c r="X101">
        <f t="shared" si="25"/>
        <v>0</v>
      </c>
      <c r="Y101">
        <f t="shared" si="26"/>
        <v>0</v>
      </c>
      <c r="Z101">
        <f t="shared" si="27"/>
        <v>0</v>
      </c>
      <c r="AA101">
        <f t="shared" si="28"/>
        <v>0</v>
      </c>
      <c r="AB101">
        <f t="shared" si="29"/>
        <v>0</v>
      </c>
      <c r="AC101">
        <f t="shared" si="30"/>
        <v>0</v>
      </c>
      <c r="AD101">
        <f t="shared" si="31"/>
        <v>0</v>
      </c>
      <c r="AE101">
        <v>81.5</v>
      </c>
      <c r="AF101">
        <v>1.82</v>
      </c>
      <c r="AG101">
        <v>6.82</v>
      </c>
      <c r="AH101" t="s">
        <v>108</v>
      </c>
      <c r="AI101" t="s">
        <v>97</v>
      </c>
      <c r="AJ101" t="s">
        <v>97</v>
      </c>
      <c r="AK101" t="s">
        <v>97</v>
      </c>
      <c r="AL101" t="s">
        <v>97</v>
      </c>
      <c r="AM101">
        <v>8</v>
      </c>
      <c r="AN101" t="s">
        <v>109</v>
      </c>
      <c r="AO101" t="s">
        <v>164</v>
      </c>
      <c r="AP101" t="s">
        <v>103</v>
      </c>
      <c r="AQ101" t="s">
        <v>103</v>
      </c>
      <c r="AR101" t="s">
        <v>165</v>
      </c>
      <c r="AS101" t="s">
        <v>104</v>
      </c>
      <c r="AT101" t="s">
        <v>110</v>
      </c>
      <c r="AU101" t="s">
        <v>97</v>
      </c>
      <c r="AV101" t="s">
        <v>97</v>
      </c>
      <c r="AW101">
        <v>-1.1200000000000001</v>
      </c>
      <c r="AX101">
        <v>-0.69</v>
      </c>
      <c r="AY101">
        <v>0.12</v>
      </c>
      <c r="AZ101">
        <v>1.92</v>
      </c>
      <c r="BA101" t="s">
        <v>97</v>
      </c>
      <c r="BB101" t="s">
        <v>97</v>
      </c>
      <c r="BC101" t="s">
        <v>97</v>
      </c>
      <c r="BD101">
        <v>2</v>
      </c>
      <c r="BE101" t="s">
        <v>97</v>
      </c>
      <c r="BF101" t="s">
        <v>97</v>
      </c>
      <c r="BG101" t="s">
        <v>97</v>
      </c>
      <c r="BH101" t="s">
        <v>97</v>
      </c>
      <c r="BI101">
        <v>666163</v>
      </c>
      <c r="BJ101">
        <v>666163</v>
      </c>
      <c r="BK101" t="s">
        <v>97</v>
      </c>
      <c r="BL101" t="s">
        <v>97</v>
      </c>
      <c r="BM101">
        <v>-1.655484891</v>
      </c>
      <c r="BN101">
        <v>-118.5992782</v>
      </c>
      <c r="BO101">
        <v>-3.0096914830000001</v>
      </c>
      <c r="BP101">
        <v>-10.11852251</v>
      </c>
      <c r="BQ101">
        <v>25.461177379999999</v>
      </c>
      <c r="BR101">
        <v>-38.260930199999997</v>
      </c>
      <c r="BS101">
        <v>3.24</v>
      </c>
      <c r="BT101">
        <v>1.64</v>
      </c>
      <c r="BU101" t="s">
        <v>97</v>
      </c>
      <c r="BV101" t="s">
        <v>97</v>
      </c>
      <c r="BW101" t="s">
        <v>97</v>
      </c>
      <c r="BX101">
        <v>81.3</v>
      </c>
      <c r="BY101">
        <v>2650</v>
      </c>
      <c r="BZ101">
        <v>6.4</v>
      </c>
      <c r="CA101">
        <v>813052</v>
      </c>
      <c r="CB101">
        <v>666163</v>
      </c>
      <c r="CC101">
        <v>666163</v>
      </c>
      <c r="CD101">
        <v>518692</v>
      </c>
      <c r="CE101">
        <v>669242</v>
      </c>
      <c r="CF101">
        <v>500743</v>
      </c>
      <c r="CG101">
        <v>605141</v>
      </c>
      <c r="CH101">
        <v>571771</v>
      </c>
      <c r="CI101">
        <v>681624</v>
      </c>
      <c r="CJ101">
        <v>606192</v>
      </c>
      <c r="CK101">
        <v>54.05</v>
      </c>
      <c r="CL101" t="s">
        <v>97</v>
      </c>
      <c r="CM101" t="s">
        <v>97</v>
      </c>
      <c r="CN101" t="s">
        <v>97</v>
      </c>
      <c r="CO101" t="s">
        <v>97</v>
      </c>
      <c r="CP101" t="s">
        <v>97</v>
      </c>
      <c r="CQ101" t="s">
        <v>97</v>
      </c>
      <c r="CR101" t="s">
        <v>97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 t="s">
        <v>115</v>
      </c>
      <c r="DB101" t="s">
        <v>107</v>
      </c>
      <c r="DC101">
        <v>327</v>
      </c>
      <c r="DD101">
        <v>0</v>
      </c>
      <c r="DE101">
        <v>-6.5000000000000002E-2</v>
      </c>
      <c r="DF101" t="s">
        <v>97</v>
      </c>
      <c r="DG101" t="s">
        <v>97</v>
      </c>
    </row>
    <row r="102" spans="1:111" x14ac:dyDescent="0.2">
      <c r="A102">
        <v>2025</v>
      </c>
      <c r="B102" s="1">
        <v>45936</v>
      </c>
      <c r="C102" t="s">
        <v>95</v>
      </c>
      <c r="D102">
        <v>605483</v>
      </c>
      <c r="E102">
        <v>547180</v>
      </c>
      <c r="F102">
        <v>2</v>
      </c>
      <c r="G102">
        <v>1</v>
      </c>
      <c r="H102">
        <v>1</v>
      </c>
      <c r="I102" t="s">
        <v>163</v>
      </c>
      <c r="J102">
        <v>8</v>
      </c>
      <c r="K102">
        <v>4</v>
      </c>
      <c r="L102" t="s">
        <v>97</v>
      </c>
      <c r="M102" t="s">
        <v>98</v>
      </c>
      <c r="N102" t="s">
        <v>99</v>
      </c>
      <c r="O102">
        <f t="shared" si="16"/>
        <v>0</v>
      </c>
      <c r="P102">
        <f t="shared" si="17"/>
        <v>1</v>
      </c>
      <c r="Q102">
        <f t="shared" si="18"/>
        <v>0</v>
      </c>
      <c r="R102">
        <f t="shared" si="19"/>
        <v>0</v>
      </c>
      <c r="S102">
        <f t="shared" si="20"/>
        <v>0</v>
      </c>
      <c r="T102">
        <f t="shared" si="21"/>
        <v>0</v>
      </c>
      <c r="U102">
        <f t="shared" si="22"/>
        <v>0</v>
      </c>
      <c r="V102">
        <f t="shared" si="23"/>
        <v>0</v>
      </c>
      <c r="W102">
        <f t="shared" si="24"/>
        <v>0</v>
      </c>
      <c r="X102">
        <f t="shared" si="25"/>
        <v>0</v>
      </c>
      <c r="Y102">
        <f t="shared" si="26"/>
        <v>0</v>
      </c>
      <c r="Z102">
        <f t="shared" si="27"/>
        <v>0</v>
      </c>
      <c r="AA102">
        <f t="shared" si="28"/>
        <v>0</v>
      </c>
      <c r="AB102">
        <f t="shared" si="29"/>
        <v>0</v>
      </c>
      <c r="AC102">
        <f t="shared" si="30"/>
        <v>0</v>
      </c>
      <c r="AD102">
        <f t="shared" si="31"/>
        <v>0</v>
      </c>
      <c r="AE102">
        <v>96.9</v>
      </c>
      <c r="AF102">
        <v>1.98</v>
      </c>
      <c r="AG102">
        <v>6.65</v>
      </c>
      <c r="AH102" t="s">
        <v>113</v>
      </c>
      <c r="AI102" t="s">
        <v>97</v>
      </c>
      <c r="AJ102" t="s">
        <v>97</v>
      </c>
      <c r="AK102" t="s">
        <v>97</v>
      </c>
      <c r="AL102" t="s">
        <v>97</v>
      </c>
      <c r="AM102">
        <v>8</v>
      </c>
      <c r="AN102" t="s">
        <v>114</v>
      </c>
      <c r="AO102" t="s">
        <v>164</v>
      </c>
      <c r="AP102" t="s">
        <v>103</v>
      </c>
      <c r="AQ102" t="s">
        <v>103</v>
      </c>
      <c r="AR102" t="s">
        <v>165</v>
      </c>
      <c r="AS102" t="s">
        <v>104</v>
      </c>
      <c r="AT102" t="s">
        <v>110</v>
      </c>
      <c r="AU102" t="s">
        <v>97</v>
      </c>
      <c r="AV102" t="s">
        <v>97</v>
      </c>
      <c r="AW102">
        <v>0.21</v>
      </c>
      <c r="AX102">
        <v>1.86</v>
      </c>
      <c r="AY102">
        <v>-0.01</v>
      </c>
      <c r="AZ102">
        <v>1.86</v>
      </c>
      <c r="BA102" t="s">
        <v>97</v>
      </c>
      <c r="BB102" t="s">
        <v>97</v>
      </c>
      <c r="BC102" t="s">
        <v>97</v>
      </c>
      <c r="BD102">
        <v>2</v>
      </c>
      <c r="BE102" t="s">
        <v>97</v>
      </c>
      <c r="BF102" t="s">
        <v>97</v>
      </c>
      <c r="BG102" t="s">
        <v>97</v>
      </c>
      <c r="BH102" t="s">
        <v>97</v>
      </c>
      <c r="BI102">
        <v>666163</v>
      </c>
      <c r="BJ102">
        <v>666163</v>
      </c>
      <c r="BK102" t="s">
        <v>97</v>
      </c>
      <c r="BL102" t="s">
        <v>97</v>
      </c>
      <c r="BM102">
        <v>-5.8453691149999996</v>
      </c>
      <c r="BN102">
        <v>-140.44197260000001</v>
      </c>
      <c r="BO102">
        <v>-11.496119739999999</v>
      </c>
      <c r="BP102">
        <v>4.2198898700000003</v>
      </c>
      <c r="BQ102">
        <v>35.32137255</v>
      </c>
      <c r="BR102">
        <v>-5.0697204459999998</v>
      </c>
      <c r="BS102">
        <v>3.19</v>
      </c>
      <c r="BT102">
        <v>1.64</v>
      </c>
      <c r="BU102" t="s">
        <v>97</v>
      </c>
      <c r="BV102" t="s">
        <v>97</v>
      </c>
      <c r="BW102" t="s">
        <v>97</v>
      </c>
      <c r="BX102">
        <v>97.3</v>
      </c>
      <c r="BY102">
        <v>2560</v>
      </c>
      <c r="BZ102">
        <v>7</v>
      </c>
      <c r="CA102">
        <v>813052</v>
      </c>
      <c r="CB102">
        <v>666163</v>
      </c>
      <c r="CC102">
        <v>666163</v>
      </c>
      <c r="CD102">
        <v>518692</v>
      </c>
      <c r="CE102">
        <v>669242</v>
      </c>
      <c r="CF102">
        <v>500743</v>
      </c>
      <c r="CG102">
        <v>605141</v>
      </c>
      <c r="CH102">
        <v>571771</v>
      </c>
      <c r="CI102">
        <v>681624</v>
      </c>
      <c r="CJ102">
        <v>606192</v>
      </c>
      <c r="CK102">
        <v>53.52</v>
      </c>
      <c r="CL102" t="s">
        <v>97</v>
      </c>
      <c r="CM102" t="s">
        <v>97</v>
      </c>
      <c r="CN102" t="s">
        <v>97</v>
      </c>
      <c r="CO102" t="s">
        <v>97</v>
      </c>
      <c r="CP102" t="s">
        <v>97</v>
      </c>
      <c r="CQ102" t="s">
        <v>97</v>
      </c>
      <c r="CR102" t="s">
        <v>97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 t="s">
        <v>115</v>
      </c>
      <c r="DB102" t="s">
        <v>107</v>
      </c>
      <c r="DC102">
        <v>158</v>
      </c>
      <c r="DD102">
        <v>0</v>
      </c>
      <c r="DE102">
        <v>-7.2999999999999995E-2</v>
      </c>
      <c r="DF102">
        <v>80.7</v>
      </c>
      <c r="DG102">
        <v>7.4</v>
      </c>
    </row>
    <row r="103" spans="1:111" x14ac:dyDescent="0.2">
      <c r="A103">
        <v>2025</v>
      </c>
      <c r="B103" s="1">
        <v>45936</v>
      </c>
      <c r="C103" t="s">
        <v>95</v>
      </c>
      <c r="D103">
        <v>605483</v>
      </c>
      <c r="E103">
        <v>547180</v>
      </c>
      <c r="F103">
        <v>2</v>
      </c>
      <c r="G103">
        <v>2</v>
      </c>
      <c r="H103">
        <v>1</v>
      </c>
      <c r="I103" t="s">
        <v>163</v>
      </c>
      <c r="J103">
        <v>8</v>
      </c>
      <c r="K103">
        <v>5</v>
      </c>
      <c r="L103" t="s">
        <v>97</v>
      </c>
      <c r="M103" t="s">
        <v>111</v>
      </c>
      <c r="N103" t="s">
        <v>112</v>
      </c>
      <c r="O103">
        <f t="shared" si="16"/>
        <v>0</v>
      </c>
      <c r="P103">
        <f t="shared" si="17"/>
        <v>0</v>
      </c>
      <c r="Q103">
        <f t="shared" si="18"/>
        <v>0</v>
      </c>
      <c r="R103">
        <f t="shared" si="19"/>
        <v>0</v>
      </c>
      <c r="S103">
        <f t="shared" si="20"/>
        <v>0</v>
      </c>
      <c r="T103">
        <f t="shared" si="21"/>
        <v>0</v>
      </c>
      <c r="U103">
        <f t="shared" si="22"/>
        <v>0</v>
      </c>
      <c r="V103">
        <f t="shared" si="23"/>
        <v>1</v>
      </c>
      <c r="W103">
        <f t="shared" si="24"/>
        <v>0</v>
      </c>
      <c r="X103">
        <f t="shared" si="25"/>
        <v>0</v>
      </c>
      <c r="Y103">
        <f t="shared" si="26"/>
        <v>0</v>
      </c>
      <c r="Z103">
        <f t="shared" si="27"/>
        <v>0</v>
      </c>
      <c r="AA103">
        <f t="shared" si="28"/>
        <v>0</v>
      </c>
      <c r="AB103">
        <f t="shared" si="29"/>
        <v>0</v>
      </c>
      <c r="AC103">
        <f t="shared" si="30"/>
        <v>0</v>
      </c>
      <c r="AD103">
        <f t="shared" si="31"/>
        <v>0</v>
      </c>
      <c r="AE103">
        <v>84.1</v>
      </c>
      <c r="AF103">
        <v>1.8</v>
      </c>
      <c r="AG103">
        <v>6.73</v>
      </c>
      <c r="AH103" t="s">
        <v>100</v>
      </c>
      <c r="AI103" t="s">
        <v>97</v>
      </c>
      <c r="AJ103" t="s">
        <v>97</v>
      </c>
      <c r="AK103" t="s">
        <v>97</v>
      </c>
      <c r="AL103" t="s">
        <v>97</v>
      </c>
      <c r="AM103">
        <v>13</v>
      </c>
      <c r="AN103" t="s">
        <v>101</v>
      </c>
      <c r="AO103" t="s">
        <v>164</v>
      </c>
      <c r="AP103" t="s">
        <v>103</v>
      </c>
      <c r="AQ103" t="s">
        <v>103</v>
      </c>
      <c r="AR103" t="s">
        <v>165</v>
      </c>
      <c r="AS103" t="s">
        <v>104</v>
      </c>
      <c r="AT103" t="s">
        <v>106</v>
      </c>
      <c r="AU103" t="s">
        <v>97</v>
      </c>
      <c r="AV103" t="s">
        <v>97</v>
      </c>
      <c r="AW103">
        <v>-0.88</v>
      </c>
      <c r="AX103">
        <v>-0.41</v>
      </c>
      <c r="AY103">
        <v>-0.77</v>
      </c>
      <c r="AZ103">
        <v>-0.96</v>
      </c>
      <c r="BA103" t="s">
        <v>97</v>
      </c>
      <c r="BB103" t="s">
        <v>97</v>
      </c>
      <c r="BC103" t="s">
        <v>97</v>
      </c>
      <c r="BD103">
        <v>2</v>
      </c>
      <c r="BE103" t="s">
        <v>97</v>
      </c>
      <c r="BF103" t="s">
        <v>97</v>
      </c>
      <c r="BG103" t="s">
        <v>97</v>
      </c>
      <c r="BH103" t="s">
        <v>97</v>
      </c>
      <c r="BI103">
        <v>666163</v>
      </c>
      <c r="BJ103">
        <v>666163</v>
      </c>
      <c r="BK103" t="s">
        <v>97</v>
      </c>
      <c r="BL103" t="s">
        <v>97</v>
      </c>
      <c r="BM103">
        <v>-4.2322870530000003</v>
      </c>
      <c r="BN103">
        <v>-122.042711</v>
      </c>
      <c r="BO103">
        <v>-10.59105168</v>
      </c>
      <c r="BP103">
        <v>-7.8219274639999998</v>
      </c>
      <c r="BQ103">
        <v>27.022982930000001</v>
      </c>
      <c r="BR103">
        <v>-34.085872989999999</v>
      </c>
      <c r="BS103">
        <v>3.09</v>
      </c>
      <c r="BT103">
        <v>1.64</v>
      </c>
      <c r="BU103" t="s">
        <v>97</v>
      </c>
      <c r="BV103" t="s">
        <v>97</v>
      </c>
      <c r="BW103" t="s">
        <v>97</v>
      </c>
      <c r="BX103">
        <v>84.3</v>
      </c>
      <c r="BY103">
        <v>2659</v>
      </c>
      <c r="BZ103">
        <v>6.9</v>
      </c>
      <c r="CA103">
        <v>813052</v>
      </c>
      <c r="CB103">
        <v>666163</v>
      </c>
      <c r="CC103">
        <v>666163</v>
      </c>
      <c r="CD103">
        <v>518692</v>
      </c>
      <c r="CE103">
        <v>669242</v>
      </c>
      <c r="CF103">
        <v>500743</v>
      </c>
      <c r="CG103">
        <v>605141</v>
      </c>
      <c r="CH103">
        <v>571771</v>
      </c>
      <c r="CI103">
        <v>681624</v>
      </c>
      <c r="CJ103">
        <v>606192</v>
      </c>
      <c r="CK103">
        <v>53.65</v>
      </c>
      <c r="CL103" t="s">
        <v>97</v>
      </c>
      <c r="CM103" t="s">
        <v>97</v>
      </c>
      <c r="CN103" t="s">
        <v>97</v>
      </c>
      <c r="CO103" t="s">
        <v>97</v>
      </c>
      <c r="CP103" t="s">
        <v>97</v>
      </c>
      <c r="CQ103" t="s">
        <v>97</v>
      </c>
      <c r="CR103" t="s">
        <v>97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 t="s">
        <v>115</v>
      </c>
      <c r="DB103" t="s">
        <v>107</v>
      </c>
      <c r="DC103">
        <v>334</v>
      </c>
      <c r="DD103">
        <v>0</v>
      </c>
      <c r="DE103">
        <v>0.104</v>
      </c>
      <c r="DF103" t="s">
        <v>97</v>
      </c>
      <c r="DG103" t="s">
        <v>97</v>
      </c>
    </row>
    <row r="104" spans="1:111" x14ac:dyDescent="0.2">
      <c r="A104">
        <v>2025</v>
      </c>
      <c r="B104" s="1">
        <v>45936</v>
      </c>
      <c r="C104" t="s">
        <v>95</v>
      </c>
      <c r="D104">
        <v>605483</v>
      </c>
      <c r="E104">
        <v>547180</v>
      </c>
      <c r="F104">
        <v>3</v>
      </c>
      <c r="G104">
        <v>2</v>
      </c>
      <c r="H104">
        <v>1</v>
      </c>
      <c r="I104" t="s">
        <v>163</v>
      </c>
      <c r="J104">
        <v>8</v>
      </c>
      <c r="K104">
        <v>6</v>
      </c>
      <c r="L104" t="s">
        <v>142</v>
      </c>
      <c r="M104" t="s">
        <v>138</v>
      </c>
      <c r="N104" t="s">
        <v>139</v>
      </c>
      <c r="O104">
        <f t="shared" si="16"/>
        <v>0</v>
      </c>
      <c r="P104">
        <f t="shared" si="17"/>
        <v>0</v>
      </c>
      <c r="Q104">
        <f t="shared" si="18"/>
        <v>0</v>
      </c>
      <c r="R104">
        <f t="shared" si="19"/>
        <v>0</v>
      </c>
      <c r="S104">
        <f t="shared" si="20"/>
        <v>0</v>
      </c>
      <c r="T104">
        <f t="shared" si="21"/>
        <v>0</v>
      </c>
      <c r="U104">
        <f t="shared" si="22"/>
        <v>0</v>
      </c>
      <c r="V104">
        <f t="shared" si="23"/>
        <v>0</v>
      </c>
      <c r="W104">
        <f t="shared" si="24"/>
        <v>0</v>
      </c>
      <c r="X104">
        <f t="shared" si="25"/>
        <v>0</v>
      </c>
      <c r="Y104">
        <f t="shared" si="26"/>
        <v>0</v>
      </c>
      <c r="Z104">
        <f t="shared" si="27"/>
        <v>0</v>
      </c>
      <c r="AA104">
        <f t="shared" si="28"/>
        <v>0</v>
      </c>
      <c r="AB104">
        <f t="shared" si="29"/>
        <v>1</v>
      </c>
      <c r="AC104">
        <f t="shared" si="30"/>
        <v>0</v>
      </c>
      <c r="AD104">
        <f t="shared" si="31"/>
        <v>0</v>
      </c>
      <c r="AE104">
        <v>88.9</v>
      </c>
      <c r="AF104">
        <v>1.95</v>
      </c>
      <c r="AG104">
        <v>6.8</v>
      </c>
      <c r="AH104" t="s">
        <v>140</v>
      </c>
      <c r="AI104" t="s">
        <v>97</v>
      </c>
      <c r="AJ104" t="s">
        <v>97</v>
      </c>
      <c r="AK104" t="s">
        <v>97</v>
      </c>
      <c r="AL104" t="s">
        <v>97</v>
      </c>
      <c r="AM104">
        <v>13</v>
      </c>
      <c r="AN104" t="s">
        <v>169</v>
      </c>
      <c r="AO104" t="s">
        <v>164</v>
      </c>
      <c r="AP104" t="s">
        <v>103</v>
      </c>
      <c r="AQ104" t="s">
        <v>103</v>
      </c>
      <c r="AR104" t="s">
        <v>165</v>
      </c>
      <c r="AS104" t="s">
        <v>104</v>
      </c>
      <c r="AT104" t="s">
        <v>106</v>
      </c>
      <c r="AU104" t="s">
        <v>97</v>
      </c>
      <c r="AV104" t="s">
        <v>97</v>
      </c>
      <c r="AW104">
        <v>-0.33</v>
      </c>
      <c r="AX104">
        <v>0.65</v>
      </c>
      <c r="AY104">
        <v>-1.66</v>
      </c>
      <c r="AZ104">
        <v>0.04</v>
      </c>
      <c r="BA104" t="s">
        <v>97</v>
      </c>
      <c r="BB104" t="s">
        <v>97</v>
      </c>
      <c r="BC104" t="s">
        <v>97</v>
      </c>
      <c r="BD104">
        <v>2</v>
      </c>
      <c r="BE104" t="s">
        <v>97</v>
      </c>
      <c r="BF104" t="s">
        <v>97</v>
      </c>
      <c r="BG104" t="s">
        <v>97</v>
      </c>
      <c r="BH104" t="s">
        <v>97</v>
      </c>
      <c r="BI104">
        <v>666163</v>
      </c>
      <c r="BJ104">
        <v>666163</v>
      </c>
      <c r="BK104" t="s">
        <v>97</v>
      </c>
      <c r="BL104" t="s">
        <v>97</v>
      </c>
      <c r="BM104">
        <v>-8.1953675409999995</v>
      </c>
      <c r="BN104">
        <v>-128.9254636</v>
      </c>
      <c r="BO104">
        <v>-11.94591578</v>
      </c>
      <c r="BP104">
        <v>-2.1570911050000001</v>
      </c>
      <c r="BQ104">
        <v>24.725076820000002</v>
      </c>
      <c r="BR104">
        <v>-22.65261039</v>
      </c>
      <c r="BS104">
        <v>3.04</v>
      </c>
      <c r="BT104">
        <v>1.62</v>
      </c>
      <c r="BU104" t="s">
        <v>97</v>
      </c>
      <c r="BV104" t="s">
        <v>97</v>
      </c>
      <c r="BW104" t="s">
        <v>97</v>
      </c>
      <c r="BX104">
        <v>89.6</v>
      </c>
      <c r="BY104">
        <v>2450</v>
      </c>
      <c r="BZ104">
        <v>6.7</v>
      </c>
      <c r="CA104">
        <v>813052</v>
      </c>
      <c r="CB104">
        <v>666163</v>
      </c>
      <c r="CC104">
        <v>666163</v>
      </c>
      <c r="CD104">
        <v>518692</v>
      </c>
      <c r="CE104">
        <v>669242</v>
      </c>
      <c r="CF104">
        <v>500743</v>
      </c>
      <c r="CG104">
        <v>605141</v>
      </c>
      <c r="CH104">
        <v>571771</v>
      </c>
      <c r="CI104">
        <v>681624</v>
      </c>
      <c r="CJ104">
        <v>606192</v>
      </c>
      <c r="CK104">
        <v>53.79</v>
      </c>
      <c r="CL104" t="s">
        <v>97</v>
      </c>
      <c r="CM104">
        <v>0.69149700000000003</v>
      </c>
      <c r="CN104">
        <v>0.7</v>
      </c>
      <c r="CO104">
        <v>1</v>
      </c>
      <c r="CP104">
        <v>0</v>
      </c>
      <c r="CQ104">
        <v>0</v>
      </c>
      <c r="CR104" t="s">
        <v>97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 t="s">
        <v>115</v>
      </c>
      <c r="DB104" t="s">
        <v>107</v>
      </c>
      <c r="DC104">
        <v>163</v>
      </c>
      <c r="DD104">
        <v>1.2E-2</v>
      </c>
      <c r="DE104">
        <v>0.25900000000000001</v>
      </c>
      <c r="DF104" t="s">
        <v>97</v>
      </c>
      <c r="DG104" t="s">
        <v>97</v>
      </c>
    </row>
    <row r="105" spans="1:111" x14ac:dyDescent="0.2">
      <c r="A105">
        <v>2025</v>
      </c>
      <c r="B105" s="1">
        <v>45936</v>
      </c>
      <c r="C105" t="s">
        <v>95</v>
      </c>
      <c r="D105">
        <v>605483</v>
      </c>
      <c r="E105">
        <v>664761</v>
      </c>
      <c r="F105">
        <v>0</v>
      </c>
      <c r="G105">
        <v>0</v>
      </c>
      <c r="H105">
        <v>1</v>
      </c>
      <c r="I105" t="s">
        <v>163</v>
      </c>
      <c r="J105">
        <v>9</v>
      </c>
      <c r="K105">
        <v>1</v>
      </c>
      <c r="L105" t="s">
        <v>119</v>
      </c>
      <c r="M105" t="s">
        <v>98</v>
      </c>
      <c r="N105" t="s">
        <v>99</v>
      </c>
      <c r="O105">
        <f t="shared" si="16"/>
        <v>1</v>
      </c>
      <c r="P105">
        <f t="shared" si="17"/>
        <v>0</v>
      </c>
      <c r="Q105">
        <f t="shared" si="18"/>
        <v>0</v>
      </c>
      <c r="R105">
        <f t="shared" si="19"/>
        <v>0</v>
      </c>
      <c r="S105">
        <f t="shared" si="20"/>
        <v>0</v>
      </c>
      <c r="T105">
        <f t="shared" si="21"/>
        <v>0</v>
      </c>
      <c r="U105">
        <f t="shared" si="22"/>
        <v>0</v>
      </c>
      <c r="V105">
        <f t="shared" si="23"/>
        <v>0</v>
      </c>
      <c r="W105">
        <f t="shared" si="24"/>
        <v>0</v>
      </c>
      <c r="X105">
        <f t="shared" si="25"/>
        <v>0</v>
      </c>
      <c r="Y105">
        <f t="shared" si="26"/>
        <v>0</v>
      </c>
      <c r="Z105">
        <f t="shared" si="27"/>
        <v>0</v>
      </c>
      <c r="AA105">
        <f t="shared" si="28"/>
        <v>0</v>
      </c>
      <c r="AB105">
        <f t="shared" si="29"/>
        <v>0</v>
      </c>
      <c r="AC105">
        <f t="shared" si="30"/>
        <v>0</v>
      </c>
      <c r="AD105">
        <f t="shared" si="31"/>
        <v>0</v>
      </c>
      <c r="AE105">
        <v>94</v>
      </c>
      <c r="AF105">
        <v>1.93</v>
      </c>
      <c r="AG105">
        <v>6.79</v>
      </c>
      <c r="AH105" t="s">
        <v>120</v>
      </c>
      <c r="AI105" t="s">
        <v>97</v>
      </c>
      <c r="AJ105" t="s">
        <v>97</v>
      </c>
      <c r="AK105" t="s">
        <v>97</v>
      </c>
      <c r="AL105" t="s">
        <v>97</v>
      </c>
      <c r="AM105">
        <v>1</v>
      </c>
      <c r="AN105" t="s">
        <v>170</v>
      </c>
      <c r="AO105" t="s">
        <v>164</v>
      </c>
      <c r="AP105" t="s">
        <v>122</v>
      </c>
      <c r="AQ105" t="s">
        <v>103</v>
      </c>
      <c r="AR105" t="s">
        <v>165</v>
      </c>
      <c r="AS105" t="s">
        <v>104</v>
      </c>
      <c r="AT105" t="s">
        <v>123</v>
      </c>
      <c r="AU105">
        <v>4</v>
      </c>
      <c r="AV105" t="s">
        <v>127</v>
      </c>
      <c r="AW105">
        <v>0.18</v>
      </c>
      <c r="AX105">
        <v>1.41</v>
      </c>
      <c r="AY105">
        <v>-0.6</v>
      </c>
      <c r="AZ105">
        <v>3.46</v>
      </c>
      <c r="BA105" t="s">
        <v>97</v>
      </c>
      <c r="BB105" t="s">
        <v>97</v>
      </c>
      <c r="BC105">
        <v>547180</v>
      </c>
      <c r="BD105">
        <v>2</v>
      </c>
      <c r="BE105">
        <v>152.77000000000001</v>
      </c>
      <c r="BF105">
        <v>154.91999999999999</v>
      </c>
      <c r="BG105" t="s">
        <v>97</v>
      </c>
      <c r="BH105" t="s">
        <v>97</v>
      </c>
      <c r="BI105">
        <v>666163</v>
      </c>
      <c r="BJ105">
        <v>666163</v>
      </c>
      <c r="BK105" t="s">
        <v>97</v>
      </c>
      <c r="BL105" t="s">
        <v>97</v>
      </c>
      <c r="BM105">
        <v>-6.9805200940000001</v>
      </c>
      <c r="BN105">
        <v>-136.6017415</v>
      </c>
      <c r="BO105">
        <v>-6.0461993940000003</v>
      </c>
      <c r="BP105">
        <v>3.8008643420000001</v>
      </c>
      <c r="BQ105">
        <v>30.281408689999999</v>
      </c>
      <c r="BR105">
        <v>-13.34567275</v>
      </c>
      <c r="BS105">
        <v>3.59</v>
      </c>
      <c r="BT105">
        <v>1.64</v>
      </c>
      <c r="BU105">
        <v>118</v>
      </c>
      <c r="BV105">
        <v>61.1</v>
      </c>
      <c r="BW105">
        <v>15</v>
      </c>
      <c r="BX105">
        <v>94.5</v>
      </c>
      <c r="BY105">
        <v>2414</v>
      </c>
      <c r="BZ105">
        <v>6.7</v>
      </c>
      <c r="CA105">
        <v>813052</v>
      </c>
      <c r="CB105">
        <v>666163</v>
      </c>
      <c r="CC105">
        <v>666163</v>
      </c>
      <c r="CD105">
        <v>518692</v>
      </c>
      <c r="CE105">
        <v>669242</v>
      </c>
      <c r="CF105">
        <v>500743</v>
      </c>
      <c r="CG105">
        <v>605141</v>
      </c>
      <c r="CH105">
        <v>571771</v>
      </c>
      <c r="CI105">
        <v>681624</v>
      </c>
      <c r="CJ105">
        <v>606192</v>
      </c>
      <c r="CK105">
        <v>53.81</v>
      </c>
      <c r="CL105">
        <v>0.23400000000000001</v>
      </c>
      <c r="CM105">
        <v>0.21099999999999999</v>
      </c>
      <c r="CN105">
        <v>0</v>
      </c>
      <c r="CO105">
        <v>1</v>
      </c>
      <c r="CP105">
        <v>0</v>
      </c>
      <c r="CQ105">
        <v>0</v>
      </c>
      <c r="CR105">
        <v>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 t="s">
        <v>107</v>
      </c>
      <c r="DB105" t="s">
        <v>107</v>
      </c>
      <c r="DC105">
        <v>158</v>
      </c>
      <c r="DD105">
        <v>-2.1999999999999999E-2</v>
      </c>
      <c r="DE105">
        <v>-0.27100000000000002</v>
      </c>
      <c r="DF105">
        <v>69.8</v>
      </c>
      <c r="DG105">
        <v>6</v>
      </c>
    </row>
    <row r="106" spans="1:111" x14ac:dyDescent="0.2">
      <c r="A106">
        <v>2025</v>
      </c>
      <c r="B106" s="1">
        <v>45936</v>
      </c>
      <c r="C106" t="s">
        <v>95</v>
      </c>
      <c r="D106">
        <v>605483</v>
      </c>
      <c r="E106">
        <v>592663</v>
      </c>
      <c r="F106">
        <v>0</v>
      </c>
      <c r="G106">
        <v>0</v>
      </c>
      <c r="H106">
        <v>2</v>
      </c>
      <c r="I106" t="s">
        <v>163</v>
      </c>
      <c r="J106">
        <v>13</v>
      </c>
      <c r="K106">
        <v>1</v>
      </c>
      <c r="L106" t="s">
        <v>97</v>
      </c>
      <c r="M106" t="s">
        <v>98</v>
      </c>
      <c r="N106" t="s">
        <v>99</v>
      </c>
      <c r="O106">
        <f t="shared" si="16"/>
        <v>0</v>
      </c>
      <c r="P106">
        <f t="shared" si="17"/>
        <v>0</v>
      </c>
      <c r="Q106">
        <f t="shared" si="18"/>
        <v>0</v>
      </c>
      <c r="R106">
        <f t="shared" si="19"/>
        <v>1</v>
      </c>
      <c r="S106">
        <f t="shared" si="20"/>
        <v>0</v>
      </c>
      <c r="T106">
        <f t="shared" si="21"/>
        <v>0</v>
      </c>
      <c r="U106">
        <f t="shared" si="22"/>
        <v>0</v>
      </c>
      <c r="V106">
        <f t="shared" si="23"/>
        <v>0</v>
      </c>
      <c r="W106">
        <f t="shared" si="24"/>
        <v>0</v>
      </c>
      <c r="X106">
        <f t="shared" si="25"/>
        <v>0</v>
      </c>
      <c r="Y106">
        <f t="shared" si="26"/>
        <v>0</v>
      </c>
      <c r="Z106">
        <f t="shared" si="27"/>
        <v>0</v>
      </c>
      <c r="AA106">
        <f t="shared" si="28"/>
        <v>0</v>
      </c>
      <c r="AB106">
        <f t="shared" si="29"/>
        <v>0</v>
      </c>
      <c r="AC106">
        <f t="shared" si="30"/>
        <v>0</v>
      </c>
      <c r="AD106">
        <f t="shared" si="31"/>
        <v>0</v>
      </c>
      <c r="AE106">
        <v>96.3</v>
      </c>
      <c r="AF106">
        <v>1.89</v>
      </c>
      <c r="AG106">
        <v>6.73</v>
      </c>
      <c r="AH106" t="s">
        <v>108</v>
      </c>
      <c r="AI106" t="s">
        <v>97</v>
      </c>
      <c r="AJ106" t="s">
        <v>97</v>
      </c>
      <c r="AK106" t="s">
        <v>97</v>
      </c>
      <c r="AL106" t="s">
        <v>97</v>
      </c>
      <c r="AM106">
        <v>7</v>
      </c>
      <c r="AN106" t="s">
        <v>109</v>
      </c>
      <c r="AO106" t="s">
        <v>164</v>
      </c>
      <c r="AP106" t="s">
        <v>122</v>
      </c>
      <c r="AQ106" t="s">
        <v>103</v>
      </c>
      <c r="AR106" t="s">
        <v>165</v>
      </c>
      <c r="AS106" t="s">
        <v>104</v>
      </c>
      <c r="AT106" t="s">
        <v>110</v>
      </c>
      <c r="AU106" t="s">
        <v>97</v>
      </c>
      <c r="AV106" t="s">
        <v>97</v>
      </c>
      <c r="AW106">
        <v>0.44</v>
      </c>
      <c r="AX106">
        <v>1.67</v>
      </c>
      <c r="AY106">
        <v>-0.68</v>
      </c>
      <c r="AZ106">
        <v>2.19</v>
      </c>
      <c r="BA106" t="s">
        <v>97</v>
      </c>
      <c r="BB106" t="s">
        <v>97</v>
      </c>
      <c r="BC106" t="s">
        <v>97</v>
      </c>
      <c r="BD106">
        <v>0</v>
      </c>
      <c r="BE106" t="s">
        <v>97</v>
      </c>
      <c r="BF106" t="s">
        <v>97</v>
      </c>
      <c r="BG106" t="s">
        <v>97</v>
      </c>
      <c r="BH106" t="s">
        <v>97</v>
      </c>
      <c r="BI106">
        <v>666163</v>
      </c>
      <c r="BJ106">
        <v>666163</v>
      </c>
      <c r="BK106" t="s">
        <v>97</v>
      </c>
      <c r="BL106" t="s">
        <v>97</v>
      </c>
      <c r="BM106">
        <v>-7.875380829</v>
      </c>
      <c r="BN106">
        <v>-139.57711219999999</v>
      </c>
      <c r="BO106">
        <v>-10.269848319999999</v>
      </c>
      <c r="BP106">
        <v>7.692689637</v>
      </c>
      <c r="BQ106">
        <v>34.33304218</v>
      </c>
      <c r="BR106">
        <v>-8.0609140779999997</v>
      </c>
      <c r="BS106">
        <v>3.71</v>
      </c>
      <c r="BT106">
        <v>1.69</v>
      </c>
      <c r="BU106" t="s">
        <v>97</v>
      </c>
      <c r="BV106" t="s">
        <v>97</v>
      </c>
      <c r="BW106" t="s">
        <v>97</v>
      </c>
      <c r="BX106">
        <v>96.4</v>
      </c>
      <c r="BY106">
        <v>2547</v>
      </c>
      <c r="BZ106">
        <v>6.8</v>
      </c>
      <c r="CA106">
        <v>813052</v>
      </c>
      <c r="CB106">
        <v>666163</v>
      </c>
      <c r="CC106">
        <v>666163</v>
      </c>
      <c r="CD106">
        <v>518692</v>
      </c>
      <c r="CE106">
        <v>669242</v>
      </c>
      <c r="CF106">
        <v>500743</v>
      </c>
      <c r="CG106">
        <v>605141</v>
      </c>
      <c r="CH106">
        <v>571771</v>
      </c>
      <c r="CI106">
        <v>681624</v>
      </c>
      <c r="CJ106">
        <v>606192</v>
      </c>
      <c r="CK106">
        <v>53.7</v>
      </c>
      <c r="CL106" t="s">
        <v>97</v>
      </c>
      <c r="CM106" t="s">
        <v>97</v>
      </c>
      <c r="CN106" t="s">
        <v>97</v>
      </c>
      <c r="CO106" t="s">
        <v>97</v>
      </c>
      <c r="CP106" t="s">
        <v>97</v>
      </c>
      <c r="CQ106" t="s">
        <v>97</v>
      </c>
      <c r="CR106" t="s">
        <v>97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 t="s">
        <v>107</v>
      </c>
      <c r="DB106" t="s">
        <v>107</v>
      </c>
      <c r="DC106">
        <v>153</v>
      </c>
      <c r="DD106">
        <v>0</v>
      </c>
      <c r="DE106">
        <v>-3.9E-2</v>
      </c>
      <c r="DF106" t="s">
        <v>97</v>
      </c>
      <c r="DG106" t="s">
        <v>97</v>
      </c>
    </row>
    <row r="107" spans="1:111" x14ac:dyDescent="0.2">
      <c r="A107">
        <v>2025</v>
      </c>
      <c r="B107" s="1">
        <v>45936</v>
      </c>
      <c r="C107" t="s">
        <v>95</v>
      </c>
      <c r="D107">
        <v>605483</v>
      </c>
      <c r="E107">
        <v>592663</v>
      </c>
      <c r="F107">
        <v>0</v>
      </c>
      <c r="G107">
        <v>1</v>
      </c>
      <c r="H107">
        <v>2</v>
      </c>
      <c r="I107" t="s">
        <v>163</v>
      </c>
      <c r="J107">
        <v>13</v>
      </c>
      <c r="K107">
        <v>2</v>
      </c>
      <c r="L107" t="s">
        <v>97</v>
      </c>
      <c r="M107" t="s">
        <v>138</v>
      </c>
      <c r="N107" t="s">
        <v>139</v>
      </c>
      <c r="O107">
        <f t="shared" si="16"/>
        <v>0</v>
      </c>
      <c r="P107">
        <f t="shared" si="17"/>
        <v>0</v>
      </c>
      <c r="Q107">
        <f t="shared" si="18"/>
        <v>0</v>
      </c>
      <c r="R107">
        <f t="shared" si="19"/>
        <v>0</v>
      </c>
      <c r="S107">
        <f t="shared" si="20"/>
        <v>0</v>
      </c>
      <c r="T107">
        <f t="shared" si="21"/>
        <v>0</v>
      </c>
      <c r="U107">
        <f t="shared" si="22"/>
        <v>0</v>
      </c>
      <c r="V107">
        <f t="shared" si="23"/>
        <v>0</v>
      </c>
      <c r="W107">
        <f t="shared" si="24"/>
        <v>0</v>
      </c>
      <c r="X107">
        <f t="shared" si="25"/>
        <v>0</v>
      </c>
      <c r="Y107">
        <f t="shared" si="26"/>
        <v>0</v>
      </c>
      <c r="Z107">
        <f t="shared" si="27"/>
        <v>0</v>
      </c>
      <c r="AA107">
        <f t="shared" si="28"/>
        <v>0</v>
      </c>
      <c r="AB107">
        <f t="shared" si="29"/>
        <v>1</v>
      </c>
      <c r="AC107">
        <f t="shared" si="30"/>
        <v>0</v>
      </c>
      <c r="AD107">
        <f t="shared" si="31"/>
        <v>0</v>
      </c>
      <c r="AE107">
        <v>89.7</v>
      </c>
      <c r="AF107">
        <v>1.9</v>
      </c>
      <c r="AG107">
        <v>6.77</v>
      </c>
      <c r="AH107" t="s">
        <v>100</v>
      </c>
      <c r="AI107" t="s">
        <v>97</v>
      </c>
      <c r="AJ107" t="s">
        <v>97</v>
      </c>
      <c r="AK107" t="s">
        <v>97</v>
      </c>
      <c r="AL107" t="s">
        <v>97</v>
      </c>
      <c r="AM107">
        <v>13</v>
      </c>
      <c r="AN107" t="s">
        <v>101</v>
      </c>
      <c r="AO107" t="s">
        <v>164</v>
      </c>
      <c r="AP107" t="s">
        <v>122</v>
      </c>
      <c r="AQ107" t="s">
        <v>103</v>
      </c>
      <c r="AR107" t="s">
        <v>165</v>
      </c>
      <c r="AS107" t="s">
        <v>104</v>
      </c>
      <c r="AT107" t="s">
        <v>106</v>
      </c>
      <c r="AU107" t="s">
        <v>97</v>
      </c>
      <c r="AV107" t="s">
        <v>97</v>
      </c>
      <c r="AW107">
        <v>-0.11</v>
      </c>
      <c r="AX107">
        <v>0.82</v>
      </c>
      <c r="AY107">
        <v>-1.54</v>
      </c>
      <c r="AZ107">
        <v>1.32</v>
      </c>
      <c r="BA107" t="s">
        <v>97</v>
      </c>
      <c r="BB107" t="s">
        <v>97</v>
      </c>
      <c r="BC107" t="s">
        <v>97</v>
      </c>
      <c r="BD107">
        <v>0</v>
      </c>
      <c r="BE107" t="s">
        <v>97</v>
      </c>
      <c r="BF107" t="s">
        <v>97</v>
      </c>
      <c r="BG107" t="s">
        <v>97</v>
      </c>
      <c r="BH107" t="s">
        <v>97</v>
      </c>
      <c r="BI107">
        <v>666163</v>
      </c>
      <c r="BJ107">
        <v>666163</v>
      </c>
      <c r="BK107" t="s">
        <v>97</v>
      </c>
      <c r="BL107" t="s">
        <v>97</v>
      </c>
      <c r="BM107">
        <v>-8.3018794469999992</v>
      </c>
      <c r="BN107">
        <v>-129.99566350000001</v>
      </c>
      <c r="BO107">
        <v>-9.1468164919999992</v>
      </c>
      <c r="BP107">
        <v>0.680985277</v>
      </c>
      <c r="BQ107">
        <v>30.519062859999998</v>
      </c>
      <c r="BR107">
        <v>-20.954066480000002</v>
      </c>
      <c r="BS107">
        <v>3.61</v>
      </c>
      <c r="BT107">
        <v>1.69</v>
      </c>
      <c r="BU107" t="s">
        <v>97</v>
      </c>
      <c r="BV107" t="s">
        <v>97</v>
      </c>
      <c r="BW107" t="s">
        <v>97</v>
      </c>
      <c r="BX107">
        <v>89.6</v>
      </c>
      <c r="BY107">
        <v>2487</v>
      </c>
      <c r="BZ107">
        <v>6.7</v>
      </c>
      <c r="CA107">
        <v>813052</v>
      </c>
      <c r="CB107">
        <v>666163</v>
      </c>
      <c r="CC107">
        <v>666163</v>
      </c>
      <c r="CD107">
        <v>518692</v>
      </c>
      <c r="CE107">
        <v>669242</v>
      </c>
      <c r="CF107">
        <v>500743</v>
      </c>
      <c r="CG107">
        <v>605141</v>
      </c>
      <c r="CH107">
        <v>571771</v>
      </c>
      <c r="CI107">
        <v>681624</v>
      </c>
      <c r="CJ107">
        <v>606192</v>
      </c>
      <c r="CK107">
        <v>53.79</v>
      </c>
      <c r="CL107" t="s">
        <v>97</v>
      </c>
      <c r="CM107" t="s">
        <v>97</v>
      </c>
      <c r="CN107" t="s">
        <v>97</v>
      </c>
      <c r="CO107" t="s">
        <v>97</v>
      </c>
      <c r="CP107" t="s">
        <v>97</v>
      </c>
      <c r="CQ107" t="s">
        <v>97</v>
      </c>
      <c r="CR107" t="s">
        <v>97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 t="s">
        <v>107</v>
      </c>
      <c r="DB107" t="s">
        <v>107</v>
      </c>
      <c r="DC107">
        <v>170</v>
      </c>
      <c r="DD107">
        <v>0</v>
      </c>
      <c r="DE107">
        <v>3.1E-2</v>
      </c>
      <c r="DF107" t="s">
        <v>97</v>
      </c>
      <c r="DG107" t="s">
        <v>97</v>
      </c>
    </row>
    <row r="108" spans="1:111" x14ac:dyDescent="0.2">
      <c r="A108">
        <v>2025</v>
      </c>
      <c r="B108" s="1">
        <v>45936</v>
      </c>
      <c r="C108" t="s">
        <v>95</v>
      </c>
      <c r="D108">
        <v>605483</v>
      </c>
      <c r="E108">
        <v>592663</v>
      </c>
      <c r="F108">
        <v>1</v>
      </c>
      <c r="G108">
        <v>1</v>
      </c>
      <c r="H108">
        <v>2</v>
      </c>
      <c r="I108" t="s">
        <v>163</v>
      </c>
      <c r="J108">
        <v>13</v>
      </c>
      <c r="K108">
        <v>3</v>
      </c>
      <c r="L108" t="s">
        <v>97</v>
      </c>
      <c r="M108" t="s">
        <v>98</v>
      </c>
      <c r="N108" t="s">
        <v>99</v>
      </c>
      <c r="O108">
        <f t="shared" si="16"/>
        <v>1</v>
      </c>
      <c r="P108">
        <f t="shared" si="17"/>
        <v>0</v>
      </c>
      <c r="Q108">
        <f t="shared" si="18"/>
        <v>0</v>
      </c>
      <c r="R108">
        <f t="shared" si="19"/>
        <v>0</v>
      </c>
      <c r="S108">
        <f t="shared" si="20"/>
        <v>0</v>
      </c>
      <c r="T108">
        <f t="shared" si="21"/>
        <v>0</v>
      </c>
      <c r="U108">
        <f t="shared" si="22"/>
        <v>0</v>
      </c>
      <c r="V108">
        <f t="shared" si="23"/>
        <v>0</v>
      </c>
      <c r="W108">
        <f t="shared" si="24"/>
        <v>0</v>
      </c>
      <c r="X108">
        <f t="shared" si="25"/>
        <v>0</v>
      </c>
      <c r="Y108">
        <f t="shared" si="26"/>
        <v>0</v>
      </c>
      <c r="Z108">
        <f t="shared" si="27"/>
        <v>0</v>
      </c>
      <c r="AA108">
        <f t="shared" si="28"/>
        <v>0</v>
      </c>
      <c r="AB108">
        <f t="shared" si="29"/>
        <v>0</v>
      </c>
      <c r="AC108">
        <f t="shared" si="30"/>
        <v>0</v>
      </c>
      <c r="AD108">
        <f t="shared" si="31"/>
        <v>0</v>
      </c>
      <c r="AE108">
        <v>95.6</v>
      </c>
      <c r="AF108">
        <v>1.9</v>
      </c>
      <c r="AG108">
        <v>6.82</v>
      </c>
      <c r="AH108" t="s">
        <v>129</v>
      </c>
      <c r="AI108" t="s">
        <v>97</v>
      </c>
      <c r="AJ108" t="s">
        <v>97</v>
      </c>
      <c r="AK108" t="s">
        <v>97</v>
      </c>
      <c r="AL108" t="s">
        <v>97</v>
      </c>
      <c r="AM108">
        <v>11</v>
      </c>
      <c r="AN108" t="s">
        <v>130</v>
      </c>
      <c r="AO108" t="s">
        <v>164</v>
      </c>
      <c r="AP108" t="s">
        <v>122</v>
      </c>
      <c r="AQ108" t="s">
        <v>103</v>
      </c>
      <c r="AR108" t="s">
        <v>165</v>
      </c>
      <c r="AS108" t="s">
        <v>104</v>
      </c>
      <c r="AT108" t="s">
        <v>110</v>
      </c>
      <c r="AU108" t="s">
        <v>97</v>
      </c>
      <c r="AV108" t="s">
        <v>97</v>
      </c>
      <c r="AW108">
        <v>0.3</v>
      </c>
      <c r="AX108">
        <v>1.59</v>
      </c>
      <c r="AY108">
        <v>-0.88</v>
      </c>
      <c r="AZ108">
        <v>3.58</v>
      </c>
      <c r="BA108" t="s">
        <v>97</v>
      </c>
      <c r="BB108" t="s">
        <v>97</v>
      </c>
      <c r="BC108" t="s">
        <v>97</v>
      </c>
      <c r="BD108">
        <v>0</v>
      </c>
      <c r="BE108" t="s">
        <v>97</v>
      </c>
      <c r="BF108" t="s">
        <v>97</v>
      </c>
      <c r="BG108" t="s">
        <v>97</v>
      </c>
      <c r="BH108" t="s">
        <v>97</v>
      </c>
      <c r="BI108">
        <v>666163</v>
      </c>
      <c r="BJ108">
        <v>666163</v>
      </c>
      <c r="BK108" t="s">
        <v>97</v>
      </c>
      <c r="BL108" t="s">
        <v>97</v>
      </c>
      <c r="BM108">
        <v>-8.0582675179999992</v>
      </c>
      <c r="BN108">
        <v>-138.8197375</v>
      </c>
      <c r="BO108">
        <v>-6.4526548760000004</v>
      </c>
      <c r="BP108">
        <v>5.8232361409999998</v>
      </c>
      <c r="BQ108">
        <v>34.166484250000003</v>
      </c>
      <c r="BR108">
        <v>-10.423186619999999</v>
      </c>
      <c r="BS108">
        <v>3.66</v>
      </c>
      <c r="BT108">
        <v>1.74</v>
      </c>
      <c r="BU108">
        <v>98</v>
      </c>
      <c r="BV108">
        <v>74.8</v>
      </c>
      <c r="BW108">
        <v>7</v>
      </c>
      <c r="BX108">
        <v>95.7</v>
      </c>
      <c r="BY108">
        <v>2546</v>
      </c>
      <c r="BZ108">
        <v>6.7</v>
      </c>
      <c r="CA108">
        <v>813052</v>
      </c>
      <c r="CB108">
        <v>666163</v>
      </c>
      <c r="CC108">
        <v>666163</v>
      </c>
      <c r="CD108">
        <v>518692</v>
      </c>
      <c r="CE108">
        <v>669242</v>
      </c>
      <c r="CF108">
        <v>500743</v>
      </c>
      <c r="CG108">
        <v>605141</v>
      </c>
      <c r="CH108">
        <v>571771</v>
      </c>
      <c r="CI108">
        <v>681624</v>
      </c>
      <c r="CJ108">
        <v>606192</v>
      </c>
      <c r="CK108">
        <v>53.8</v>
      </c>
      <c r="CL108" t="s">
        <v>97</v>
      </c>
      <c r="CM108" t="s">
        <v>97</v>
      </c>
      <c r="CN108" t="s">
        <v>97</v>
      </c>
      <c r="CO108" t="s">
        <v>97</v>
      </c>
      <c r="CP108" t="s">
        <v>97</v>
      </c>
      <c r="CQ108" t="s">
        <v>97</v>
      </c>
      <c r="CR108" t="s">
        <v>97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 t="s">
        <v>107</v>
      </c>
      <c r="DB108" t="s">
        <v>107</v>
      </c>
      <c r="DC108">
        <v>159</v>
      </c>
      <c r="DD108">
        <v>0</v>
      </c>
      <c r="DE108">
        <v>-6.0999999999999999E-2</v>
      </c>
      <c r="DF108">
        <v>21.1</v>
      </c>
      <c r="DG108">
        <v>4.2</v>
      </c>
    </row>
    <row r="109" spans="1:111" x14ac:dyDescent="0.2">
      <c r="A109">
        <v>2025</v>
      </c>
      <c r="B109" s="1">
        <v>45936</v>
      </c>
      <c r="C109" t="s">
        <v>95</v>
      </c>
      <c r="D109">
        <v>605483</v>
      </c>
      <c r="E109">
        <v>592663</v>
      </c>
      <c r="F109">
        <v>1</v>
      </c>
      <c r="G109">
        <v>2</v>
      </c>
      <c r="H109">
        <v>2</v>
      </c>
      <c r="I109" t="s">
        <v>163</v>
      </c>
      <c r="J109">
        <v>13</v>
      </c>
      <c r="K109">
        <v>4</v>
      </c>
      <c r="L109" t="s">
        <v>97</v>
      </c>
      <c r="M109" t="s">
        <v>98</v>
      </c>
      <c r="N109" t="s">
        <v>99</v>
      </c>
      <c r="O109">
        <f t="shared" si="16"/>
        <v>1</v>
      </c>
      <c r="P109">
        <f t="shared" si="17"/>
        <v>0</v>
      </c>
      <c r="Q109">
        <f t="shared" si="18"/>
        <v>0</v>
      </c>
      <c r="R109">
        <f t="shared" si="19"/>
        <v>0</v>
      </c>
      <c r="S109">
        <f t="shared" si="20"/>
        <v>0</v>
      </c>
      <c r="T109">
        <f t="shared" si="21"/>
        <v>0</v>
      </c>
      <c r="U109">
        <f t="shared" si="22"/>
        <v>0</v>
      </c>
      <c r="V109">
        <f t="shared" si="23"/>
        <v>0</v>
      </c>
      <c r="W109">
        <f t="shared" si="24"/>
        <v>0</v>
      </c>
      <c r="X109">
        <f t="shared" si="25"/>
        <v>0</v>
      </c>
      <c r="Y109">
        <f t="shared" si="26"/>
        <v>0</v>
      </c>
      <c r="Z109">
        <f t="shared" si="27"/>
        <v>0</v>
      </c>
      <c r="AA109">
        <f t="shared" si="28"/>
        <v>0</v>
      </c>
      <c r="AB109">
        <f t="shared" si="29"/>
        <v>0</v>
      </c>
      <c r="AC109">
        <f t="shared" si="30"/>
        <v>0</v>
      </c>
      <c r="AD109">
        <f t="shared" si="31"/>
        <v>0</v>
      </c>
      <c r="AE109">
        <v>96.6</v>
      </c>
      <c r="AF109">
        <v>1.82</v>
      </c>
      <c r="AG109">
        <v>6.72</v>
      </c>
      <c r="AH109" t="s">
        <v>100</v>
      </c>
      <c r="AI109" t="s">
        <v>97</v>
      </c>
      <c r="AJ109" t="s">
        <v>97</v>
      </c>
      <c r="AK109" t="s">
        <v>97</v>
      </c>
      <c r="AL109" t="s">
        <v>97</v>
      </c>
      <c r="AM109">
        <v>11</v>
      </c>
      <c r="AN109" t="s">
        <v>101</v>
      </c>
      <c r="AO109" t="s">
        <v>164</v>
      </c>
      <c r="AP109" t="s">
        <v>122</v>
      </c>
      <c r="AQ109" t="s">
        <v>103</v>
      </c>
      <c r="AR109" t="s">
        <v>165</v>
      </c>
      <c r="AS109" t="s">
        <v>104</v>
      </c>
      <c r="AT109" t="s">
        <v>106</v>
      </c>
      <c r="AU109" t="s">
        <v>97</v>
      </c>
      <c r="AV109" t="s">
        <v>97</v>
      </c>
      <c r="AW109">
        <v>0.36</v>
      </c>
      <c r="AX109">
        <v>1.39</v>
      </c>
      <c r="AY109">
        <v>-1.24</v>
      </c>
      <c r="AZ109">
        <v>3</v>
      </c>
      <c r="BA109" t="s">
        <v>97</v>
      </c>
      <c r="BB109" t="s">
        <v>97</v>
      </c>
      <c r="BC109" t="s">
        <v>97</v>
      </c>
      <c r="BD109">
        <v>0</v>
      </c>
      <c r="BE109" t="s">
        <v>97</v>
      </c>
      <c r="BF109" t="s">
        <v>97</v>
      </c>
      <c r="BG109" t="s">
        <v>97</v>
      </c>
      <c r="BH109" t="s">
        <v>97</v>
      </c>
      <c r="BI109">
        <v>666163</v>
      </c>
      <c r="BJ109">
        <v>666163</v>
      </c>
      <c r="BK109" t="s">
        <v>97</v>
      </c>
      <c r="BL109" t="s">
        <v>97</v>
      </c>
      <c r="BM109">
        <v>-9.0393344219999996</v>
      </c>
      <c r="BN109">
        <v>-140.29740659999999</v>
      </c>
      <c r="BO109">
        <v>-7.5262323560000004</v>
      </c>
      <c r="BP109">
        <v>6.8180490679999997</v>
      </c>
      <c r="BQ109">
        <v>32.928939419999999</v>
      </c>
      <c r="BR109">
        <v>-12.24760755</v>
      </c>
      <c r="BS109">
        <v>3.61</v>
      </c>
      <c r="BT109">
        <v>1.71</v>
      </c>
      <c r="BU109" t="s">
        <v>97</v>
      </c>
      <c r="BV109" t="s">
        <v>97</v>
      </c>
      <c r="BW109" t="s">
        <v>97</v>
      </c>
      <c r="BX109">
        <v>97.2</v>
      </c>
      <c r="BY109">
        <v>2530</v>
      </c>
      <c r="BZ109">
        <v>6.8</v>
      </c>
      <c r="CA109">
        <v>813052</v>
      </c>
      <c r="CB109">
        <v>666163</v>
      </c>
      <c r="CC109">
        <v>666163</v>
      </c>
      <c r="CD109">
        <v>518692</v>
      </c>
      <c r="CE109">
        <v>669242</v>
      </c>
      <c r="CF109">
        <v>500743</v>
      </c>
      <c r="CG109">
        <v>605141</v>
      </c>
      <c r="CH109">
        <v>571771</v>
      </c>
      <c r="CI109">
        <v>681624</v>
      </c>
      <c r="CJ109">
        <v>606192</v>
      </c>
      <c r="CK109">
        <v>53.71</v>
      </c>
      <c r="CL109" t="s">
        <v>97</v>
      </c>
      <c r="CM109" t="s">
        <v>97</v>
      </c>
      <c r="CN109" t="s">
        <v>97</v>
      </c>
      <c r="CO109" t="s">
        <v>97</v>
      </c>
      <c r="CP109" t="s">
        <v>97</v>
      </c>
      <c r="CQ109" t="s">
        <v>97</v>
      </c>
      <c r="CR109" t="s">
        <v>97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 t="s">
        <v>107</v>
      </c>
      <c r="DB109" t="s">
        <v>107</v>
      </c>
      <c r="DC109">
        <v>159</v>
      </c>
      <c r="DD109">
        <v>0</v>
      </c>
      <c r="DE109">
        <v>4.2999999999999997E-2</v>
      </c>
      <c r="DF109" t="s">
        <v>97</v>
      </c>
      <c r="DG109" t="s">
        <v>97</v>
      </c>
    </row>
    <row r="110" spans="1:111" x14ac:dyDescent="0.2">
      <c r="A110">
        <v>2025</v>
      </c>
      <c r="B110" s="1">
        <v>45936</v>
      </c>
      <c r="C110" t="s">
        <v>95</v>
      </c>
      <c r="D110">
        <v>605483</v>
      </c>
      <c r="E110">
        <v>592663</v>
      </c>
      <c r="F110">
        <v>2</v>
      </c>
      <c r="G110">
        <v>2</v>
      </c>
      <c r="H110">
        <v>2</v>
      </c>
      <c r="I110" t="s">
        <v>163</v>
      </c>
      <c r="J110">
        <v>13</v>
      </c>
      <c r="K110">
        <v>5</v>
      </c>
      <c r="L110" t="s">
        <v>119</v>
      </c>
      <c r="M110" t="s">
        <v>98</v>
      </c>
      <c r="N110" t="s">
        <v>99</v>
      </c>
      <c r="O110">
        <f t="shared" si="16"/>
        <v>0</v>
      </c>
      <c r="P110">
        <f t="shared" si="17"/>
        <v>0</v>
      </c>
      <c r="Q110">
        <f t="shared" si="18"/>
        <v>1</v>
      </c>
      <c r="R110">
        <f t="shared" si="19"/>
        <v>0</v>
      </c>
      <c r="S110">
        <f t="shared" si="20"/>
        <v>0</v>
      </c>
      <c r="T110">
        <f t="shared" si="21"/>
        <v>0</v>
      </c>
      <c r="U110">
        <f t="shared" si="22"/>
        <v>0</v>
      </c>
      <c r="V110">
        <f t="shared" si="23"/>
        <v>0</v>
      </c>
      <c r="W110">
        <f t="shared" si="24"/>
        <v>0</v>
      </c>
      <c r="X110">
        <f t="shared" si="25"/>
        <v>0</v>
      </c>
      <c r="Y110">
        <f t="shared" si="26"/>
        <v>0</v>
      </c>
      <c r="Z110">
        <f t="shared" si="27"/>
        <v>0</v>
      </c>
      <c r="AA110">
        <f t="shared" si="28"/>
        <v>0</v>
      </c>
      <c r="AB110">
        <f t="shared" si="29"/>
        <v>0</v>
      </c>
      <c r="AC110">
        <f t="shared" si="30"/>
        <v>0</v>
      </c>
      <c r="AD110">
        <f t="shared" si="31"/>
        <v>0</v>
      </c>
      <c r="AE110">
        <v>96.5</v>
      </c>
      <c r="AF110">
        <v>1.99</v>
      </c>
      <c r="AG110">
        <v>6.67</v>
      </c>
      <c r="AH110" t="s">
        <v>120</v>
      </c>
      <c r="AI110" t="s">
        <v>97</v>
      </c>
      <c r="AJ110" t="s">
        <v>97</v>
      </c>
      <c r="AK110" t="s">
        <v>97</v>
      </c>
      <c r="AL110" t="s">
        <v>97</v>
      </c>
      <c r="AM110">
        <v>4</v>
      </c>
      <c r="AN110" t="s">
        <v>171</v>
      </c>
      <c r="AO110" t="s">
        <v>164</v>
      </c>
      <c r="AP110" t="s">
        <v>122</v>
      </c>
      <c r="AQ110" t="s">
        <v>103</v>
      </c>
      <c r="AR110" t="s">
        <v>165</v>
      </c>
      <c r="AS110" t="s">
        <v>104</v>
      </c>
      <c r="AT110" t="s">
        <v>123</v>
      </c>
      <c r="AU110">
        <v>6</v>
      </c>
      <c r="AV110" t="s">
        <v>127</v>
      </c>
      <c r="AW110">
        <v>0.2</v>
      </c>
      <c r="AX110">
        <v>1.54</v>
      </c>
      <c r="AY110">
        <v>-0.49</v>
      </c>
      <c r="AZ110">
        <v>2.93</v>
      </c>
      <c r="BA110" t="s">
        <v>97</v>
      </c>
      <c r="BB110" t="s">
        <v>97</v>
      </c>
      <c r="BC110" t="s">
        <v>97</v>
      </c>
      <c r="BD110">
        <v>0</v>
      </c>
      <c r="BE110">
        <v>109.73</v>
      </c>
      <c r="BF110">
        <v>150.87</v>
      </c>
      <c r="BG110" t="s">
        <v>97</v>
      </c>
      <c r="BH110" t="s">
        <v>97</v>
      </c>
      <c r="BI110">
        <v>666163</v>
      </c>
      <c r="BJ110">
        <v>666163</v>
      </c>
      <c r="BK110" t="s">
        <v>97</v>
      </c>
      <c r="BL110" t="s">
        <v>97</v>
      </c>
      <c r="BM110">
        <v>-7.1173116309999997</v>
      </c>
      <c r="BN110">
        <v>-140.11832050000001</v>
      </c>
      <c r="BO110">
        <v>-7.8517082670000002</v>
      </c>
      <c r="BP110">
        <v>4.3974710999999997</v>
      </c>
      <c r="BQ110">
        <v>34.750460150000002</v>
      </c>
      <c r="BR110">
        <v>-10.31538982</v>
      </c>
      <c r="BS110">
        <v>3.66</v>
      </c>
      <c r="BT110">
        <v>1.74</v>
      </c>
      <c r="BU110">
        <v>14</v>
      </c>
      <c r="BV110">
        <v>84.2</v>
      </c>
      <c r="BW110">
        <v>-10</v>
      </c>
      <c r="BX110">
        <v>96.7</v>
      </c>
      <c r="BY110">
        <v>2537</v>
      </c>
      <c r="BZ110">
        <v>6.7</v>
      </c>
      <c r="CA110">
        <v>813052</v>
      </c>
      <c r="CB110">
        <v>666163</v>
      </c>
      <c r="CC110">
        <v>666163</v>
      </c>
      <c r="CD110">
        <v>518692</v>
      </c>
      <c r="CE110">
        <v>669242</v>
      </c>
      <c r="CF110">
        <v>500743</v>
      </c>
      <c r="CG110">
        <v>605141</v>
      </c>
      <c r="CH110">
        <v>571771</v>
      </c>
      <c r="CI110">
        <v>681624</v>
      </c>
      <c r="CJ110">
        <v>606192</v>
      </c>
      <c r="CK110">
        <v>53.77</v>
      </c>
      <c r="CL110">
        <v>9.7000000000000003E-2</v>
      </c>
      <c r="CM110">
        <v>0.11</v>
      </c>
      <c r="CN110">
        <v>0</v>
      </c>
      <c r="CO110">
        <v>1</v>
      </c>
      <c r="CP110">
        <v>0</v>
      </c>
      <c r="CQ110">
        <v>0</v>
      </c>
      <c r="CR110">
        <v>2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 t="s">
        <v>107</v>
      </c>
      <c r="DB110" t="s">
        <v>107</v>
      </c>
      <c r="DC110">
        <v>152</v>
      </c>
      <c r="DD110">
        <v>-2.3E-2</v>
      </c>
      <c r="DE110">
        <v>-0.23200000000000001</v>
      </c>
      <c r="DF110">
        <v>73.099999999999994</v>
      </c>
      <c r="DG110">
        <v>6.6</v>
      </c>
    </row>
    <row r="111" spans="1:111" x14ac:dyDescent="0.2">
      <c r="A111">
        <v>2025</v>
      </c>
      <c r="B111" s="1">
        <v>45936</v>
      </c>
      <c r="C111" t="s">
        <v>95</v>
      </c>
      <c r="D111">
        <v>605483</v>
      </c>
      <c r="E111">
        <v>592206</v>
      </c>
      <c r="F111">
        <v>0</v>
      </c>
      <c r="G111">
        <v>0</v>
      </c>
      <c r="H111">
        <v>2</v>
      </c>
      <c r="I111" t="s">
        <v>163</v>
      </c>
      <c r="J111">
        <v>14</v>
      </c>
      <c r="K111">
        <v>1</v>
      </c>
      <c r="L111" t="s">
        <v>97</v>
      </c>
      <c r="M111" t="s">
        <v>132</v>
      </c>
      <c r="N111" t="s">
        <v>133</v>
      </c>
      <c r="O111">
        <f t="shared" si="16"/>
        <v>0</v>
      </c>
      <c r="P111">
        <f t="shared" si="17"/>
        <v>0</v>
      </c>
      <c r="Q111">
        <f t="shared" si="18"/>
        <v>0</v>
      </c>
      <c r="R111">
        <f t="shared" si="19"/>
        <v>0</v>
      </c>
      <c r="S111">
        <f t="shared" si="20"/>
        <v>0</v>
      </c>
      <c r="T111">
        <f t="shared" si="21"/>
        <v>0</v>
      </c>
      <c r="U111">
        <f t="shared" si="22"/>
        <v>0</v>
      </c>
      <c r="V111">
        <f t="shared" si="23"/>
        <v>0</v>
      </c>
      <c r="W111">
        <f t="shared" si="24"/>
        <v>0</v>
      </c>
      <c r="X111">
        <f t="shared" si="25"/>
        <v>1</v>
      </c>
      <c r="Y111">
        <f t="shared" si="26"/>
        <v>0</v>
      </c>
      <c r="Z111">
        <f t="shared" si="27"/>
        <v>0</v>
      </c>
      <c r="AA111">
        <f t="shared" si="28"/>
        <v>0</v>
      </c>
      <c r="AB111">
        <f t="shared" si="29"/>
        <v>0</v>
      </c>
      <c r="AC111">
        <f t="shared" si="30"/>
        <v>0</v>
      </c>
      <c r="AD111">
        <f t="shared" si="31"/>
        <v>0</v>
      </c>
      <c r="AE111">
        <v>85.5</v>
      </c>
      <c r="AF111">
        <v>2.21</v>
      </c>
      <c r="AG111">
        <v>6.63</v>
      </c>
      <c r="AH111" t="s">
        <v>113</v>
      </c>
      <c r="AI111" t="s">
        <v>97</v>
      </c>
      <c r="AJ111" t="s">
        <v>97</v>
      </c>
      <c r="AK111" t="s">
        <v>97</v>
      </c>
      <c r="AL111" t="s">
        <v>97</v>
      </c>
      <c r="AM111">
        <v>9</v>
      </c>
      <c r="AN111" t="s">
        <v>114</v>
      </c>
      <c r="AO111" t="s">
        <v>164</v>
      </c>
      <c r="AP111" t="s">
        <v>122</v>
      </c>
      <c r="AQ111" t="s">
        <v>103</v>
      </c>
      <c r="AR111" t="s">
        <v>165</v>
      </c>
      <c r="AS111" t="s">
        <v>104</v>
      </c>
      <c r="AT111" t="s">
        <v>110</v>
      </c>
      <c r="AU111" t="s">
        <v>97</v>
      </c>
      <c r="AV111" t="s">
        <v>97</v>
      </c>
      <c r="AW111">
        <v>1.33</v>
      </c>
      <c r="AX111">
        <v>0.71</v>
      </c>
      <c r="AY111">
        <v>0.78</v>
      </c>
      <c r="AZ111">
        <v>2.38</v>
      </c>
      <c r="BA111" t="s">
        <v>97</v>
      </c>
      <c r="BB111" t="s">
        <v>97</v>
      </c>
      <c r="BC111" t="s">
        <v>97</v>
      </c>
      <c r="BD111">
        <v>1</v>
      </c>
      <c r="BE111" t="s">
        <v>97</v>
      </c>
      <c r="BF111" t="s">
        <v>97</v>
      </c>
      <c r="BG111" t="s">
        <v>97</v>
      </c>
      <c r="BH111" t="s">
        <v>97</v>
      </c>
      <c r="BI111">
        <v>666163</v>
      </c>
      <c r="BJ111">
        <v>666163</v>
      </c>
      <c r="BK111" t="s">
        <v>97</v>
      </c>
      <c r="BL111" t="s">
        <v>97</v>
      </c>
      <c r="BM111">
        <v>-6.0697670559999999</v>
      </c>
      <c r="BN111">
        <v>-124.3131108</v>
      </c>
      <c r="BO111">
        <v>-5.1427282349999999</v>
      </c>
      <c r="BP111">
        <v>14.9714306</v>
      </c>
      <c r="BQ111">
        <v>26.296571530000001</v>
      </c>
      <c r="BR111">
        <v>-23.938616570000001</v>
      </c>
      <c r="BS111">
        <v>3.94</v>
      </c>
      <c r="BT111">
        <v>1.89</v>
      </c>
      <c r="BU111" t="s">
        <v>97</v>
      </c>
      <c r="BV111" t="s">
        <v>97</v>
      </c>
      <c r="BW111" t="s">
        <v>97</v>
      </c>
      <c r="BX111">
        <v>85.8</v>
      </c>
      <c r="BY111">
        <v>1876</v>
      </c>
      <c r="BZ111">
        <v>6.6</v>
      </c>
      <c r="CA111">
        <v>813052</v>
      </c>
      <c r="CB111">
        <v>666163</v>
      </c>
      <c r="CC111">
        <v>666163</v>
      </c>
      <c r="CD111">
        <v>518692</v>
      </c>
      <c r="CE111">
        <v>669242</v>
      </c>
      <c r="CF111">
        <v>500743</v>
      </c>
      <c r="CG111">
        <v>605141</v>
      </c>
      <c r="CH111">
        <v>571771</v>
      </c>
      <c r="CI111">
        <v>681624</v>
      </c>
      <c r="CJ111">
        <v>606192</v>
      </c>
      <c r="CK111">
        <v>53.85</v>
      </c>
      <c r="CL111" t="s">
        <v>97</v>
      </c>
      <c r="CM111" t="s">
        <v>97</v>
      </c>
      <c r="CN111" t="s">
        <v>97</v>
      </c>
      <c r="CO111" t="s">
        <v>97</v>
      </c>
      <c r="CP111" t="s">
        <v>97</v>
      </c>
      <c r="CQ111" t="s">
        <v>97</v>
      </c>
      <c r="CR111" t="s">
        <v>97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 t="s">
        <v>107</v>
      </c>
      <c r="DB111" t="s">
        <v>107</v>
      </c>
      <c r="DC111">
        <v>134</v>
      </c>
      <c r="DD111">
        <v>0</v>
      </c>
      <c r="DE111">
        <v>-3.9E-2</v>
      </c>
      <c r="DF111">
        <v>79.400000000000006</v>
      </c>
      <c r="DG111">
        <v>8.8000000000000007</v>
      </c>
    </row>
    <row r="112" spans="1:111" x14ac:dyDescent="0.2">
      <c r="A112">
        <v>2025</v>
      </c>
      <c r="B112" s="1">
        <v>45936</v>
      </c>
      <c r="C112" t="s">
        <v>95</v>
      </c>
      <c r="D112">
        <v>605483</v>
      </c>
      <c r="E112">
        <v>592206</v>
      </c>
      <c r="F112">
        <v>0</v>
      </c>
      <c r="G112">
        <v>1</v>
      </c>
      <c r="H112">
        <v>2</v>
      </c>
      <c r="I112" t="s">
        <v>163</v>
      </c>
      <c r="J112">
        <v>14</v>
      </c>
      <c r="K112">
        <v>2</v>
      </c>
      <c r="L112" t="s">
        <v>97</v>
      </c>
      <c r="M112" t="s">
        <v>98</v>
      </c>
      <c r="N112" t="s">
        <v>99</v>
      </c>
      <c r="O112">
        <f t="shared" si="16"/>
        <v>0</v>
      </c>
      <c r="P112">
        <f t="shared" si="17"/>
        <v>0</v>
      </c>
      <c r="Q112">
        <f t="shared" si="18"/>
        <v>1</v>
      </c>
      <c r="R112">
        <f t="shared" si="19"/>
        <v>0</v>
      </c>
      <c r="S112">
        <f t="shared" si="20"/>
        <v>0</v>
      </c>
      <c r="T112">
        <f t="shared" si="21"/>
        <v>0</v>
      </c>
      <c r="U112">
        <f t="shared" si="22"/>
        <v>0</v>
      </c>
      <c r="V112">
        <f t="shared" si="23"/>
        <v>0</v>
      </c>
      <c r="W112">
        <f t="shared" si="24"/>
        <v>0</v>
      </c>
      <c r="X112">
        <f t="shared" si="25"/>
        <v>0</v>
      </c>
      <c r="Y112">
        <f t="shared" si="26"/>
        <v>0</v>
      </c>
      <c r="Z112">
        <f t="shared" si="27"/>
        <v>0</v>
      </c>
      <c r="AA112">
        <f t="shared" si="28"/>
        <v>0</v>
      </c>
      <c r="AB112">
        <f t="shared" si="29"/>
        <v>0</v>
      </c>
      <c r="AC112">
        <f t="shared" si="30"/>
        <v>0</v>
      </c>
      <c r="AD112">
        <f t="shared" si="31"/>
        <v>0</v>
      </c>
      <c r="AE112">
        <v>96.4</v>
      </c>
      <c r="AF112">
        <v>1.97</v>
      </c>
      <c r="AG112">
        <v>6.72</v>
      </c>
      <c r="AH112" t="s">
        <v>108</v>
      </c>
      <c r="AI112" t="s">
        <v>97</v>
      </c>
      <c r="AJ112" t="s">
        <v>97</v>
      </c>
      <c r="AK112" t="s">
        <v>97</v>
      </c>
      <c r="AL112" t="s">
        <v>97</v>
      </c>
      <c r="AM112">
        <v>8</v>
      </c>
      <c r="AN112" t="s">
        <v>109</v>
      </c>
      <c r="AO112" t="s">
        <v>164</v>
      </c>
      <c r="AP112" t="s">
        <v>122</v>
      </c>
      <c r="AQ112" t="s">
        <v>103</v>
      </c>
      <c r="AR112" t="s">
        <v>165</v>
      </c>
      <c r="AS112" t="s">
        <v>104</v>
      </c>
      <c r="AT112" t="s">
        <v>110</v>
      </c>
      <c r="AU112" t="s">
        <v>97</v>
      </c>
      <c r="AV112" t="s">
        <v>97</v>
      </c>
      <c r="AW112">
        <v>0.13</v>
      </c>
      <c r="AX112">
        <v>1.38</v>
      </c>
      <c r="AY112">
        <v>-0.13</v>
      </c>
      <c r="AZ112">
        <v>2.13</v>
      </c>
      <c r="BA112" t="s">
        <v>97</v>
      </c>
      <c r="BB112" t="s">
        <v>97</v>
      </c>
      <c r="BC112" t="s">
        <v>97</v>
      </c>
      <c r="BD112">
        <v>1</v>
      </c>
      <c r="BE112" t="s">
        <v>97</v>
      </c>
      <c r="BF112" t="s">
        <v>97</v>
      </c>
      <c r="BG112" t="s">
        <v>97</v>
      </c>
      <c r="BH112" t="s">
        <v>97</v>
      </c>
      <c r="BI112">
        <v>666163</v>
      </c>
      <c r="BJ112">
        <v>666163</v>
      </c>
      <c r="BK112" t="s">
        <v>97</v>
      </c>
      <c r="BL112" t="s">
        <v>97</v>
      </c>
      <c r="BM112">
        <v>-5.9234744389999996</v>
      </c>
      <c r="BN112">
        <v>-139.98509290000001</v>
      </c>
      <c r="BO112">
        <v>-9.8034200939999998</v>
      </c>
      <c r="BP112">
        <v>3.1053011879999999</v>
      </c>
      <c r="BQ112">
        <v>31.810365300000001</v>
      </c>
      <c r="BR112">
        <v>-12.00434109</v>
      </c>
      <c r="BS112">
        <v>4.0199999999999996</v>
      </c>
      <c r="BT112">
        <v>1.94</v>
      </c>
      <c r="BU112" t="s">
        <v>97</v>
      </c>
      <c r="BV112" t="s">
        <v>97</v>
      </c>
      <c r="BW112" t="s">
        <v>97</v>
      </c>
      <c r="BX112">
        <v>97</v>
      </c>
      <c r="BY112">
        <v>2470</v>
      </c>
      <c r="BZ112">
        <v>6.8</v>
      </c>
      <c r="CA112">
        <v>813052</v>
      </c>
      <c r="CB112">
        <v>666163</v>
      </c>
      <c r="CC112">
        <v>666163</v>
      </c>
      <c r="CD112">
        <v>518692</v>
      </c>
      <c r="CE112">
        <v>669242</v>
      </c>
      <c r="CF112">
        <v>500743</v>
      </c>
      <c r="CG112">
        <v>605141</v>
      </c>
      <c r="CH112">
        <v>571771</v>
      </c>
      <c r="CI112">
        <v>681624</v>
      </c>
      <c r="CJ112">
        <v>606192</v>
      </c>
      <c r="CK112">
        <v>53.73</v>
      </c>
      <c r="CL112" t="s">
        <v>97</v>
      </c>
      <c r="CM112" t="s">
        <v>97</v>
      </c>
      <c r="CN112" t="s">
        <v>97</v>
      </c>
      <c r="CO112" t="s">
        <v>97</v>
      </c>
      <c r="CP112" t="s">
        <v>97</v>
      </c>
      <c r="CQ112" t="s">
        <v>97</v>
      </c>
      <c r="CR112" t="s">
        <v>97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 t="s">
        <v>107</v>
      </c>
      <c r="DB112" t="s">
        <v>107</v>
      </c>
      <c r="DC112">
        <v>160</v>
      </c>
      <c r="DD112">
        <v>0</v>
      </c>
      <c r="DE112">
        <v>-5.1999999999999998E-2</v>
      </c>
      <c r="DF112" t="s">
        <v>97</v>
      </c>
      <c r="DG112" t="s">
        <v>97</v>
      </c>
    </row>
    <row r="113" spans="1:111" x14ac:dyDescent="0.2">
      <c r="A113">
        <v>2025</v>
      </c>
      <c r="B113" s="1">
        <v>45936</v>
      </c>
      <c r="C113" t="s">
        <v>95</v>
      </c>
      <c r="D113">
        <v>605483</v>
      </c>
      <c r="E113">
        <v>592206</v>
      </c>
      <c r="F113">
        <v>0</v>
      </c>
      <c r="G113">
        <v>2</v>
      </c>
      <c r="H113">
        <v>2</v>
      </c>
      <c r="I113" t="s">
        <v>163</v>
      </c>
      <c r="J113">
        <v>14</v>
      </c>
      <c r="K113">
        <v>3</v>
      </c>
      <c r="L113" t="s">
        <v>116</v>
      </c>
      <c r="M113" t="s">
        <v>132</v>
      </c>
      <c r="N113" t="s">
        <v>133</v>
      </c>
      <c r="O113">
        <f t="shared" si="16"/>
        <v>0</v>
      </c>
      <c r="P113">
        <f t="shared" si="17"/>
        <v>0</v>
      </c>
      <c r="Q113">
        <f t="shared" si="18"/>
        <v>0</v>
      </c>
      <c r="R113">
        <f t="shared" si="19"/>
        <v>0</v>
      </c>
      <c r="S113">
        <f t="shared" si="20"/>
        <v>0</v>
      </c>
      <c r="T113">
        <f t="shared" si="21"/>
        <v>0</v>
      </c>
      <c r="U113">
        <f t="shared" si="22"/>
        <v>0</v>
      </c>
      <c r="V113">
        <f t="shared" si="23"/>
        <v>0</v>
      </c>
      <c r="W113">
        <f t="shared" si="24"/>
        <v>0</v>
      </c>
      <c r="X113">
        <f t="shared" si="25"/>
        <v>1</v>
      </c>
      <c r="Y113">
        <f t="shared" si="26"/>
        <v>0</v>
      </c>
      <c r="Z113">
        <f t="shared" si="27"/>
        <v>0</v>
      </c>
      <c r="AA113">
        <f t="shared" si="28"/>
        <v>0</v>
      </c>
      <c r="AB113">
        <f t="shared" si="29"/>
        <v>0</v>
      </c>
      <c r="AC113">
        <f t="shared" si="30"/>
        <v>0</v>
      </c>
      <c r="AD113">
        <f t="shared" si="31"/>
        <v>0</v>
      </c>
      <c r="AE113">
        <v>83.6</v>
      </c>
      <c r="AF113">
        <v>2.13</v>
      </c>
      <c r="AG113">
        <v>6.54</v>
      </c>
      <c r="AH113" t="s">
        <v>113</v>
      </c>
      <c r="AI113" t="s">
        <v>97</v>
      </c>
      <c r="AJ113" t="s">
        <v>97</v>
      </c>
      <c r="AK113" t="s">
        <v>97</v>
      </c>
      <c r="AL113" t="s">
        <v>97</v>
      </c>
      <c r="AM113">
        <v>14</v>
      </c>
      <c r="AN113" t="s">
        <v>172</v>
      </c>
      <c r="AO113" t="s">
        <v>164</v>
      </c>
      <c r="AP113" t="s">
        <v>122</v>
      </c>
      <c r="AQ113" t="s">
        <v>103</v>
      </c>
      <c r="AR113" t="s">
        <v>165</v>
      </c>
      <c r="AS113" t="s">
        <v>104</v>
      </c>
      <c r="AT113" t="s">
        <v>110</v>
      </c>
      <c r="AU113">
        <v>2</v>
      </c>
      <c r="AV113" t="s">
        <v>97</v>
      </c>
      <c r="AW113">
        <v>1.23</v>
      </c>
      <c r="AX113">
        <v>0.67</v>
      </c>
      <c r="AY113">
        <v>1.47</v>
      </c>
      <c r="AZ113">
        <v>2.19</v>
      </c>
      <c r="BA113" t="s">
        <v>97</v>
      </c>
      <c r="BB113" t="s">
        <v>97</v>
      </c>
      <c r="BC113" t="s">
        <v>97</v>
      </c>
      <c r="BD113">
        <v>1</v>
      </c>
      <c r="BE113" t="s">
        <v>97</v>
      </c>
      <c r="BF113" t="s">
        <v>97</v>
      </c>
      <c r="BG113" t="s">
        <v>97</v>
      </c>
      <c r="BH113" t="s">
        <v>97</v>
      </c>
      <c r="BI113">
        <v>666163</v>
      </c>
      <c r="BJ113">
        <v>666163</v>
      </c>
      <c r="BK113" t="s">
        <v>97</v>
      </c>
      <c r="BL113" t="s">
        <v>97</v>
      </c>
      <c r="BM113">
        <v>-3.9728093329999998</v>
      </c>
      <c r="BN113">
        <v>-121.6092513</v>
      </c>
      <c r="BO113">
        <v>-4.9072008230000002</v>
      </c>
      <c r="BP113">
        <v>13.016632209999999</v>
      </c>
      <c r="BQ113">
        <v>25.21462541</v>
      </c>
      <c r="BR113">
        <v>-24.767120219999999</v>
      </c>
      <c r="BS113">
        <v>3.94</v>
      </c>
      <c r="BT113">
        <v>1.89</v>
      </c>
      <c r="BU113" t="s">
        <v>97</v>
      </c>
      <c r="BV113" t="s">
        <v>97</v>
      </c>
      <c r="BW113" t="s">
        <v>97</v>
      </c>
      <c r="BX113">
        <v>84</v>
      </c>
      <c r="BY113">
        <v>1886</v>
      </c>
      <c r="BZ113">
        <v>6.7</v>
      </c>
      <c r="CA113">
        <v>813052</v>
      </c>
      <c r="CB113">
        <v>666163</v>
      </c>
      <c r="CC113">
        <v>666163</v>
      </c>
      <c r="CD113">
        <v>518692</v>
      </c>
      <c r="CE113">
        <v>669242</v>
      </c>
      <c r="CF113">
        <v>500743</v>
      </c>
      <c r="CG113">
        <v>605141</v>
      </c>
      <c r="CH113">
        <v>571771</v>
      </c>
      <c r="CI113">
        <v>681624</v>
      </c>
      <c r="CJ113">
        <v>606192</v>
      </c>
      <c r="CK113">
        <v>53.82</v>
      </c>
      <c r="CL113" t="s">
        <v>97</v>
      </c>
      <c r="CM113">
        <v>0</v>
      </c>
      <c r="CN113">
        <v>0</v>
      </c>
      <c r="CO113">
        <v>1</v>
      </c>
      <c r="CP113">
        <v>0</v>
      </c>
      <c r="CQ113">
        <v>0</v>
      </c>
      <c r="CR113" t="s">
        <v>97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 t="s">
        <v>107</v>
      </c>
      <c r="DB113" t="s">
        <v>107</v>
      </c>
      <c r="DC113">
        <v>133</v>
      </c>
      <c r="DD113">
        <v>-1.6E-2</v>
      </c>
      <c r="DE113">
        <v>-0.16300000000000001</v>
      </c>
      <c r="DF113">
        <v>64</v>
      </c>
      <c r="DG113">
        <v>8.9</v>
      </c>
    </row>
    <row r="114" spans="1:111" x14ac:dyDescent="0.2">
      <c r="A114">
        <v>2025</v>
      </c>
      <c r="B114" s="1">
        <v>45936</v>
      </c>
      <c r="C114" t="s">
        <v>95</v>
      </c>
      <c r="D114">
        <v>605483</v>
      </c>
      <c r="E114">
        <v>624641</v>
      </c>
      <c r="F114">
        <v>0</v>
      </c>
      <c r="G114">
        <v>0</v>
      </c>
      <c r="H114">
        <v>2</v>
      </c>
      <c r="I114" t="s">
        <v>163</v>
      </c>
      <c r="J114">
        <v>15</v>
      </c>
      <c r="K114">
        <v>1</v>
      </c>
      <c r="L114" t="s">
        <v>97</v>
      </c>
      <c r="M114" t="s">
        <v>98</v>
      </c>
      <c r="N114" t="s">
        <v>99</v>
      </c>
      <c r="O114">
        <f t="shared" si="16"/>
        <v>0</v>
      </c>
      <c r="P114">
        <f t="shared" si="17"/>
        <v>0</v>
      </c>
      <c r="Q114">
        <f t="shared" si="18"/>
        <v>0</v>
      </c>
      <c r="R114">
        <f t="shared" si="19"/>
        <v>1</v>
      </c>
      <c r="S114">
        <f t="shared" si="20"/>
        <v>0</v>
      </c>
      <c r="T114">
        <f t="shared" si="21"/>
        <v>0</v>
      </c>
      <c r="U114">
        <f t="shared" si="22"/>
        <v>0</v>
      </c>
      <c r="V114">
        <f t="shared" si="23"/>
        <v>0</v>
      </c>
      <c r="W114">
        <f t="shared" si="24"/>
        <v>0</v>
      </c>
      <c r="X114">
        <f t="shared" si="25"/>
        <v>0</v>
      </c>
      <c r="Y114">
        <f t="shared" si="26"/>
        <v>0</v>
      </c>
      <c r="Z114">
        <f t="shared" si="27"/>
        <v>0</v>
      </c>
      <c r="AA114">
        <f t="shared" si="28"/>
        <v>0</v>
      </c>
      <c r="AB114">
        <f t="shared" si="29"/>
        <v>0</v>
      </c>
      <c r="AC114">
        <f t="shared" si="30"/>
        <v>0</v>
      </c>
      <c r="AD114">
        <f t="shared" si="31"/>
        <v>0</v>
      </c>
      <c r="AE114">
        <v>96.7</v>
      </c>
      <c r="AF114">
        <v>1.9</v>
      </c>
      <c r="AG114">
        <v>6.71</v>
      </c>
      <c r="AH114" t="s">
        <v>108</v>
      </c>
      <c r="AI114" t="s">
        <v>97</v>
      </c>
      <c r="AJ114" t="s">
        <v>97</v>
      </c>
      <c r="AK114" t="s">
        <v>97</v>
      </c>
      <c r="AL114" t="s">
        <v>97</v>
      </c>
      <c r="AM114">
        <v>1</v>
      </c>
      <c r="AN114" t="s">
        <v>109</v>
      </c>
      <c r="AO114" t="s">
        <v>164</v>
      </c>
      <c r="AP114" t="s">
        <v>122</v>
      </c>
      <c r="AQ114" t="s">
        <v>103</v>
      </c>
      <c r="AR114" t="s">
        <v>165</v>
      </c>
      <c r="AS114" t="s">
        <v>104</v>
      </c>
      <c r="AT114" t="s">
        <v>110</v>
      </c>
      <c r="AU114" t="s">
        <v>97</v>
      </c>
      <c r="AV114" t="s">
        <v>97</v>
      </c>
      <c r="AW114">
        <v>0.27</v>
      </c>
      <c r="AX114">
        <v>1.74</v>
      </c>
      <c r="AY114">
        <v>-0.56000000000000005</v>
      </c>
      <c r="AZ114">
        <v>3.14</v>
      </c>
      <c r="BA114" t="s">
        <v>97</v>
      </c>
      <c r="BB114" t="s">
        <v>97</v>
      </c>
      <c r="BC114" t="s">
        <v>97</v>
      </c>
      <c r="BD114">
        <v>2</v>
      </c>
      <c r="BE114" t="s">
        <v>97</v>
      </c>
      <c r="BF114" t="s">
        <v>97</v>
      </c>
      <c r="BG114" t="s">
        <v>97</v>
      </c>
      <c r="BH114" t="s">
        <v>97</v>
      </c>
      <c r="BI114">
        <v>666163</v>
      </c>
      <c r="BJ114">
        <v>666163</v>
      </c>
      <c r="BK114" t="s">
        <v>97</v>
      </c>
      <c r="BL114" t="s">
        <v>97</v>
      </c>
      <c r="BM114">
        <v>-7.2278794499999997</v>
      </c>
      <c r="BN114">
        <v>-140.35573890000001</v>
      </c>
      <c r="BO114">
        <v>-7.9177678870000001</v>
      </c>
      <c r="BP114">
        <v>5.3876683569999999</v>
      </c>
      <c r="BQ114">
        <v>34.700061159999997</v>
      </c>
      <c r="BR114">
        <v>-7.5963111989999996</v>
      </c>
      <c r="BS114">
        <v>3.38</v>
      </c>
      <c r="BT114">
        <v>1.6</v>
      </c>
      <c r="BU114" t="s">
        <v>97</v>
      </c>
      <c r="BV114" t="s">
        <v>97</v>
      </c>
      <c r="BW114" t="s">
        <v>97</v>
      </c>
      <c r="BX114">
        <v>97</v>
      </c>
      <c r="BY114">
        <v>2585</v>
      </c>
      <c r="BZ114">
        <v>6.8</v>
      </c>
      <c r="CA114">
        <v>813052</v>
      </c>
      <c r="CB114">
        <v>666163</v>
      </c>
      <c r="CC114">
        <v>666163</v>
      </c>
      <c r="CD114">
        <v>518692</v>
      </c>
      <c r="CE114">
        <v>669242</v>
      </c>
      <c r="CF114">
        <v>500743</v>
      </c>
      <c r="CG114">
        <v>605141</v>
      </c>
      <c r="CH114">
        <v>571771</v>
      </c>
      <c r="CI114">
        <v>681624</v>
      </c>
      <c r="CJ114">
        <v>606192</v>
      </c>
      <c r="CK114">
        <v>53.67</v>
      </c>
      <c r="CL114" t="s">
        <v>97</v>
      </c>
      <c r="CM114" t="s">
        <v>97</v>
      </c>
      <c r="CN114" t="s">
        <v>97</v>
      </c>
      <c r="CO114" t="s">
        <v>97</v>
      </c>
      <c r="CP114" t="s">
        <v>97</v>
      </c>
      <c r="CQ114" t="s">
        <v>97</v>
      </c>
      <c r="CR114" t="s">
        <v>97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 t="s">
        <v>107</v>
      </c>
      <c r="DB114" t="s">
        <v>107</v>
      </c>
      <c r="DC114">
        <v>158</v>
      </c>
      <c r="DD114">
        <v>0</v>
      </c>
      <c r="DE114">
        <v>-4.2999999999999997E-2</v>
      </c>
      <c r="DF114" t="s">
        <v>97</v>
      </c>
      <c r="DG114" t="s">
        <v>97</v>
      </c>
    </row>
    <row r="115" spans="1:111" x14ac:dyDescent="0.2">
      <c r="A115">
        <v>2025</v>
      </c>
      <c r="B115" s="1">
        <v>45936</v>
      </c>
      <c r="C115" t="s">
        <v>95</v>
      </c>
      <c r="D115">
        <v>605483</v>
      </c>
      <c r="E115">
        <v>624641</v>
      </c>
      <c r="F115">
        <v>0</v>
      </c>
      <c r="G115">
        <v>1</v>
      </c>
      <c r="H115">
        <v>2</v>
      </c>
      <c r="I115" t="s">
        <v>163</v>
      </c>
      <c r="J115">
        <v>15</v>
      </c>
      <c r="K115">
        <v>2</v>
      </c>
      <c r="L115" t="s">
        <v>97</v>
      </c>
      <c r="M115" t="s">
        <v>138</v>
      </c>
      <c r="N115" t="s">
        <v>139</v>
      </c>
      <c r="O115">
        <f t="shared" si="16"/>
        <v>0</v>
      </c>
      <c r="P115">
        <f t="shared" si="17"/>
        <v>0</v>
      </c>
      <c r="Q115">
        <f t="shared" si="18"/>
        <v>0</v>
      </c>
      <c r="R115">
        <f t="shared" si="19"/>
        <v>0</v>
      </c>
      <c r="S115">
        <f t="shared" si="20"/>
        <v>0</v>
      </c>
      <c r="T115">
        <f t="shared" si="21"/>
        <v>0</v>
      </c>
      <c r="U115">
        <f t="shared" si="22"/>
        <v>0</v>
      </c>
      <c r="V115">
        <f t="shared" si="23"/>
        <v>0</v>
      </c>
      <c r="W115">
        <f t="shared" si="24"/>
        <v>0</v>
      </c>
      <c r="X115">
        <f t="shared" si="25"/>
        <v>0</v>
      </c>
      <c r="Y115">
        <f t="shared" si="26"/>
        <v>0</v>
      </c>
      <c r="Z115">
        <f t="shared" si="27"/>
        <v>0</v>
      </c>
      <c r="AA115">
        <f t="shared" si="28"/>
        <v>0</v>
      </c>
      <c r="AB115">
        <f t="shared" si="29"/>
        <v>0</v>
      </c>
      <c r="AC115">
        <f t="shared" si="30"/>
        <v>1</v>
      </c>
      <c r="AD115">
        <f t="shared" si="31"/>
        <v>0</v>
      </c>
      <c r="AE115">
        <v>89.4</v>
      </c>
      <c r="AF115">
        <v>1.87</v>
      </c>
      <c r="AG115">
        <v>6.67</v>
      </c>
      <c r="AH115" t="s">
        <v>145</v>
      </c>
      <c r="AI115" t="s">
        <v>97</v>
      </c>
      <c r="AJ115" t="s">
        <v>97</v>
      </c>
      <c r="AK115" t="s">
        <v>97</v>
      </c>
      <c r="AL115" t="s">
        <v>97</v>
      </c>
      <c r="AM115">
        <v>7</v>
      </c>
      <c r="AN115" t="s">
        <v>173</v>
      </c>
      <c r="AO115" t="s">
        <v>164</v>
      </c>
      <c r="AP115" t="s">
        <v>122</v>
      </c>
      <c r="AQ115" t="s">
        <v>103</v>
      </c>
      <c r="AR115" t="s">
        <v>165</v>
      </c>
      <c r="AS115" t="s">
        <v>104</v>
      </c>
      <c r="AT115" t="s">
        <v>110</v>
      </c>
      <c r="AU115" t="s">
        <v>97</v>
      </c>
      <c r="AV115" t="s">
        <v>97</v>
      </c>
      <c r="AW115">
        <v>-0.28999999999999998</v>
      </c>
      <c r="AX115">
        <v>0.78</v>
      </c>
      <c r="AY115">
        <v>-0.61</v>
      </c>
      <c r="AZ115">
        <v>1.44</v>
      </c>
      <c r="BA115" t="s">
        <v>97</v>
      </c>
      <c r="BB115" t="s">
        <v>97</v>
      </c>
      <c r="BC115" t="s">
        <v>97</v>
      </c>
      <c r="BD115">
        <v>2</v>
      </c>
      <c r="BE115" t="s">
        <v>97</v>
      </c>
      <c r="BF115" t="s">
        <v>97</v>
      </c>
      <c r="BG115" t="s">
        <v>97</v>
      </c>
      <c r="BH115" t="s">
        <v>97</v>
      </c>
      <c r="BI115">
        <v>666163</v>
      </c>
      <c r="BJ115">
        <v>666163</v>
      </c>
      <c r="BK115" t="s">
        <v>97</v>
      </c>
      <c r="BL115" t="s">
        <v>97</v>
      </c>
      <c r="BM115">
        <v>-5.5091907019999997</v>
      </c>
      <c r="BN115">
        <v>-129.96221600000001</v>
      </c>
      <c r="BO115">
        <v>-8.5486253449999996</v>
      </c>
      <c r="BP115">
        <v>-2.1279597159999999</v>
      </c>
      <c r="BQ115">
        <v>27.630948440000001</v>
      </c>
      <c r="BR115">
        <v>-21.721312569999998</v>
      </c>
      <c r="BS115">
        <v>3.3</v>
      </c>
      <c r="BT115">
        <v>1.55</v>
      </c>
      <c r="BU115" t="s">
        <v>97</v>
      </c>
      <c r="BV115" t="s">
        <v>97</v>
      </c>
      <c r="BW115" t="s">
        <v>97</v>
      </c>
      <c r="BX115">
        <v>89.9</v>
      </c>
      <c r="BY115">
        <v>2424</v>
      </c>
      <c r="BZ115">
        <v>6.7</v>
      </c>
      <c r="CA115">
        <v>813052</v>
      </c>
      <c r="CB115">
        <v>666163</v>
      </c>
      <c r="CC115">
        <v>666163</v>
      </c>
      <c r="CD115">
        <v>518692</v>
      </c>
      <c r="CE115">
        <v>669242</v>
      </c>
      <c r="CF115">
        <v>500743</v>
      </c>
      <c r="CG115">
        <v>605141</v>
      </c>
      <c r="CH115">
        <v>571771</v>
      </c>
      <c r="CI115">
        <v>681624</v>
      </c>
      <c r="CJ115">
        <v>606192</v>
      </c>
      <c r="CK115">
        <v>53.83</v>
      </c>
      <c r="CL115" t="s">
        <v>97</v>
      </c>
      <c r="CM115" t="s">
        <v>97</v>
      </c>
      <c r="CN115" t="s">
        <v>97</v>
      </c>
      <c r="CO115" t="s">
        <v>97</v>
      </c>
      <c r="CP115" t="s">
        <v>97</v>
      </c>
      <c r="CQ115" t="s">
        <v>97</v>
      </c>
      <c r="CR115" t="s">
        <v>97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107</v>
      </c>
      <c r="DB115" t="s">
        <v>107</v>
      </c>
      <c r="DC115">
        <v>162</v>
      </c>
      <c r="DD115">
        <v>0</v>
      </c>
      <c r="DE115">
        <v>-5.7000000000000002E-2</v>
      </c>
      <c r="DF115">
        <v>79.400000000000006</v>
      </c>
      <c r="DG115">
        <v>8.9</v>
      </c>
    </row>
    <row r="116" spans="1:111" x14ac:dyDescent="0.2">
      <c r="A116">
        <v>2025</v>
      </c>
      <c r="B116" s="1">
        <v>45936</v>
      </c>
      <c r="C116" t="s">
        <v>95</v>
      </c>
      <c r="D116">
        <v>605483</v>
      </c>
      <c r="E116">
        <v>624641</v>
      </c>
      <c r="F116">
        <v>0</v>
      </c>
      <c r="G116">
        <v>2</v>
      </c>
      <c r="H116">
        <v>2</v>
      </c>
      <c r="I116" t="s">
        <v>163</v>
      </c>
      <c r="J116">
        <v>15</v>
      </c>
      <c r="K116">
        <v>3</v>
      </c>
      <c r="L116" t="s">
        <v>97</v>
      </c>
      <c r="M116" t="s">
        <v>111</v>
      </c>
      <c r="N116" t="s">
        <v>112</v>
      </c>
      <c r="O116">
        <f t="shared" si="16"/>
        <v>0</v>
      </c>
      <c r="P116">
        <f t="shared" si="17"/>
        <v>0</v>
      </c>
      <c r="Q116">
        <f t="shared" si="18"/>
        <v>0</v>
      </c>
      <c r="R116">
        <f t="shared" si="19"/>
        <v>0</v>
      </c>
      <c r="S116">
        <f t="shared" si="20"/>
        <v>1</v>
      </c>
      <c r="T116">
        <f t="shared" si="21"/>
        <v>0</v>
      </c>
      <c r="U116">
        <f t="shared" si="22"/>
        <v>0</v>
      </c>
      <c r="V116">
        <f t="shared" si="23"/>
        <v>0</v>
      </c>
      <c r="W116">
        <f t="shared" si="24"/>
        <v>0</v>
      </c>
      <c r="X116">
        <f t="shared" si="25"/>
        <v>0</v>
      </c>
      <c r="Y116">
        <f t="shared" si="26"/>
        <v>0</v>
      </c>
      <c r="Z116">
        <f t="shared" si="27"/>
        <v>0</v>
      </c>
      <c r="AA116">
        <f t="shared" si="28"/>
        <v>0</v>
      </c>
      <c r="AB116">
        <f t="shared" si="29"/>
        <v>0</v>
      </c>
      <c r="AC116">
        <f t="shared" si="30"/>
        <v>0</v>
      </c>
      <c r="AD116">
        <f t="shared" si="31"/>
        <v>0</v>
      </c>
      <c r="AE116">
        <v>83.2</v>
      </c>
      <c r="AF116">
        <v>1.87</v>
      </c>
      <c r="AG116">
        <v>6.68</v>
      </c>
      <c r="AH116" t="s">
        <v>100</v>
      </c>
      <c r="AI116" t="s">
        <v>97</v>
      </c>
      <c r="AJ116" t="s">
        <v>97</v>
      </c>
      <c r="AK116" t="s">
        <v>97</v>
      </c>
      <c r="AL116" t="s">
        <v>97</v>
      </c>
      <c r="AM116">
        <v>13</v>
      </c>
      <c r="AN116" t="s">
        <v>101</v>
      </c>
      <c r="AO116" t="s">
        <v>164</v>
      </c>
      <c r="AP116" t="s">
        <v>122</v>
      </c>
      <c r="AQ116" t="s">
        <v>103</v>
      </c>
      <c r="AR116" t="s">
        <v>165</v>
      </c>
      <c r="AS116" t="s">
        <v>104</v>
      </c>
      <c r="AT116" t="s">
        <v>106</v>
      </c>
      <c r="AU116" t="s">
        <v>97</v>
      </c>
      <c r="AV116" t="s">
        <v>97</v>
      </c>
      <c r="AW116">
        <v>-1.53</v>
      </c>
      <c r="AX116">
        <v>-0.57999999999999996</v>
      </c>
      <c r="AY116">
        <v>-0.93</v>
      </c>
      <c r="AZ116">
        <v>0.46</v>
      </c>
      <c r="BA116" t="s">
        <v>97</v>
      </c>
      <c r="BB116" t="s">
        <v>97</v>
      </c>
      <c r="BC116" t="s">
        <v>97</v>
      </c>
      <c r="BD116">
        <v>2</v>
      </c>
      <c r="BE116" t="s">
        <v>97</v>
      </c>
      <c r="BF116" t="s">
        <v>97</v>
      </c>
      <c r="BG116" t="s">
        <v>97</v>
      </c>
      <c r="BH116" t="s">
        <v>97</v>
      </c>
      <c r="BI116">
        <v>666163</v>
      </c>
      <c r="BJ116">
        <v>666163</v>
      </c>
      <c r="BK116" t="s">
        <v>97</v>
      </c>
      <c r="BL116" t="s">
        <v>97</v>
      </c>
      <c r="BM116">
        <v>-3.4349668160000002</v>
      </c>
      <c r="BN116">
        <v>-120.8953929</v>
      </c>
      <c r="BO116">
        <v>-6.577151261</v>
      </c>
      <c r="BP116">
        <v>-14.05736956</v>
      </c>
      <c r="BQ116">
        <v>27.016950179999998</v>
      </c>
      <c r="BR116">
        <v>-36.598365110000003</v>
      </c>
      <c r="BS116">
        <v>3.17</v>
      </c>
      <c r="BT116">
        <v>1.5</v>
      </c>
      <c r="BU116" t="s">
        <v>97</v>
      </c>
      <c r="BV116" t="s">
        <v>97</v>
      </c>
      <c r="BW116" t="s">
        <v>97</v>
      </c>
      <c r="BX116">
        <v>83.1</v>
      </c>
      <c r="BY116">
        <v>2752</v>
      </c>
      <c r="BZ116">
        <v>6.7</v>
      </c>
      <c r="CA116">
        <v>813052</v>
      </c>
      <c r="CB116">
        <v>666163</v>
      </c>
      <c r="CC116">
        <v>666163</v>
      </c>
      <c r="CD116">
        <v>518692</v>
      </c>
      <c r="CE116">
        <v>669242</v>
      </c>
      <c r="CF116">
        <v>500743</v>
      </c>
      <c r="CG116">
        <v>605141</v>
      </c>
      <c r="CH116">
        <v>571771</v>
      </c>
      <c r="CI116">
        <v>681624</v>
      </c>
      <c r="CJ116">
        <v>606192</v>
      </c>
      <c r="CK116">
        <v>53.84</v>
      </c>
      <c r="CL116" t="s">
        <v>97</v>
      </c>
      <c r="CM116" t="s">
        <v>97</v>
      </c>
      <c r="CN116" t="s">
        <v>97</v>
      </c>
      <c r="CO116" t="s">
        <v>97</v>
      </c>
      <c r="CP116" t="s">
        <v>97</v>
      </c>
      <c r="CQ116" t="s">
        <v>97</v>
      </c>
      <c r="CR116" t="s">
        <v>97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 t="s">
        <v>107</v>
      </c>
      <c r="DB116" t="s">
        <v>107</v>
      </c>
      <c r="DC116">
        <v>326</v>
      </c>
      <c r="DD116">
        <v>0</v>
      </c>
      <c r="DE116">
        <v>2.1999999999999999E-2</v>
      </c>
      <c r="DF116" t="s">
        <v>97</v>
      </c>
      <c r="DG116" t="s">
        <v>97</v>
      </c>
    </row>
    <row r="117" spans="1:111" x14ac:dyDescent="0.2">
      <c r="A117">
        <v>2025</v>
      </c>
      <c r="B117" s="1">
        <v>45936</v>
      </c>
      <c r="C117" t="s">
        <v>95</v>
      </c>
      <c r="D117">
        <v>605483</v>
      </c>
      <c r="E117">
        <v>624641</v>
      </c>
      <c r="F117">
        <v>1</v>
      </c>
      <c r="G117">
        <v>2</v>
      </c>
      <c r="H117">
        <v>2</v>
      </c>
      <c r="I117" t="s">
        <v>163</v>
      </c>
      <c r="J117">
        <v>15</v>
      </c>
      <c r="K117">
        <v>4</v>
      </c>
      <c r="L117" t="s">
        <v>116</v>
      </c>
      <c r="M117" t="s">
        <v>111</v>
      </c>
      <c r="N117" t="s">
        <v>112</v>
      </c>
      <c r="O117">
        <f t="shared" si="16"/>
        <v>0</v>
      </c>
      <c r="P117">
        <f t="shared" si="17"/>
        <v>0</v>
      </c>
      <c r="Q117">
        <f t="shared" si="18"/>
        <v>0</v>
      </c>
      <c r="R117">
        <f t="shared" si="19"/>
        <v>0</v>
      </c>
      <c r="S117">
        <f t="shared" si="20"/>
        <v>1</v>
      </c>
      <c r="T117">
        <f t="shared" si="21"/>
        <v>0</v>
      </c>
      <c r="U117">
        <f t="shared" si="22"/>
        <v>0</v>
      </c>
      <c r="V117">
        <f t="shared" si="23"/>
        <v>0</v>
      </c>
      <c r="W117">
        <f t="shared" si="24"/>
        <v>0</v>
      </c>
      <c r="X117">
        <f t="shared" si="25"/>
        <v>0</v>
      </c>
      <c r="Y117">
        <f t="shared" si="26"/>
        <v>0</v>
      </c>
      <c r="Z117">
        <f t="shared" si="27"/>
        <v>0</v>
      </c>
      <c r="AA117">
        <f t="shared" si="28"/>
        <v>0</v>
      </c>
      <c r="AB117">
        <f t="shared" si="29"/>
        <v>0</v>
      </c>
      <c r="AC117">
        <f t="shared" si="30"/>
        <v>0</v>
      </c>
      <c r="AD117">
        <f t="shared" si="31"/>
        <v>0</v>
      </c>
      <c r="AE117">
        <v>82.4</v>
      </c>
      <c r="AF117">
        <v>1.87</v>
      </c>
      <c r="AG117">
        <v>6.69</v>
      </c>
      <c r="AH117" t="s">
        <v>145</v>
      </c>
      <c r="AI117" t="s">
        <v>97</v>
      </c>
      <c r="AJ117" t="s">
        <v>97</v>
      </c>
      <c r="AK117" t="s">
        <v>97</v>
      </c>
      <c r="AL117" t="s">
        <v>97</v>
      </c>
      <c r="AM117">
        <v>8</v>
      </c>
      <c r="AN117" t="s">
        <v>174</v>
      </c>
      <c r="AO117" t="s">
        <v>164</v>
      </c>
      <c r="AP117" t="s">
        <v>122</v>
      </c>
      <c r="AQ117" t="s">
        <v>103</v>
      </c>
      <c r="AR117" t="s">
        <v>165</v>
      </c>
      <c r="AS117" t="s">
        <v>104</v>
      </c>
      <c r="AT117" t="s">
        <v>110</v>
      </c>
      <c r="AU117">
        <v>2</v>
      </c>
      <c r="AV117" t="s">
        <v>97</v>
      </c>
      <c r="AW117">
        <v>-0.94</v>
      </c>
      <c r="AX117">
        <v>-0.69</v>
      </c>
      <c r="AY117">
        <v>-0.05</v>
      </c>
      <c r="AZ117">
        <v>2.04</v>
      </c>
      <c r="BA117" t="s">
        <v>97</v>
      </c>
      <c r="BB117" t="s">
        <v>97</v>
      </c>
      <c r="BC117" t="s">
        <v>97</v>
      </c>
      <c r="BD117">
        <v>2</v>
      </c>
      <c r="BE117" t="s">
        <v>97</v>
      </c>
      <c r="BF117" t="s">
        <v>97</v>
      </c>
      <c r="BG117" t="s">
        <v>97</v>
      </c>
      <c r="BH117" t="s">
        <v>97</v>
      </c>
      <c r="BI117">
        <v>666163</v>
      </c>
      <c r="BJ117">
        <v>666163</v>
      </c>
      <c r="BK117" t="s">
        <v>97</v>
      </c>
      <c r="BL117" t="s">
        <v>97</v>
      </c>
      <c r="BM117">
        <v>-2.533382703</v>
      </c>
      <c r="BN117">
        <v>-119.94760460000001</v>
      </c>
      <c r="BO117">
        <v>-2.6420441210000001</v>
      </c>
      <c r="BP117">
        <v>-8.4484846600000001</v>
      </c>
      <c r="BQ117">
        <v>26.74263187</v>
      </c>
      <c r="BR117">
        <v>-38.380425350000003</v>
      </c>
      <c r="BS117">
        <v>3.3</v>
      </c>
      <c r="BT117">
        <v>1.55</v>
      </c>
      <c r="BU117" t="s">
        <v>97</v>
      </c>
      <c r="BV117" t="s">
        <v>97</v>
      </c>
      <c r="BW117" t="s">
        <v>97</v>
      </c>
      <c r="BX117">
        <v>82.4</v>
      </c>
      <c r="BY117">
        <v>2655</v>
      </c>
      <c r="BZ117">
        <v>6.6</v>
      </c>
      <c r="CA117">
        <v>813052</v>
      </c>
      <c r="CB117">
        <v>666163</v>
      </c>
      <c r="CC117">
        <v>666163</v>
      </c>
      <c r="CD117">
        <v>518692</v>
      </c>
      <c r="CE117">
        <v>669242</v>
      </c>
      <c r="CF117">
        <v>500743</v>
      </c>
      <c r="CG117">
        <v>605141</v>
      </c>
      <c r="CH117">
        <v>571771</v>
      </c>
      <c r="CI117">
        <v>681624</v>
      </c>
      <c r="CJ117">
        <v>606192</v>
      </c>
      <c r="CK117">
        <v>53.86</v>
      </c>
      <c r="CL117" t="s">
        <v>97</v>
      </c>
      <c r="CM117">
        <v>0</v>
      </c>
      <c r="CN117">
        <v>0</v>
      </c>
      <c r="CO117">
        <v>1</v>
      </c>
      <c r="CP117">
        <v>0</v>
      </c>
      <c r="CQ117">
        <v>0</v>
      </c>
      <c r="CR117" t="s">
        <v>97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 t="s">
        <v>107</v>
      </c>
      <c r="DB117" t="s">
        <v>107</v>
      </c>
      <c r="DC117">
        <v>328</v>
      </c>
      <c r="DD117">
        <v>-1.0999999999999999E-2</v>
      </c>
      <c r="DE117">
        <v>-0.182</v>
      </c>
      <c r="DF117">
        <v>74.599999999999994</v>
      </c>
      <c r="DG117">
        <v>8.6</v>
      </c>
    </row>
    <row r="118" spans="1:111" x14ac:dyDescent="0.2">
      <c r="A118">
        <v>2025</v>
      </c>
      <c r="B118" s="1">
        <v>45936</v>
      </c>
      <c r="C118" t="s">
        <v>95</v>
      </c>
      <c r="D118">
        <v>605483</v>
      </c>
      <c r="E118">
        <v>669016</v>
      </c>
      <c r="F118">
        <v>0</v>
      </c>
      <c r="G118">
        <v>0</v>
      </c>
      <c r="H118">
        <v>3</v>
      </c>
      <c r="I118" t="s">
        <v>163</v>
      </c>
      <c r="J118">
        <v>19</v>
      </c>
      <c r="K118">
        <v>1</v>
      </c>
      <c r="L118" t="s">
        <v>97</v>
      </c>
      <c r="M118" t="s">
        <v>111</v>
      </c>
      <c r="N118" t="s">
        <v>112</v>
      </c>
      <c r="O118">
        <f t="shared" si="16"/>
        <v>0</v>
      </c>
      <c r="P118">
        <f t="shared" si="17"/>
        <v>0</v>
      </c>
      <c r="Q118">
        <f t="shared" si="18"/>
        <v>0</v>
      </c>
      <c r="R118">
        <f t="shared" si="19"/>
        <v>0</v>
      </c>
      <c r="S118">
        <f t="shared" si="20"/>
        <v>0</v>
      </c>
      <c r="T118">
        <f t="shared" si="21"/>
        <v>1</v>
      </c>
      <c r="U118">
        <f t="shared" si="22"/>
        <v>0</v>
      </c>
      <c r="V118">
        <f t="shared" si="23"/>
        <v>0</v>
      </c>
      <c r="W118">
        <f t="shared" si="24"/>
        <v>0</v>
      </c>
      <c r="X118">
        <f t="shared" si="25"/>
        <v>0</v>
      </c>
      <c r="Y118">
        <f t="shared" si="26"/>
        <v>0</v>
      </c>
      <c r="Z118">
        <f t="shared" si="27"/>
        <v>0</v>
      </c>
      <c r="AA118">
        <f t="shared" si="28"/>
        <v>0</v>
      </c>
      <c r="AB118">
        <f t="shared" si="29"/>
        <v>0</v>
      </c>
      <c r="AC118">
        <f t="shared" si="30"/>
        <v>0</v>
      </c>
      <c r="AD118">
        <f t="shared" si="31"/>
        <v>0</v>
      </c>
      <c r="AE118">
        <v>80.3</v>
      </c>
      <c r="AF118">
        <v>1.92</v>
      </c>
      <c r="AG118">
        <v>6.76</v>
      </c>
      <c r="AH118" t="s">
        <v>100</v>
      </c>
      <c r="AI118" t="s">
        <v>97</v>
      </c>
      <c r="AJ118" t="s">
        <v>97</v>
      </c>
      <c r="AK118" t="s">
        <v>97</v>
      </c>
      <c r="AL118" t="s">
        <v>97</v>
      </c>
      <c r="AM118">
        <v>13</v>
      </c>
      <c r="AN118" t="s">
        <v>101</v>
      </c>
      <c r="AO118" t="s">
        <v>164</v>
      </c>
      <c r="AP118" t="s">
        <v>103</v>
      </c>
      <c r="AQ118" t="s">
        <v>103</v>
      </c>
      <c r="AR118" t="s">
        <v>165</v>
      </c>
      <c r="AS118" t="s">
        <v>104</v>
      </c>
      <c r="AT118" t="s">
        <v>106</v>
      </c>
      <c r="AU118" t="s">
        <v>97</v>
      </c>
      <c r="AV118" t="s">
        <v>97</v>
      </c>
      <c r="AW118">
        <v>-0.96</v>
      </c>
      <c r="AX118">
        <v>-0.35</v>
      </c>
      <c r="AY118">
        <v>-0.84</v>
      </c>
      <c r="AZ118">
        <v>2.11</v>
      </c>
      <c r="BA118" t="s">
        <v>97</v>
      </c>
      <c r="BB118" t="s">
        <v>97</v>
      </c>
      <c r="BC118" t="s">
        <v>97</v>
      </c>
      <c r="BD118">
        <v>0</v>
      </c>
      <c r="BE118" t="s">
        <v>97</v>
      </c>
      <c r="BF118" t="s">
        <v>97</v>
      </c>
      <c r="BG118" t="s">
        <v>97</v>
      </c>
      <c r="BH118" t="s">
        <v>97</v>
      </c>
      <c r="BI118">
        <v>666163</v>
      </c>
      <c r="BJ118">
        <v>666163</v>
      </c>
      <c r="BK118" t="s">
        <v>97</v>
      </c>
      <c r="BL118" t="s">
        <v>97</v>
      </c>
      <c r="BM118">
        <v>-4.329390493</v>
      </c>
      <c r="BN118">
        <v>-116.8499367</v>
      </c>
      <c r="BO118">
        <v>-2.9051327250000001</v>
      </c>
      <c r="BP118">
        <v>-7.8732681600000003</v>
      </c>
      <c r="BQ118">
        <v>23.373929560000001</v>
      </c>
      <c r="BR118">
        <v>-34.98195518</v>
      </c>
      <c r="BS118">
        <v>3.15</v>
      </c>
      <c r="BT118">
        <v>1.48</v>
      </c>
      <c r="BU118" t="s">
        <v>97</v>
      </c>
      <c r="BV118" t="s">
        <v>97</v>
      </c>
      <c r="BW118" t="s">
        <v>97</v>
      </c>
      <c r="BX118">
        <v>80.5</v>
      </c>
      <c r="BY118">
        <v>2678</v>
      </c>
      <c r="BZ118">
        <v>6.6</v>
      </c>
      <c r="CA118">
        <v>813052</v>
      </c>
      <c r="CB118">
        <v>666163</v>
      </c>
      <c r="CC118">
        <v>666163</v>
      </c>
      <c r="CD118">
        <v>518692</v>
      </c>
      <c r="CE118">
        <v>669242</v>
      </c>
      <c r="CF118">
        <v>500743</v>
      </c>
      <c r="CG118">
        <v>605141</v>
      </c>
      <c r="CH118">
        <v>571771</v>
      </c>
      <c r="CI118">
        <v>681624</v>
      </c>
      <c r="CJ118">
        <v>606192</v>
      </c>
      <c r="CK118">
        <v>53.91</v>
      </c>
      <c r="CL118" t="s">
        <v>97</v>
      </c>
      <c r="CM118" t="s">
        <v>97</v>
      </c>
      <c r="CN118" t="s">
        <v>97</v>
      </c>
      <c r="CO118" t="s">
        <v>97</v>
      </c>
      <c r="CP118" t="s">
        <v>97</v>
      </c>
      <c r="CQ118" t="s">
        <v>97</v>
      </c>
      <c r="CR118" t="s">
        <v>97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 t="s">
        <v>107</v>
      </c>
      <c r="DB118" t="s">
        <v>107</v>
      </c>
      <c r="DC118">
        <v>325</v>
      </c>
      <c r="DD118">
        <v>0</v>
      </c>
      <c r="DE118">
        <v>4.1000000000000002E-2</v>
      </c>
      <c r="DF118" t="s">
        <v>97</v>
      </c>
      <c r="DG118" t="s">
        <v>97</v>
      </c>
    </row>
    <row r="119" spans="1:111" x14ac:dyDescent="0.2">
      <c r="A119">
        <v>2025</v>
      </c>
      <c r="B119" s="1">
        <v>45936</v>
      </c>
      <c r="C119" t="s">
        <v>95</v>
      </c>
      <c r="D119">
        <v>605483</v>
      </c>
      <c r="E119">
        <v>669016</v>
      </c>
      <c r="F119">
        <v>1</v>
      </c>
      <c r="G119">
        <v>0</v>
      </c>
      <c r="H119">
        <v>3</v>
      </c>
      <c r="I119" t="s">
        <v>163</v>
      </c>
      <c r="J119">
        <v>19</v>
      </c>
      <c r="K119">
        <v>2</v>
      </c>
      <c r="L119" t="s">
        <v>97</v>
      </c>
      <c r="M119" t="s">
        <v>98</v>
      </c>
      <c r="N119" t="s">
        <v>99</v>
      </c>
      <c r="O119">
        <f t="shared" si="16"/>
        <v>0</v>
      </c>
      <c r="P119">
        <f t="shared" si="17"/>
        <v>0</v>
      </c>
      <c r="Q119">
        <f t="shared" si="18"/>
        <v>0</v>
      </c>
      <c r="R119">
        <f t="shared" si="19"/>
        <v>1</v>
      </c>
      <c r="S119">
        <f t="shared" si="20"/>
        <v>0</v>
      </c>
      <c r="T119">
        <f t="shared" si="21"/>
        <v>0</v>
      </c>
      <c r="U119">
        <f t="shared" si="22"/>
        <v>0</v>
      </c>
      <c r="V119">
        <f t="shared" si="23"/>
        <v>0</v>
      </c>
      <c r="W119">
        <f t="shared" si="24"/>
        <v>0</v>
      </c>
      <c r="X119">
        <f t="shared" si="25"/>
        <v>0</v>
      </c>
      <c r="Y119">
        <f t="shared" si="26"/>
        <v>0</v>
      </c>
      <c r="Z119">
        <f t="shared" si="27"/>
        <v>0</v>
      </c>
      <c r="AA119">
        <f t="shared" si="28"/>
        <v>0</v>
      </c>
      <c r="AB119">
        <f t="shared" si="29"/>
        <v>0</v>
      </c>
      <c r="AC119">
        <f t="shared" si="30"/>
        <v>0</v>
      </c>
      <c r="AD119">
        <f t="shared" si="31"/>
        <v>0</v>
      </c>
      <c r="AE119">
        <v>96.3</v>
      </c>
      <c r="AF119">
        <v>1.98</v>
      </c>
      <c r="AG119">
        <v>6.7</v>
      </c>
      <c r="AH119" t="s">
        <v>100</v>
      </c>
      <c r="AI119" t="s">
        <v>97</v>
      </c>
      <c r="AJ119" t="s">
        <v>97</v>
      </c>
      <c r="AK119" t="s">
        <v>97</v>
      </c>
      <c r="AL119" t="s">
        <v>97</v>
      </c>
      <c r="AM119">
        <v>11</v>
      </c>
      <c r="AN119" t="s">
        <v>101</v>
      </c>
      <c r="AO119" t="s">
        <v>164</v>
      </c>
      <c r="AP119" t="s">
        <v>103</v>
      </c>
      <c r="AQ119" t="s">
        <v>103</v>
      </c>
      <c r="AR119" t="s">
        <v>165</v>
      </c>
      <c r="AS119" t="s">
        <v>104</v>
      </c>
      <c r="AT119" t="s">
        <v>106</v>
      </c>
      <c r="AU119" t="s">
        <v>97</v>
      </c>
      <c r="AV119" t="s">
        <v>97</v>
      </c>
      <c r="AW119">
        <v>0.36</v>
      </c>
      <c r="AX119">
        <v>1.51</v>
      </c>
      <c r="AY119">
        <v>-1.25</v>
      </c>
      <c r="AZ119">
        <v>2.54</v>
      </c>
      <c r="BA119" t="s">
        <v>97</v>
      </c>
      <c r="BB119" t="s">
        <v>97</v>
      </c>
      <c r="BC119" t="s">
        <v>97</v>
      </c>
      <c r="BD119">
        <v>0</v>
      </c>
      <c r="BE119" t="s">
        <v>97</v>
      </c>
      <c r="BF119" t="s">
        <v>97</v>
      </c>
      <c r="BG119" t="s">
        <v>97</v>
      </c>
      <c r="BH119" t="s">
        <v>97</v>
      </c>
      <c r="BI119">
        <v>666163</v>
      </c>
      <c r="BJ119">
        <v>666163</v>
      </c>
      <c r="BK119" t="s">
        <v>97</v>
      </c>
      <c r="BL119" t="s">
        <v>97</v>
      </c>
      <c r="BM119">
        <v>-9.4242662339999992</v>
      </c>
      <c r="BN119">
        <v>-139.63956450000001</v>
      </c>
      <c r="BO119">
        <v>-8.903990018</v>
      </c>
      <c r="BP119">
        <v>6.8976217379999998</v>
      </c>
      <c r="BQ119">
        <v>33.623029959999997</v>
      </c>
      <c r="BR119">
        <v>-10.450840169999999</v>
      </c>
      <c r="BS119">
        <v>3.2</v>
      </c>
      <c r="BT119">
        <v>1.53</v>
      </c>
      <c r="BU119" t="s">
        <v>97</v>
      </c>
      <c r="BV119" t="s">
        <v>97</v>
      </c>
      <c r="BW119" t="s">
        <v>97</v>
      </c>
      <c r="BX119">
        <v>96.6</v>
      </c>
      <c r="BY119">
        <v>2591</v>
      </c>
      <c r="BZ119">
        <v>6.8</v>
      </c>
      <c r="CA119">
        <v>813052</v>
      </c>
      <c r="CB119">
        <v>666163</v>
      </c>
      <c r="CC119">
        <v>666163</v>
      </c>
      <c r="CD119">
        <v>518692</v>
      </c>
      <c r="CE119">
        <v>669242</v>
      </c>
      <c r="CF119">
        <v>500743</v>
      </c>
      <c r="CG119">
        <v>605141</v>
      </c>
      <c r="CH119">
        <v>571771</v>
      </c>
      <c r="CI119">
        <v>681624</v>
      </c>
      <c r="CJ119">
        <v>606192</v>
      </c>
      <c r="CK119">
        <v>53.72</v>
      </c>
      <c r="CL119" t="s">
        <v>97</v>
      </c>
      <c r="CM119" t="s">
        <v>97</v>
      </c>
      <c r="CN119" t="s">
        <v>97</v>
      </c>
      <c r="CO119" t="s">
        <v>97</v>
      </c>
      <c r="CP119" t="s">
        <v>97</v>
      </c>
      <c r="CQ119" t="s">
        <v>97</v>
      </c>
      <c r="CR119" t="s">
        <v>97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t="s">
        <v>107</v>
      </c>
      <c r="DB119" t="s">
        <v>107</v>
      </c>
      <c r="DC119">
        <v>159</v>
      </c>
      <c r="DD119">
        <v>0</v>
      </c>
      <c r="DE119">
        <v>7.6999999999999999E-2</v>
      </c>
      <c r="DF119" t="s">
        <v>97</v>
      </c>
      <c r="DG119" t="s">
        <v>97</v>
      </c>
    </row>
    <row r="120" spans="1:111" x14ac:dyDescent="0.2">
      <c r="A120">
        <v>2025</v>
      </c>
      <c r="B120" s="1">
        <v>45936</v>
      </c>
      <c r="C120" t="s">
        <v>95</v>
      </c>
      <c r="D120">
        <v>605483</v>
      </c>
      <c r="E120">
        <v>669016</v>
      </c>
      <c r="F120">
        <v>2</v>
      </c>
      <c r="G120">
        <v>0</v>
      </c>
      <c r="H120">
        <v>3</v>
      </c>
      <c r="I120" t="s">
        <v>163</v>
      </c>
      <c r="J120">
        <v>19</v>
      </c>
      <c r="K120">
        <v>3</v>
      </c>
      <c r="L120" t="s">
        <v>97</v>
      </c>
      <c r="M120" t="s">
        <v>138</v>
      </c>
      <c r="N120" t="s">
        <v>139</v>
      </c>
      <c r="O120">
        <f t="shared" si="16"/>
        <v>0</v>
      </c>
      <c r="P120">
        <f t="shared" si="17"/>
        <v>0</v>
      </c>
      <c r="Q120">
        <f t="shared" si="18"/>
        <v>0</v>
      </c>
      <c r="R120">
        <f t="shared" si="19"/>
        <v>0</v>
      </c>
      <c r="S120">
        <f t="shared" si="20"/>
        <v>0</v>
      </c>
      <c r="T120">
        <f t="shared" si="21"/>
        <v>0</v>
      </c>
      <c r="U120">
        <f t="shared" si="22"/>
        <v>0</v>
      </c>
      <c r="V120">
        <f t="shared" si="23"/>
        <v>0</v>
      </c>
      <c r="W120">
        <f t="shared" si="24"/>
        <v>0</v>
      </c>
      <c r="X120">
        <f t="shared" si="25"/>
        <v>0</v>
      </c>
      <c r="Y120">
        <f t="shared" si="26"/>
        <v>0</v>
      </c>
      <c r="Z120">
        <f t="shared" si="27"/>
        <v>0</v>
      </c>
      <c r="AA120">
        <f t="shared" si="28"/>
        <v>0</v>
      </c>
      <c r="AB120">
        <f t="shared" si="29"/>
        <v>1</v>
      </c>
      <c r="AC120">
        <f t="shared" si="30"/>
        <v>0</v>
      </c>
      <c r="AD120">
        <f t="shared" si="31"/>
        <v>0</v>
      </c>
      <c r="AE120">
        <v>89.9</v>
      </c>
      <c r="AF120">
        <v>1.98</v>
      </c>
      <c r="AG120">
        <v>6.64</v>
      </c>
      <c r="AH120" t="s">
        <v>113</v>
      </c>
      <c r="AI120" t="s">
        <v>97</v>
      </c>
      <c r="AJ120" t="s">
        <v>97</v>
      </c>
      <c r="AK120" t="s">
        <v>97</v>
      </c>
      <c r="AL120" t="s">
        <v>97</v>
      </c>
      <c r="AM120">
        <v>13</v>
      </c>
      <c r="AN120" t="s">
        <v>114</v>
      </c>
      <c r="AO120" t="s">
        <v>164</v>
      </c>
      <c r="AP120" t="s">
        <v>103</v>
      </c>
      <c r="AQ120" t="s">
        <v>103</v>
      </c>
      <c r="AR120" t="s">
        <v>165</v>
      </c>
      <c r="AS120" t="s">
        <v>104</v>
      </c>
      <c r="AT120" t="s">
        <v>110</v>
      </c>
      <c r="AU120" t="s">
        <v>97</v>
      </c>
      <c r="AV120" t="s">
        <v>97</v>
      </c>
      <c r="AW120">
        <v>-0.33</v>
      </c>
      <c r="AX120">
        <v>0.9</v>
      </c>
      <c r="AY120">
        <v>-0.87</v>
      </c>
      <c r="AZ120">
        <v>0.9</v>
      </c>
      <c r="BA120" t="s">
        <v>97</v>
      </c>
      <c r="BB120" t="s">
        <v>97</v>
      </c>
      <c r="BC120" t="s">
        <v>97</v>
      </c>
      <c r="BD120">
        <v>0</v>
      </c>
      <c r="BE120" t="s">
        <v>97</v>
      </c>
      <c r="BF120" t="s">
        <v>97</v>
      </c>
      <c r="BG120" t="s">
        <v>97</v>
      </c>
      <c r="BH120" t="s">
        <v>97</v>
      </c>
      <c r="BI120">
        <v>666163</v>
      </c>
      <c r="BJ120">
        <v>666163</v>
      </c>
      <c r="BK120" t="s">
        <v>97</v>
      </c>
      <c r="BL120" t="s">
        <v>97</v>
      </c>
      <c r="BM120">
        <v>-6.4052244480000002</v>
      </c>
      <c r="BN120">
        <v>-130.3800555</v>
      </c>
      <c r="BO120">
        <v>-10.16451019</v>
      </c>
      <c r="BP120">
        <v>-2.3233302450000002</v>
      </c>
      <c r="BQ120">
        <v>28.719735400000001</v>
      </c>
      <c r="BR120">
        <v>-19.836906590000002</v>
      </c>
      <c r="BS120">
        <v>3.2</v>
      </c>
      <c r="BT120">
        <v>1.53</v>
      </c>
      <c r="BU120" t="s">
        <v>97</v>
      </c>
      <c r="BV120" t="s">
        <v>97</v>
      </c>
      <c r="BW120" t="s">
        <v>97</v>
      </c>
      <c r="BX120">
        <v>90.3</v>
      </c>
      <c r="BY120">
        <v>2447</v>
      </c>
      <c r="BZ120">
        <v>6.8</v>
      </c>
      <c r="CA120">
        <v>813052</v>
      </c>
      <c r="CB120">
        <v>666163</v>
      </c>
      <c r="CC120">
        <v>666163</v>
      </c>
      <c r="CD120">
        <v>518692</v>
      </c>
      <c r="CE120">
        <v>669242</v>
      </c>
      <c r="CF120">
        <v>500743</v>
      </c>
      <c r="CG120">
        <v>605141</v>
      </c>
      <c r="CH120">
        <v>571771</v>
      </c>
      <c r="CI120">
        <v>681624</v>
      </c>
      <c r="CJ120">
        <v>606192</v>
      </c>
      <c r="CK120">
        <v>53.7</v>
      </c>
      <c r="CL120" t="s">
        <v>97</v>
      </c>
      <c r="CM120" t="s">
        <v>97</v>
      </c>
      <c r="CN120" t="s">
        <v>97</v>
      </c>
      <c r="CO120" t="s">
        <v>97</v>
      </c>
      <c r="CP120" t="s">
        <v>97</v>
      </c>
      <c r="CQ120" t="s">
        <v>97</v>
      </c>
      <c r="CR120" t="s">
        <v>97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 t="s">
        <v>107</v>
      </c>
      <c r="DB120" t="s">
        <v>107</v>
      </c>
      <c r="DC120">
        <v>164</v>
      </c>
      <c r="DD120">
        <v>0</v>
      </c>
      <c r="DE120">
        <v>-7.2999999999999995E-2</v>
      </c>
      <c r="DF120">
        <v>70.5</v>
      </c>
      <c r="DG120">
        <v>8.1</v>
      </c>
    </row>
    <row r="121" spans="1:111" x14ac:dyDescent="0.2">
      <c r="A121">
        <v>2025</v>
      </c>
      <c r="B121" s="1">
        <v>45936</v>
      </c>
      <c r="C121" t="s">
        <v>95</v>
      </c>
      <c r="D121">
        <v>605483</v>
      </c>
      <c r="E121">
        <v>669016</v>
      </c>
      <c r="F121">
        <v>2</v>
      </c>
      <c r="G121">
        <v>1</v>
      </c>
      <c r="H121">
        <v>3</v>
      </c>
      <c r="I121" t="s">
        <v>163</v>
      </c>
      <c r="J121">
        <v>19</v>
      </c>
      <c r="K121">
        <v>4</v>
      </c>
      <c r="L121" t="s">
        <v>97</v>
      </c>
      <c r="M121" t="s">
        <v>98</v>
      </c>
      <c r="N121" t="s">
        <v>99</v>
      </c>
      <c r="O121">
        <f t="shared" si="16"/>
        <v>1</v>
      </c>
      <c r="P121">
        <f t="shared" si="17"/>
        <v>0</v>
      </c>
      <c r="Q121">
        <f t="shared" si="18"/>
        <v>0</v>
      </c>
      <c r="R121">
        <f t="shared" si="19"/>
        <v>0</v>
      </c>
      <c r="S121">
        <f t="shared" si="20"/>
        <v>0</v>
      </c>
      <c r="T121">
        <f t="shared" si="21"/>
        <v>0</v>
      </c>
      <c r="U121">
        <f t="shared" si="22"/>
        <v>0</v>
      </c>
      <c r="V121">
        <f t="shared" si="23"/>
        <v>0</v>
      </c>
      <c r="W121">
        <f t="shared" si="24"/>
        <v>0</v>
      </c>
      <c r="X121">
        <f t="shared" si="25"/>
        <v>0</v>
      </c>
      <c r="Y121">
        <f t="shared" si="26"/>
        <v>0</v>
      </c>
      <c r="Z121">
        <f t="shared" si="27"/>
        <v>0</v>
      </c>
      <c r="AA121">
        <f t="shared" si="28"/>
        <v>0</v>
      </c>
      <c r="AB121">
        <f t="shared" si="29"/>
        <v>0</v>
      </c>
      <c r="AC121">
        <f t="shared" si="30"/>
        <v>0</v>
      </c>
      <c r="AD121">
        <f t="shared" si="31"/>
        <v>0</v>
      </c>
      <c r="AE121">
        <v>95.8</v>
      </c>
      <c r="AF121">
        <v>1.92</v>
      </c>
      <c r="AG121">
        <v>6.69</v>
      </c>
      <c r="AH121" t="s">
        <v>145</v>
      </c>
      <c r="AI121" t="s">
        <v>97</v>
      </c>
      <c r="AJ121" t="s">
        <v>97</v>
      </c>
      <c r="AK121" t="s">
        <v>97</v>
      </c>
      <c r="AL121" t="s">
        <v>97</v>
      </c>
      <c r="AM121">
        <v>4</v>
      </c>
      <c r="AN121" t="s">
        <v>173</v>
      </c>
      <c r="AO121" t="s">
        <v>164</v>
      </c>
      <c r="AP121" t="s">
        <v>103</v>
      </c>
      <c r="AQ121" t="s">
        <v>103</v>
      </c>
      <c r="AR121" t="s">
        <v>165</v>
      </c>
      <c r="AS121" t="s">
        <v>104</v>
      </c>
      <c r="AT121" t="s">
        <v>110</v>
      </c>
      <c r="AU121" t="s">
        <v>97</v>
      </c>
      <c r="AV121" t="s">
        <v>97</v>
      </c>
      <c r="AW121">
        <v>0.27</v>
      </c>
      <c r="AX121">
        <v>1.62</v>
      </c>
      <c r="AY121">
        <v>-0.82</v>
      </c>
      <c r="AZ121">
        <v>2.57</v>
      </c>
      <c r="BA121" t="s">
        <v>97</v>
      </c>
      <c r="BB121" t="s">
        <v>97</v>
      </c>
      <c r="BC121" t="s">
        <v>97</v>
      </c>
      <c r="BD121">
        <v>0</v>
      </c>
      <c r="BE121" t="s">
        <v>97</v>
      </c>
      <c r="BF121" t="s">
        <v>97</v>
      </c>
      <c r="BG121" t="s">
        <v>97</v>
      </c>
      <c r="BH121" t="s">
        <v>97</v>
      </c>
      <c r="BI121">
        <v>666163</v>
      </c>
      <c r="BJ121">
        <v>666163</v>
      </c>
      <c r="BK121" t="s">
        <v>97</v>
      </c>
      <c r="BL121" t="s">
        <v>97</v>
      </c>
      <c r="BM121">
        <v>-7.9154638530000003</v>
      </c>
      <c r="BN121">
        <v>-138.98010049999999</v>
      </c>
      <c r="BO121">
        <v>-8.9533151750000002</v>
      </c>
      <c r="BP121">
        <v>5.3304911830000004</v>
      </c>
      <c r="BQ121">
        <v>33.203141090000003</v>
      </c>
      <c r="BR121">
        <v>-9.2354058600000002</v>
      </c>
      <c r="BS121">
        <v>3.2</v>
      </c>
      <c r="BT121">
        <v>1.53</v>
      </c>
      <c r="BU121" t="s">
        <v>97</v>
      </c>
      <c r="BV121" t="s">
        <v>97</v>
      </c>
      <c r="BW121" t="s">
        <v>97</v>
      </c>
      <c r="BX121">
        <v>96.3</v>
      </c>
      <c r="BY121">
        <v>2509</v>
      </c>
      <c r="BZ121">
        <v>6.9</v>
      </c>
      <c r="CA121">
        <v>813052</v>
      </c>
      <c r="CB121">
        <v>666163</v>
      </c>
      <c r="CC121">
        <v>666163</v>
      </c>
      <c r="CD121">
        <v>518692</v>
      </c>
      <c r="CE121">
        <v>669242</v>
      </c>
      <c r="CF121">
        <v>500743</v>
      </c>
      <c r="CG121">
        <v>605141</v>
      </c>
      <c r="CH121">
        <v>571771</v>
      </c>
      <c r="CI121">
        <v>681624</v>
      </c>
      <c r="CJ121">
        <v>606192</v>
      </c>
      <c r="CK121">
        <v>53.6</v>
      </c>
      <c r="CL121" t="s">
        <v>97</v>
      </c>
      <c r="CM121" t="s">
        <v>97</v>
      </c>
      <c r="CN121" t="s">
        <v>97</v>
      </c>
      <c r="CO121" t="s">
        <v>97</v>
      </c>
      <c r="CP121" t="s">
        <v>97</v>
      </c>
      <c r="CQ121" t="s">
        <v>97</v>
      </c>
      <c r="CR121" t="s">
        <v>97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 t="s">
        <v>107</v>
      </c>
      <c r="DB121" t="s">
        <v>107</v>
      </c>
      <c r="DC121">
        <v>158</v>
      </c>
      <c r="DD121">
        <v>0</v>
      </c>
      <c r="DE121">
        <v>-7.2999999999999995E-2</v>
      </c>
      <c r="DF121">
        <v>71</v>
      </c>
      <c r="DG121">
        <v>6.8</v>
      </c>
    </row>
    <row r="122" spans="1:111" x14ac:dyDescent="0.2">
      <c r="A122">
        <v>2025</v>
      </c>
      <c r="B122" s="1">
        <v>45936</v>
      </c>
      <c r="C122" t="s">
        <v>95</v>
      </c>
      <c r="D122">
        <v>605483</v>
      </c>
      <c r="E122">
        <v>669016</v>
      </c>
      <c r="F122">
        <v>2</v>
      </c>
      <c r="G122">
        <v>2</v>
      </c>
      <c r="H122">
        <v>3</v>
      </c>
      <c r="I122" t="s">
        <v>163</v>
      </c>
      <c r="J122">
        <v>19</v>
      </c>
      <c r="K122">
        <v>5</v>
      </c>
      <c r="L122" t="s">
        <v>97</v>
      </c>
      <c r="M122" t="s">
        <v>98</v>
      </c>
      <c r="N122" t="s">
        <v>99</v>
      </c>
      <c r="O122">
        <f t="shared" si="16"/>
        <v>1</v>
      </c>
      <c r="P122">
        <f t="shared" si="17"/>
        <v>0</v>
      </c>
      <c r="Q122">
        <f t="shared" si="18"/>
        <v>0</v>
      </c>
      <c r="R122">
        <f t="shared" si="19"/>
        <v>0</v>
      </c>
      <c r="S122">
        <f t="shared" si="20"/>
        <v>0</v>
      </c>
      <c r="T122">
        <f t="shared" si="21"/>
        <v>0</v>
      </c>
      <c r="U122">
        <f t="shared" si="22"/>
        <v>0</v>
      </c>
      <c r="V122">
        <f t="shared" si="23"/>
        <v>0</v>
      </c>
      <c r="W122">
        <f t="shared" si="24"/>
        <v>0</v>
      </c>
      <c r="X122">
        <f t="shared" si="25"/>
        <v>0</v>
      </c>
      <c r="Y122">
        <f t="shared" si="26"/>
        <v>0</v>
      </c>
      <c r="Z122">
        <f t="shared" si="27"/>
        <v>0</v>
      </c>
      <c r="AA122">
        <f t="shared" si="28"/>
        <v>0</v>
      </c>
      <c r="AB122">
        <f t="shared" si="29"/>
        <v>0</v>
      </c>
      <c r="AC122">
        <f t="shared" si="30"/>
        <v>0</v>
      </c>
      <c r="AD122">
        <f t="shared" si="31"/>
        <v>0</v>
      </c>
      <c r="AE122">
        <v>96.6</v>
      </c>
      <c r="AF122">
        <v>1.89</v>
      </c>
      <c r="AG122">
        <v>6.73</v>
      </c>
      <c r="AH122" t="s">
        <v>100</v>
      </c>
      <c r="AI122" t="s">
        <v>97</v>
      </c>
      <c r="AJ122" t="s">
        <v>97</v>
      </c>
      <c r="AK122" t="s">
        <v>97</v>
      </c>
      <c r="AL122" t="s">
        <v>97</v>
      </c>
      <c r="AM122">
        <v>11</v>
      </c>
      <c r="AN122" t="s">
        <v>101</v>
      </c>
      <c r="AO122" t="s">
        <v>164</v>
      </c>
      <c r="AP122" t="s">
        <v>103</v>
      </c>
      <c r="AQ122" t="s">
        <v>103</v>
      </c>
      <c r="AR122" t="s">
        <v>165</v>
      </c>
      <c r="AS122" t="s">
        <v>104</v>
      </c>
      <c r="AT122" t="s">
        <v>106</v>
      </c>
      <c r="AU122" t="s">
        <v>97</v>
      </c>
      <c r="AV122" t="s">
        <v>97</v>
      </c>
      <c r="AW122">
        <v>0.22</v>
      </c>
      <c r="AX122">
        <v>1.78</v>
      </c>
      <c r="AY122">
        <v>-0.89</v>
      </c>
      <c r="AZ122">
        <v>2.68</v>
      </c>
      <c r="BA122" t="s">
        <v>97</v>
      </c>
      <c r="BB122" t="s">
        <v>97</v>
      </c>
      <c r="BC122" t="s">
        <v>97</v>
      </c>
      <c r="BD122">
        <v>0</v>
      </c>
      <c r="BE122" t="s">
        <v>97</v>
      </c>
      <c r="BF122" t="s">
        <v>97</v>
      </c>
      <c r="BG122" t="s">
        <v>97</v>
      </c>
      <c r="BH122" t="s">
        <v>97</v>
      </c>
      <c r="BI122">
        <v>666163</v>
      </c>
      <c r="BJ122">
        <v>666163</v>
      </c>
      <c r="BK122" t="s">
        <v>97</v>
      </c>
      <c r="BL122" t="s">
        <v>97</v>
      </c>
      <c r="BM122">
        <v>-7.9790156120000004</v>
      </c>
      <c r="BN122">
        <v>-140.10625210000001</v>
      </c>
      <c r="BO122">
        <v>-9.2998841510000005</v>
      </c>
      <c r="BP122">
        <v>4.7963767590000002</v>
      </c>
      <c r="BQ122">
        <v>33.344551379999999</v>
      </c>
      <c r="BR122">
        <v>-6.7053388869999999</v>
      </c>
      <c r="BS122">
        <v>3.15</v>
      </c>
      <c r="BT122">
        <v>1.48</v>
      </c>
      <c r="BU122" t="s">
        <v>97</v>
      </c>
      <c r="BV122" t="s">
        <v>97</v>
      </c>
      <c r="BW122" t="s">
        <v>97</v>
      </c>
      <c r="BX122">
        <v>97</v>
      </c>
      <c r="BY122">
        <v>2422</v>
      </c>
      <c r="BZ122">
        <v>6.8</v>
      </c>
      <c r="CA122">
        <v>813052</v>
      </c>
      <c r="CB122">
        <v>666163</v>
      </c>
      <c r="CC122">
        <v>666163</v>
      </c>
      <c r="CD122">
        <v>518692</v>
      </c>
      <c r="CE122">
        <v>669242</v>
      </c>
      <c r="CF122">
        <v>500743</v>
      </c>
      <c r="CG122">
        <v>605141</v>
      </c>
      <c r="CH122">
        <v>571771</v>
      </c>
      <c r="CI122">
        <v>681624</v>
      </c>
      <c r="CJ122">
        <v>606192</v>
      </c>
      <c r="CK122">
        <v>53.66</v>
      </c>
      <c r="CL122" t="s">
        <v>97</v>
      </c>
      <c r="CM122" t="s">
        <v>97</v>
      </c>
      <c r="CN122" t="s">
        <v>97</v>
      </c>
      <c r="CO122" t="s">
        <v>97</v>
      </c>
      <c r="CP122" t="s">
        <v>97</v>
      </c>
      <c r="CQ122" t="s">
        <v>97</v>
      </c>
      <c r="CR122" t="s">
        <v>97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 t="s">
        <v>115</v>
      </c>
      <c r="DB122" t="s">
        <v>107</v>
      </c>
      <c r="DC122">
        <v>159</v>
      </c>
      <c r="DD122">
        <v>0</v>
      </c>
      <c r="DE122">
        <v>0.112</v>
      </c>
      <c r="DF122" t="s">
        <v>97</v>
      </c>
      <c r="DG122" t="s">
        <v>97</v>
      </c>
    </row>
    <row r="123" spans="1:111" x14ac:dyDescent="0.2">
      <c r="A123">
        <v>2025</v>
      </c>
      <c r="B123" s="1">
        <v>45936</v>
      </c>
      <c r="C123" t="s">
        <v>95</v>
      </c>
      <c r="D123">
        <v>605483</v>
      </c>
      <c r="E123">
        <v>669016</v>
      </c>
      <c r="F123">
        <v>3</v>
      </c>
      <c r="G123">
        <v>2</v>
      </c>
      <c r="H123">
        <v>3</v>
      </c>
      <c r="I123" t="s">
        <v>163</v>
      </c>
      <c r="J123">
        <v>19</v>
      </c>
      <c r="K123">
        <v>6</v>
      </c>
      <c r="L123" t="s">
        <v>97</v>
      </c>
      <c r="M123" t="s">
        <v>98</v>
      </c>
      <c r="N123" t="s">
        <v>99</v>
      </c>
      <c r="O123">
        <f t="shared" si="16"/>
        <v>0</v>
      </c>
      <c r="P123">
        <f t="shared" si="17"/>
        <v>1</v>
      </c>
      <c r="Q123">
        <f t="shared" si="18"/>
        <v>0</v>
      </c>
      <c r="R123">
        <f t="shared" si="19"/>
        <v>0</v>
      </c>
      <c r="S123">
        <f t="shared" si="20"/>
        <v>0</v>
      </c>
      <c r="T123">
        <f t="shared" si="21"/>
        <v>0</v>
      </c>
      <c r="U123">
        <f t="shared" si="22"/>
        <v>0</v>
      </c>
      <c r="V123">
        <f t="shared" si="23"/>
        <v>0</v>
      </c>
      <c r="W123">
        <f t="shared" si="24"/>
        <v>0</v>
      </c>
      <c r="X123">
        <f t="shared" si="25"/>
        <v>0</v>
      </c>
      <c r="Y123">
        <f t="shared" si="26"/>
        <v>0</v>
      </c>
      <c r="Z123">
        <f t="shared" si="27"/>
        <v>0</v>
      </c>
      <c r="AA123">
        <f t="shared" si="28"/>
        <v>0</v>
      </c>
      <c r="AB123">
        <f t="shared" si="29"/>
        <v>0</v>
      </c>
      <c r="AC123">
        <f t="shared" si="30"/>
        <v>0</v>
      </c>
      <c r="AD123">
        <f t="shared" si="31"/>
        <v>0</v>
      </c>
      <c r="AE123">
        <v>97.6</v>
      </c>
      <c r="AF123">
        <v>1.92</v>
      </c>
      <c r="AG123">
        <v>6.67</v>
      </c>
      <c r="AH123" t="s">
        <v>129</v>
      </c>
      <c r="AI123" t="s">
        <v>97</v>
      </c>
      <c r="AJ123" t="s">
        <v>97</v>
      </c>
      <c r="AK123" t="s">
        <v>97</v>
      </c>
      <c r="AL123" t="s">
        <v>97</v>
      </c>
      <c r="AM123">
        <v>1</v>
      </c>
      <c r="AN123" t="s">
        <v>130</v>
      </c>
      <c r="AO123" t="s">
        <v>164</v>
      </c>
      <c r="AP123" t="s">
        <v>103</v>
      </c>
      <c r="AQ123" t="s">
        <v>103</v>
      </c>
      <c r="AR123" t="s">
        <v>165</v>
      </c>
      <c r="AS123" t="s">
        <v>104</v>
      </c>
      <c r="AT123" t="s">
        <v>110</v>
      </c>
      <c r="AU123" t="s">
        <v>97</v>
      </c>
      <c r="AV123" t="s">
        <v>97</v>
      </c>
      <c r="AW123">
        <v>0.2</v>
      </c>
      <c r="AX123">
        <v>1.71</v>
      </c>
      <c r="AY123">
        <v>-0.55000000000000004</v>
      </c>
      <c r="AZ123">
        <v>3.03</v>
      </c>
      <c r="BA123" t="s">
        <v>97</v>
      </c>
      <c r="BB123" t="s">
        <v>97</v>
      </c>
      <c r="BC123" t="s">
        <v>97</v>
      </c>
      <c r="BD123">
        <v>0</v>
      </c>
      <c r="BE123" t="s">
        <v>97</v>
      </c>
      <c r="BF123" t="s">
        <v>97</v>
      </c>
      <c r="BG123" t="s">
        <v>97</v>
      </c>
      <c r="BH123" t="s">
        <v>97</v>
      </c>
      <c r="BI123">
        <v>666163</v>
      </c>
      <c r="BJ123">
        <v>666163</v>
      </c>
      <c r="BK123" t="s">
        <v>97</v>
      </c>
      <c r="BL123" t="s">
        <v>97</v>
      </c>
      <c r="BM123">
        <v>-7.1667184390000003</v>
      </c>
      <c r="BN123">
        <v>-141.75121469999999</v>
      </c>
      <c r="BO123">
        <v>-8.2508824409999999</v>
      </c>
      <c r="BP123">
        <v>4.4451687409999998</v>
      </c>
      <c r="BQ123">
        <v>34.581665370000003</v>
      </c>
      <c r="BR123">
        <v>-7.3774518450000004</v>
      </c>
      <c r="BS123">
        <v>3.2</v>
      </c>
      <c r="BT123">
        <v>1.53</v>
      </c>
      <c r="BU123">
        <v>95</v>
      </c>
      <c r="BV123">
        <v>83.5</v>
      </c>
      <c r="BW123">
        <v>10</v>
      </c>
      <c r="BX123">
        <v>98.2</v>
      </c>
      <c r="BY123">
        <v>2457</v>
      </c>
      <c r="BZ123">
        <v>6.9</v>
      </c>
      <c r="CA123">
        <v>813052</v>
      </c>
      <c r="CB123">
        <v>666163</v>
      </c>
      <c r="CC123">
        <v>666163</v>
      </c>
      <c r="CD123">
        <v>518692</v>
      </c>
      <c r="CE123">
        <v>669242</v>
      </c>
      <c r="CF123">
        <v>500743</v>
      </c>
      <c r="CG123">
        <v>605141</v>
      </c>
      <c r="CH123">
        <v>571771</v>
      </c>
      <c r="CI123">
        <v>681624</v>
      </c>
      <c r="CJ123">
        <v>606192</v>
      </c>
      <c r="CK123">
        <v>53.64</v>
      </c>
      <c r="CL123" t="s">
        <v>97</v>
      </c>
      <c r="CM123" t="s">
        <v>97</v>
      </c>
      <c r="CN123" t="s">
        <v>97</v>
      </c>
      <c r="CO123" t="s">
        <v>97</v>
      </c>
      <c r="CP123" t="s">
        <v>97</v>
      </c>
      <c r="CQ123" t="s">
        <v>97</v>
      </c>
      <c r="CR123" t="s">
        <v>97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 t="s">
        <v>115</v>
      </c>
      <c r="DB123" t="s">
        <v>107</v>
      </c>
      <c r="DC123">
        <v>154</v>
      </c>
      <c r="DD123">
        <v>0</v>
      </c>
      <c r="DE123">
        <v>0</v>
      </c>
      <c r="DF123">
        <v>73.5</v>
      </c>
      <c r="DG123">
        <v>6.3</v>
      </c>
    </row>
    <row r="124" spans="1:111" x14ac:dyDescent="0.2">
      <c r="A124">
        <v>2025</v>
      </c>
      <c r="B124" s="1">
        <v>45936</v>
      </c>
      <c r="C124" t="s">
        <v>95</v>
      </c>
      <c r="D124">
        <v>605483</v>
      </c>
      <c r="E124">
        <v>669016</v>
      </c>
      <c r="F124">
        <v>3</v>
      </c>
      <c r="G124">
        <v>2</v>
      </c>
      <c r="H124">
        <v>3</v>
      </c>
      <c r="I124" t="s">
        <v>163</v>
      </c>
      <c r="J124">
        <v>19</v>
      </c>
      <c r="K124">
        <v>7</v>
      </c>
      <c r="L124" t="s">
        <v>142</v>
      </c>
      <c r="M124" t="s">
        <v>111</v>
      </c>
      <c r="N124" t="s">
        <v>112</v>
      </c>
      <c r="O124">
        <f t="shared" si="16"/>
        <v>0</v>
      </c>
      <c r="P124">
        <f t="shared" si="17"/>
        <v>0</v>
      </c>
      <c r="Q124">
        <f t="shared" si="18"/>
        <v>0</v>
      </c>
      <c r="R124">
        <f t="shared" si="19"/>
        <v>0</v>
      </c>
      <c r="S124">
        <f t="shared" si="20"/>
        <v>0</v>
      </c>
      <c r="T124">
        <f t="shared" si="21"/>
        <v>0</v>
      </c>
      <c r="U124">
        <f t="shared" si="22"/>
        <v>1</v>
      </c>
      <c r="V124">
        <f t="shared" si="23"/>
        <v>0</v>
      </c>
      <c r="W124">
        <f t="shared" si="24"/>
        <v>0</v>
      </c>
      <c r="X124">
        <f t="shared" si="25"/>
        <v>0</v>
      </c>
      <c r="Y124">
        <f t="shared" si="26"/>
        <v>0</v>
      </c>
      <c r="Z124">
        <f t="shared" si="27"/>
        <v>0</v>
      </c>
      <c r="AA124">
        <f t="shared" si="28"/>
        <v>0</v>
      </c>
      <c r="AB124">
        <f t="shared" si="29"/>
        <v>0</v>
      </c>
      <c r="AC124">
        <f t="shared" si="30"/>
        <v>0</v>
      </c>
      <c r="AD124">
        <f t="shared" si="31"/>
        <v>0</v>
      </c>
      <c r="AE124">
        <v>82.4</v>
      </c>
      <c r="AF124">
        <v>1.91</v>
      </c>
      <c r="AG124">
        <v>6.67</v>
      </c>
      <c r="AH124" t="s">
        <v>100</v>
      </c>
      <c r="AI124" t="s">
        <v>97</v>
      </c>
      <c r="AJ124" t="s">
        <v>97</v>
      </c>
      <c r="AK124" t="s">
        <v>97</v>
      </c>
      <c r="AL124" t="s">
        <v>97</v>
      </c>
      <c r="AM124">
        <v>13</v>
      </c>
      <c r="AN124" t="s">
        <v>175</v>
      </c>
      <c r="AO124" t="s">
        <v>164</v>
      </c>
      <c r="AP124" t="s">
        <v>103</v>
      </c>
      <c r="AQ124" t="s">
        <v>103</v>
      </c>
      <c r="AR124" t="s">
        <v>165</v>
      </c>
      <c r="AS124" t="s">
        <v>104</v>
      </c>
      <c r="AT124" t="s">
        <v>106</v>
      </c>
      <c r="AU124" t="s">
        <v>97</v>
      </c>
      <c r="AV124" t="s">
        <v>97</v>
      </c>
      <c r="AW124">
        <v>-1.27</v>
      </c>
      <c r="AX124">
        <v>-0.65</v>
      </c>
      <c r="AY124">
        <v>-0.25</v>
      </c>
      <c r="AZ124">
        <v>1.4</v>
      </c>
      <c r="BA124" t="s">
        <v>97</v>
      </c>
      <c r="BB124" t="s">
        <v>97</v>
      </c>
      <c r="BC124" t="s">
        <v>97</v>
      </c>
      <c r="BD124">
        <v>0</v>
      </c>
      <c r="BE124" t="s">
        <v>97</v>
      </c>
      <c r="BF124" t="s">
        <v>97</v>
      </c>
      <c r="BG124" t="s">
        <v>97</v>
      </c>
      <c r="BH124" t="s">
        <v>97</v>
      </c>
      <c r="BI124">
        <v>666163</v>
      </c>
      <c r="BJ124">
        <v>666163</v>
      </c>
      <c r="BK124" t="s">
        <v>97</v>
      </c>
      <c r="BL124" t="s">
        <v>97</v>
      </c>
      <c r="BM124">
        <v>-2.453966469</v>
      </c>
      <c r="BN124">
        <v>-119.8694096</v>
      </c>
      <c r="BO124">
        <v>-4.1214908919999997</v>
      </c>
      <c r="BP124">
        <v>-11.616902469999999</v>
      </c>
      <c r="BQ124">
        <v>25.52526954</v>
      </c>
      <c r="BR124">
        <v>-37.789291749999997</v>
      </c>
      <c r="BS124">
        <v>3.15</v>
      </c>
      <c r="BT124">
        <v>1.53</v>
      </c>
      <c r="BU124" t="s">
        <v>97</v>
      </c>
      <c r="BV124" t="s">
        <v>97</v>
      </c>
      <c r="BW124" t="s">
        <v>97</v>
      </c>
      <c r="BX124">
        <v>82.5</v>
      </c>
      <c r="BY124">
        <v>2598</v>
      </c>
      <c r="BZ124">
        <v>6.6</v>
      </c>
      <c r="CA124">
        <v>813052</v>
      </c>
      <c r="CB124">
        <v>666163</v>
      </c>
      <c r="CC124">
        <v>666163</v>
      </c>
      <c r="CD124">
        <v>518692</v>
      </c>
      <c r="CE124">
        <v>669242</v>
      </c>
      <c r="CF124">
        <v>500743</v>
      </c>
      <c r="CG124">
        <v>605141</v>
      </c>
      <c r="CH124">
        <v>571771</v>
      </c>
      <c r="CI124">
        <v>681624</v>
      </c>
      <c r="CJ124">
        <v>606192</v>
      </c>
      <c r="CK124">
        <v>53.87</v>
      </c>
      <c r="CL124" t="s">
        <v>97</v>
      </c>
      <c r="CM124">
        <v>0.69149700000000003</v>
      </c>
      <c r="CN124">
        <v>0.7</v>
      </c>
      <c r="CO124">
        <v>1</v>
      </c>
      <c r="CP124">
        <v>0</v>
      </c>
      <c r="CQ124">
        <v>0</v>
      </c>
      <c r="CR124" t="s">
        <v>97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 t="s">
        <v>115</v>
      </c>
      <c r="DB124" t="s">
        <v>107</v>
      </c>
      <c r="DC124">
        <v>329</v>
      </c>
      <c r="DD124">
        <v>0.04</v>
      </c>
      <c r="DE124">
        <v>0.35599999999999998</v>
      </c>
      <c r="DF124" t="s">
        <v>97</v>
      </c>
      <c r="DG124" t="s">
        <v>97</v>
      </c>
    </row>
    <row r="125" spans="1:111" x14ac:dyDescent="0.2">
      <c r="A125">
        <v>2025</v>
      </c>
      <c r="B125" s="1">
        <v>45936</v>
      </c>
      <c r="C125" t="s">
        <v>95</v>
      </c>
      <c r="D125">
        <v>605483</v>
      </c>
      <c r="E125">
        <v>805249</v>
      </c>
      <c r="F125">
        <v>0</v>
      </c>
      <c r="G125">
        <v>0</v>
      </c>
      <c r="H125">
        <v>3</v>
      </c>
      <c r="I125" t="s">
        <v>163</v>
      </c>
      <c r="J125">
        <v>20</v>
      </c>
      <c r="K125">
        <v>1</v>
      </c>
      <c r="L125" t="s">
        <v>97</v>
      </c>
      <c r="M125" t="s">
        <v>132</v>
      </c>
      <c r="N125" t="s">
        <v>133</v>
      </c>
      <c r="O125">
        <f t="shared" si="16"/>
        <v>0</v>
      </c>
      <c r="P125">
        <f t="shared" si="17"/>
        <v>0</v>
      </c>
      <c r="Q125">
        <f t="shared" si="18"/>
        <v>0</v>
      </c>
      <c r="R125">
        <f t="shared" si="19"/>
        <v>0</v>
      </c>
      <c r="S125">
        <f t="shared" si="20"/>
        <v>0</v>
      </c>
      <c r="T125">
        <f t="shared" si="21"/>
        <v>0</v>
      </c>
      <c r="U125">
        <f t="shared" si="22"/>
        <v>0</v>
      </c>
      <c r="V125">
        <f t="shared" si="23"/>
        <v>0</v>
      </c>
      <c r="W125">
        <f t="shared" si="24"/>
        <v>1</v>
      </c>
      <c r="X125">
        <f t="shared" si="25"/>
        <v>0</v>
      </c>
      <c r="Y125">
        <f t="shared" si="26"/>
        <v>0</v>
      </c>
      <c r="Z125">
        <f t="shared" si="27"/>
        <v>0</v>
      </c>
      <c r="AA125">
        <f t="shared" si="28"/>
        <v>0</v>
      </c>
      <c r="AB125">
        <f t="shared" si="29"/>
        <v>0</v>
      </c>
      <c r="AC125">
        <f t="shared" si="30"/>
        <v>0</v>
      </c>
      <c r="AD125">
        <f t="shared" si="31"/>
        <v>0</v>
      </c>
      <c r="AE125">
        <v>87.7</v>
      </c>
      <c r="AF125">
        <v>2.29</v>
      </c>
      <c r="AG125">
        <v>6.53</v>
      </c>
      <c r="AH125" t="s">
        <v>100</v>
      </c>
      <c r="AI125" t="s">
        <v>97</v>
      </c>
      <c r="AJ125" t="s">
        <v>97</v>
      </c>
      <c r="AK125" t="s">
        <v>97</v>
      </c>
      <c r="AL125" t="s">
        <v>97</v>
      </c>
      <c r="AM125">
        <v>14</v>
      </c>
      <c r="AN125" t="s">
        <v>101</v>
      </c>
      <c r="AO125" t="s">
        <v>164</v>
      </c>
      <c r="AP125" t="s">
        <v>122</v>
      </c>
      <c r="AQ125" t="s">
        <v>103</v>
      </c>
      <c r="AR125" t="s">
        <v>165</v>
      </c>
      <c r="AS125" t="s">
        <v>104</v>
      </c>
      <c r="AT125" t="s">
        <v>106</v>
      </c>
      <c r="AU125" t="s">
        <v>97</v>
      </c>
      <c r="AV125" t="s">
        <v>97</v>
      </c>
      <c r="AW125">
        <v>1.21</v>
      </c>
      <c r="AX125">
        <v>0.72</v>
      </c>
      <c r="AY125">
        <v>1.53</v>
      </c>
      <c r="AZ125">
        <v>2.12</v>
      </c>
      <c r="BA125" t="s">
        <v>97</v>
      </c>
      <c r="BB125" t="s">
        <v>97</v>
      </c>
      <c r="BC125">
        <v>669016</v>
      </c>
      <c r="BD125">
        <v>0</v>
      </c>
      <c r="BE125" t="s">
        <v>97</v>
      </c>
      <c r="BF125" t="s">
        <v>97</v>
      </c>
      <c r="BG125" t="s">
        <v>97</v>
      </c>
      <c r="BH125" t="s">
        <v>97</v>
      </c>
      <c r="BI125">
        <v>666163</v>
      </c>
      <c r="BJ125">
        <v>666163</v>
      </c>
      <c r="BK125" t="s">
        <v>97</v>
      </c>
      <c r="BL125" t="s">
        <v>97</v>
      </c>
      <c r="BM125">
        <v>-4.3775263039999999</v>
      </c>
      <c r="BN125">
        <v>-127.495918</v>
      </c>
      <c r="BO125">
        <v>-6.0293992769999996</v>
      </c>
      <c r="BP125">
        <v>14.09050583</v>
      </c>
      <c r="BQ125">
        <v>27.348314370000001</v>
      </c>
      <c r="BR125">
        <v>-23.24724776</v>
      </c>
      <c r="BS125">
        <v>3.47</v>
      </c>
      <c r="BT125">
        <v>1.63</v>
      </c>
      <c r="BU125" t="s">
        <v>97</v>
      </c>
      <c r="BV125" t="s">
        <v>97</v>
      </c>
      <c r="BW125" t="s">
        <v>97</v>
      </c>
      <c r="BX125">
        <v>88.2</v>
      </c>
      <c r="BY125">
        <v>1678</v>
      </c>
      <c r="BZ125">
        <v>6.8</v>
      </c>
      <c r="CA125">
        <v>813052</v>
      </c>
      <c r="CB125">
        <v>666163</v>
      </c>
      <c r="CC125">
        <v>666163</v>
      </c>
      <c r="CD125">
        <v>518692</v>
      </c>
      <c r="CE125">
        <v>669242</v>
      </c>
      <c r="CF125">
        <v>500743</v>
      </c>
      <c r="CG125">
        <v>605141</v>
      </c>
      <c r="CH125">
        <v>571771</v>
      </c>
      <c r="CI125">
        <v>681624</v>
      </c>
      <c r="CJ125">
        <v>606192</v>
      </c>
      <c r="CK125">
        <v>53.74</v>
      </c>
      <c r="CL125" t="s">
        <v>97</v>
      </c>
      <c r="CM125" t="s">
        <v>97</v>
      </c>
      <c r="CN125" t="s">
        <v>97</v>
      </c>
      <c r="CO125" t="s">
        <v>97</v>
      </c>
      <c r="CP125" t="s">
        <v>97</v>
      </c>
      <c r="CQ125" t="s">
        <v>97</v>
      </c>
      <c r="CR125" t="s">
        <v>97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 t="s">
        <v>107</v>
      </c>
      <c r="DB125" t="s">
        <v>107</v>
      </c>
      <c r="DC125">
        <v>128</v>
      </c>
      <c r="DD125">
        <v>0</v>
      </c>
      <c r="DE125">
        <v>0.04</v>
      </c>
      <c r="DF125" t="s">
        <v>97</v>
      </c>
      <c r="DG125" t="s">
        <v>97</v>
      </c>
    </row>
    <row r="126" spans="1:111" x14ac:dyDescent="0.2">
      <c r="A126">
        <v>2025</v>
      </c>
      <c r="B126" s="1">
        <v>45936</v>
      </c>
      <c r="C126" t="s">
        <v>95</v>
      </c>
      <c r="D126">
        <v>605483</v>
      </c>
      <c r="E126">
        <v>805249</v>
      </c>
      <c r="F126">
        <v>1</v>
      </c>
      <c r="G126">
        <v>0</v>
      </c>
      <c r="H126">
        <v>3</v>
      </c>
      <c r="I126" t="s">
        <v>163</v>
      </c>
      <c r="J126">
        <v>20</v>
      </c>
      <c r="K126">
        <v>2</v>
      </c>
      <c r="L126" t="s">
        <v>97</v>
      </c>
      <c r="M126" t="s">
        <v>132</v>
      </c>
      <c r="N126" t="s">
        <v>133</v>
      </c>
      <c r="O126">
        <f t="shared" si="16"/>
        <v>0</v>
      </c>
      <c r="P126">
        <f t="shared" si="17"/>
        <v>0</v>
      </c>
      <c r="Q126">
        <f t="shared" si="18"/>
        <v>0</v>
      </c>
      <c r="R126">
        <f t="shared" si="19"/>
        <v>0</v>
      </c>
      <c r="S126">
        <f t="shared" si="20"/>
        <v>0</v>
      </c>
      <c r="T126">
        <f t="shared" si="21"/>
        <v>0</v>
      </c>
      <c r="U126">
        <f t="shared" si="22"/>
        <v>0</v>
      </c>
      <c r="V126">
        <f t="shared" si="23"/>
        <v>0</v>
      </c>
      <c r="W126">
        <f t="shared" si="24"/>
        <v>0</v>
      </c>
      <c r="X126">
        <f t="shared" si="25"/>
        <v>0</v>
      </c>
      <c r="Y126">
        <f t="shared" si="26"/>
        <v>1</v>
      </c>
      <c r="Z126">
        <f t="shared" si="27"/>
        <v>0</v>
      </c>
      <c r="AA126">
        <f t="shared" si="28"/>
        <v>0</v>
      </c>
      <c r="AB126">
        <f t="shared" si="29"/>
        <v>0</v>
      </c>
      <c r="AC126">
        <f t="shared" si="30"/>
        <v>0</v>
      </c>
      <c r="AD126">
        <f t="shared" si="31"/>
        <v>0</v>
      </c>
      <c r="AE126">
        <v>89.2</v>
      </c>
      <c r="AF126">
        <v>2.14</v>
      </c>
      <c r="AG126">
        <v>6.46</v>
      </c>
      <c r="AH126" t="s">
        <v>113</v>
      </c>
      <c r="AI126" t="s">
        <v>97</v>
      </c>
      <c r="AJ126" t="s">
        <v>97</v>
      </c>
      <c r="AK126" t="s">
        <v>97</v>
      </c>
      <c r="AL126" t="s">
        <v>97</v>
      </c>
      <c r="AM126">
        <v>9</v>
      </c>
      <c r="AN126" t="s">
        <v>114</v>
      </c>
      <c r="AO126" t="s">
        <v>164</v>
      </c>
      <c r="AP126" t="s">
        <v>122</v>
      </c>
      <c r="AQ126" t="s">
        <v>103</v>
      </c>
      <c r="AR126" t="s">
        <v>165</v>
      </c>
      <c r="AS126" t="s">
        <v>104</v>
      </c>
      <c r="AT126" t="s">
        <v>110</v>
      </c>
      <c r="AU126" t="s">
        <v>97</v>
      </c>
      <c r="AV126" t="s">
        <v>97</v>
      </c>
      <c r="AW126">
        <v>1.1299999999999999</v>
      </c>
      <c r="AX126">
        <v>1.07</v>
      </c>
      <c r="AY126">
        <v>0.38</v>
      </c>
      <c r="AZ126">
        <v>1.47</v>
      </c>
      <c r="BA126" t="s">
        <v>97</v>
      </c>
      <c r="BB126" t="s">
        <v>97</v>
      </c>
      <c r="BC126">
        <v>669016</v>
      </c>
      <c r="BD126">
        <v>0</v>
      </c>
      <c r="BE126" t="s">
        <v>97</v>
      </c>
      <c r="BF126" t="s">
        <v>97</v>
      </c>
      <c r="BG126" t="s">
        <v>97</v>
      </c>
      <c r="BH126" t="s">
        <v>97</v>
      </c>
      <c r="BI126">
        <v>666163</v>
      </c>
      <c r="BJ126">
        <v>666163</v>
      </c>
      <c r="BK126" t="s">
        <v>97</v>
      </c>
      <c r="BL126" t="s">
        <v>97</v>
      </c>
      <c r="BM126">
        <v>-6.7484503770000002</v>
      </c>
      <c r="BN126">
        <v>-129.43965660000001</v>
      </c>
      <c r="BO126">
        <v>-8.4935212419999999</v>
      </c>
      <c r="BP126">
        <v>14.119837410000001</v>
      </c>
      <c r="BQ126">
        <v>27.88155394</v>
      </c>
      <c r="BR126">
        <v>-18.459290599999999</v>
      </c>
      <c r="BS126">
        <v>3.47</v>
      </c>
      <c r="BT126">
        <v>1.58</v>
      </c>
      <c r="BU126" t="s">
        <v>97</v>
      </c>
      <c r="BV126" t="s">
        <v>97</v>
      </c>
      <c r="BW126" t="s">
        <v>97</v>
      </c>
      <c r="BX126">
        <v>89.5</v>
      </c>
      <c r="BY126">
        <v>2002</v>
      </c>
      <c r="BZ126">
        <v>6.7</v>
      </c>
      <c r="CA126">
        <v>813052</v>
      </c>
      <c r="CB126">
        <v>666163</v>
      </c>
      <c r="CC126">
        <v>666163</v>
      </c>
      <c r="CD126">
        <v>518692</v>
      </c>
      <c r="CE126">
        <v>669242</v>
      </c>
      <c r="CF126">
        <v>500743</v>
      </c>
      <c r="CG126">
        <v>605141</v>
      </c>
      <c r="CH126">
        <v>571771</v>
      </c>
      <c r="CI126">
        <v>681624</v>
      </c>
      <c r="CJ126">
        <v>606192</v>
      </c>
      <c r="CK126">
        <v>53.82</v>
      </c>
      <c r="CL126" t="s">
        <v>97</v>
      </c>
      <c r="CM126" t="s">
        <v>97</v>
      </c>
      <c r="CN126" t="s">
        <v>97</v>
      </c>
      <c r="CO126" t="s">
        <v>97</v>
      </c>
      <c r="CP126" t="s">
        <v>97</v>
      </c>
      <c r="CQ126" t="s">
        <v>97</v>
      </c>
      <c r="CR126" t="s">
        <v>97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t="s">
        <v>107</v>
      </c>
      <c r="DB126" t="s">
        <v>107</v>
      </c>
      <c r="DC126">
        <v>135</v>
      </c>
      <c r="DD126">
        <v>0</v>
      </c>
      <c r="DE126">
        <v>-4.8000000000000001E-2</v>
      </c>
      <c r="DF126">
        <v>79.3</v>
      </c>
      <c r="DG126">
        <v>8</v>
      </c>
    </row>
    <row r="127" spans="1:111" x14ac:dyDescent="0.2">
      <c r="A127">
        <v>2025</v>
      </c>
      <c r="B127" s="1">
        <v>45936</v>
      </c>
      <c r="C127" t="s">
        <v>95</v>
      </c>
      <c r="D127">
        <v>605483</v>
      </c>
      <c r="E127">
        <v>805249</v>
      </c>
      <c r="F127">
        <v>1</v>
      </c>
      <c r="G127">
        <v>1</v>
      </c>
      <c r="H127">
        <v>3</v>
      </c>
      <c r="I127" t="s">
        <v>163</v>
      </c>
      <c r="J127">
        <v>20</v>
      </c>
      <c r="K127">
        <v>3</v>
      </c>
      <c r="L127" t="s">
        <v>97</v>
      </c>
      <c r="M127" t="s">
        <v>111</v>
      </c>
      <c r="N127" t="s">
        <v>112</v>
      </c>
      <c r="O127">
        <f t="shared" si="16"/>
        <v>0</v>
      </c>
      <c r="P127">
        <f t="shared" si="17"/>
        <v>0</v>
      </c>
      <c r="Q127">
        <f t="shared" si="18"/>
        <v>0</v>
      </c>
      <c r="R127">
        <f t="shared" si="19"/>
        <v>0</v>
      </c>
      <c r="S127">
        <f t="shared" si="20"/>
        <v>0</v>
      </c>
      <c r="T127">
        <f t="shared" si="21"/>
        <v>1</v>
      </c>
      <c r="U127">
        <f t="shared" si="22"/>
        <v>0</v>
      </c>
      <c r="V127">
        <f t="shared" si="23"/>
        <v>0</v>
      </c>
      <c r="W127">
        <f t="shared" si="24"/>
        <v>0</v>
      </c>
      <c r="X127">
        <f t="shared" si="25"/>
        <v>0</v>
      </c>
      <c r="Y127">
        <f t="shared" si="26"/>
        <v>0</v>
      </c>
      <c r="Z127">
        <f t="shared" si="27"/>
        <v>0</v>
      </c>
      <c r="AA127">
        <f t="shared" si="28"/>
        <v>0</v>
      </c>
      <c r="AB127">
        <f t="shared" si="29"/>
        <v>0</v>
      </c>
      <c r="AC127">
        <f t="shared" si="30"/>
        <v>0</v>
      </c>
      <c r="AD127">
        <f t="shared" si="31"/>
        <v>0</v>
      </c>
      <c r="AE127">
        <v>83.4</v>
      </c>
      <c r="AF127">
        <v>1.99</v>
      </c>
      <c r="AG127">
        <v>6.6</v>
      </c>
      <c r="AH127" t="s">
        <v>100</v>
      </c>
      <c r="AI127" t="s">
        <v>97</v>
      </c>
      <c r="AJ127" t="s">
        <v>97</v>
      </c>
      <c r="AK127" t="s">
        <v>97</v>
      </c>
      <c r="AL127" t="s">
        <v>97</v>
      </c>
      <c r="AM127">
        <v>13</v>
      </c>
      <c r="AN127" t="s">
        <v>101</v>
      </c>
      <c r="AO127" t="s">
        <v>164</v>
      </c>
      <c r="AP127" t="s">
        <v>122</v>
      </c>
      <c r="AQ127" t="s">
        <v>103</v>
      </c>
      <c r="AR127" t="s">
        <v>165</v>
      </c>
      <c r="AS127" t="s">
        <v>104</v>
      </c>
      <c r="AT127" t="s">
        <v>106</v>
      </c>
      <c r="AU127" t="s">
        <v>97</v>
      </c>
      <c r="AV127" t="s">
        <v>97</v>
      </c>
      <c r="AW127">
        <v>-1.1200000000000001</v>
      </c>
      <c r="AX127">
        <v>-0.45</v>
      </c>
      <c r="AY127">
        <v>-1.0900000000000001</v>
      </c>
      <c r="AZ127">
        <v>1.03</v>
      </c>
      <c r="BA127" t="s">
        <v>97</v>
      </c>
      <c r="BB127" t="s">
        <v>97</v>
      </c>
      <c r="BC127">
        <v>669016</v>
      </c>
      <c r="BD127">
        <v>0</v>
      </c>
      <c r="BE127" t="s">
        <v>97</v>
      </c>
      <c r="BF127" t="s">
        <v>97</v>
      </c>
      <c r="BG127" t="s">
        <v>97</v>
      </c>
      <c r="BH127" t="s">
        <v>97</v>
      </c>
      <c r="BI127">
        <v>666163</v>
      </c>
      <c r="BJ127">
        <v>666163</v>
      </c>
      <c r="BK127" t="s">
        <v>97</v>
      </c>
      <c r="BL127" t="s">
        <v>97</v>
      </c>
      <c r="BM127">
        <v>-4.8855803169999996</v>
      </c>
      <c r="BN127">
        <v>-121.2489533</v>
      </c>
      <c r="BO127">
        <v>-5.3908435949999998</v>
      </c>
      <c r="BP127">
        <v>-9.7774116129999999</v>
      </c>
      <c r="BQ127">
        <v>27.643019599999999</v>
      </c>
      <c r="BR127">
        <v>-35.557427400000002</v>
      </c>
      <c r="BS127">
        <v>3.42</v>
      </c>
      <c r="BT127">
        <v>1.53</v>
      </c>
      <c r="BU127" t="s">
        <v>97</v>
      </c>
      <c r="BV127" t="s">
        <v>97</v>
      </c>
      <c r="BW127" t="s">
        <v>97</v>
      </c>
      <c r="BX127">
        <v>83.2</v>
      </c>
      <c r="BY127">
        <v>2648</v>
      </c>
      <c r="BZ127">
        <v>6.6</v>
      </c>
      <c r="CA127">
        <v>813052</v>
      </c>
      <c r="CB127">
        <v>666163</v>
      </c>
      <c r="CC127">
        <v>666163</v>
      </c>
      <c r="CD127">
        <v>518692</v>
      </c>
      <c r="CE127">
        <v>669242</v>
      </c>
      <c r="CF127">
        <v>500743</v>
      </c>
      <c r="CG127">
        <v>605141</v>
      </c>
      <c r="CH127">
        <v>571771</v>
      </c>
      <c r="CI127">
        <v>681624</v>
      </c>
      <c r="CJ127">
        <v>606192</v>
      </c>
      <c r="CK127">
        <v>53.91</v>
      </c>
      <c r="CL127" t="s">
        <v>97</v>
      </c>
      <c r="CM127" t="s">
        <v>97</v>
      </c>
      <c r="CN127" t="s">
        <v>97</v>
      </c>
      <c r="CO127" t="s">
        <v>97</v>
      </c>
      <c r="CP127" t="s">
        <v>97</v>
      </c>
      <c r="CQ127" t="s">
        <v>97</v>
      </c>
      <c r="CR127" t="s">
        <v>97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 t="s">
        <v>107</v>
      </c>
      <c r="DB127" t="s">
        <v>107</v>
      </c>
      <c r="DC127">
        <v>330</v>
      </c>
      <c r="DD127">
        <v>0</v>
      </c>
      <c r="DE127">
        <v>4.3999999999999997E-2</v>
      </c>
      <c r="DF127" t="s">
        <v>97</v>
      </c>
      <c r="DG127" t="s">
        <v>97</v>
      </c>
    </row>
    <row r="128" spans="1:111" x14ac:dyDescent="0.2">
      <c r="A128">
        <v>2025</v>
      </c>
      <c r="B128" s="1">
        <v>45936</v>
      </c>
      <c r="C128" t="s">
        <v>95</v>
      </c>
      <c r="D128">
        <v>605483</v>
      </c>
      <c r="E128">
        <v>805249</v>
      </c>
      <c r="F128">
        <v>2</v>
      </c>
      <c r="G128">
        <v>1</v>
      </c>
      <c r="H128">
        <v>3</v>
      </c>
      <c r="I128" t="s">
        <v>163</v>
      </c>
      <c r="J128">
        <v>20</v>
      </c>
      <c r="K128">
        <v>4</v>
      </c>
      <c r="L128" t="s">
        <v>97</v>
      </c>
      <c r="M128" t="s">
        <v>98</v>
      </c>
      <c r="N128" t="s">
        <v>99</v>
      </c>
      <c r="O128">
        <f t="shared" si="16"/>
        <v>0</v>
      </c>
      <c r="P128">
        <f t="shared" si="17"/>
        <v>0</v>
      </c>
      <c r="Q128">
        <f t="shared" si="18"/>
        <v>0</v>
      </c>
      <c r="R128">
        <f t="shared" si="19"/>
        <v>1</v>
      </c>
      <c r="S128">
        <f t="shared" si="20"/>
        <v>0</v>
      </c>
      <c r="T128">
        <f t="shared" si="21"/>
        <v>0</v>
      </c>
      <c r="U128">
        <f t="shared" si="22"/>
        <v>0</v>
      </c>
      <c r="V128">
        <f t="shared" si="23"/>
        <v>0</v>
      </c>
      <c r="W128">
        <f t="shared" si="24"/>
        <v>0</v>
      </c>
      <c r="X128">
        <f t="shared" si="25"/>
        <v>0</v>
      </c>
      <c r="Y128">
        <f t="shared" si="26"/>
        <v>0</v>
      </c>
      <c r="Z128">
        <f t="shared" si="27"/>
        <v>0</v>
      </c>
      <c r="AA128">
        <f t="shared" si="28"/>
        <v>0</v>
      </c>
      <c r="AB128">
        <f t="shared" si="29"/>
        <v>0</v>
      </c>
      <c r="AC128">
        <f t="shared" si="30"/>
        <v>0</v>
      </c>
      <c r="AD128">
        <f t="shared" si="31"/>
        <v>0</v>
      </c>
      <c r="AE128">
        <v>96.8</v>
      </c>
      <c r="AF128">
        <v>1.88</v>
      </c>
      <c r="AG128">
        <v>6.55</v>
      </c>
      <c r="AH128" t="s">
        <v>108</v>
      </c>
      <c r="AI128" t="s">
        <v>97</v>
      </c>
      <c r="AJ128" t="s">
        <v>97</v>
      </c>
      <c r="AK128" t="s">
        <v>97</v>
      </c>
      <c r="AL128" t="s">
        <v>97</v>
      </c>
      <c r="AM128">
        <v>13</v>
      </c>
      <c r="AN128" t="s">
        <v>109</v>
      </c>
      <c r="AO128" t="s">
        <v>164</v>
      </c>
      <c r="AP128" t="s">
        <v>122</v>
      </c>
      <c r="AQ128" t="s">
        <v>103</v>
      </c>
      <c r="AR128" t="s">
        <v>165</v>
      </c>
      <c r="AS128" t="s">
        <v>104</v>
      </c>
      <c r="AT128" t="s">
        <v>110</v>
      </c>
      <c r="AU128" t="s">
        <v>97</v>
      </c>
      <c r="AV128" t="s">
        <v>97</v>
      </c>
      <c r="AW128">
        <v>0.28999999999999998</v>
      </c>
      <c r="AX128">
        <v>1.54</v>
      </c>
      <c r="AY128">
        <v>-0.98</v>
      </c>
      <c r="AZ128">
        <v>2</v>
      </c>
      <c r="BA128" t="s">
        <v>97</v>
      </c>
      <c r="BB128" t="s">
        <v>97</v>
      </c>
      <c r="BC128">
        <v>669016</v>
      </c>
      <c r="BD128">
        <v>0</v>
      </c>
      <c r="BE128" t="s">
        <v>97</v>
      </c>
      <c r="BF128" t="s">
        <v>97</v>
      </c>
      <c r="BG128" t="s">
        <v>97</v>
      </c>
      <c r="BH128" t="s">
        <v>97</v>
      </c>
      <c r="BI128">
        <v>666163</v>
      </c>
      <c r="BJ128">
        <v>666163</v>
      </c>
      <c r="BK128" t="s">
        <v>97</v>
      </c>
      <c r="BL128" t="s">
        <v>97</v>
      </c>
      <c r="BM128">
        <v>-8.344247202</v>
      </c>
      <c r="BN128">
        <v>-140.33090480000001</v>
      </c>
      <c r="BO128">
        <v>-10.094167479999999</v>
      </c>
      <c r="BP128">
        <v>5.8306587079999996</v>
      </c>
      <c r="BQ128">
        <v>34.5149355</v>
      </c>
      <c r="BR128">
        <v>-9.6698652420000002</v>
      </c>
      <c r="BS128">
        <v>3.54</v>
      </c>
      <c r="BT128">
        <v>1.61</v>
      </c>
      <c r="BU128" t="s">
        <v>97</v>
      </c>
      <c r="BV128" t="s">
        <v>97</v>
      </c>
      <c r="BW128" t="s">
        <v>97</v>
      </c>
      <c r="BX128">
        <v>97.2</v>
      </c>
      <c r="BY128">
        <v>2553</v>
      </c>
      <c r="BZ128">
        <v>6.9</v>
      </c>
      <c r="CA128">
        <v>813052</v>
      </c>
      <c r="CB128">
        <v>666163</v>
      </c>
      <c r="CC128">
        <v>666163</v>
      </c>
      <c r="CD128">
        <v>518692</v>
      </c>
      <c r="CE128">
        <v>669242</v>
      </c>
      <c r="CF128">
        <v>500743</v>
      </c>
      <c r="CG128">
        <v>605141</v>
      </c>
      <c r="CH128">
        <v>571771</v>
      </c>
      <c r="CI128">
        <v>681624</v>
      </c>
      <c r="CJ128">
        <v>606192</v>
      </c>
      <c r="CK128">
        <v>53.6</v>
      </c>
      <c r="CL128" t="s">
        <v>97</v>
      </c>
      <c r="CM128" t="s">
        <v>97</v>
      </c>
      <c r="CN128" t="s">
        <v>97</v>
      </c>
      <c r="CO128" t="s">
        <v>97</v>
      </c>
      <c r="CP128" t="s">
        <v>97</v>
      </c>
      <c r="CQ128" t="s">
        <v>97</v>
      </c>
      <c r="CR128" t="s">
        <v>97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 t="s">
        <v>107</v>
      </c>
      <c r="DB128" t="s">
        <v>107</v>
      </c>
      <c r="DC128">
        <v>158</v>
      </c>
      <c r="DD128">
        <v>0</v>
      </c>
      <c r="DE128">
        <v>-7.8E-2</v>
      </c>
      <c r="DF128" t="s">
        <v>97</v>
      </c>
      <c r="DG128" t="s">
        <v>97</v>
      </c>
    </row>
    <row r="129" spans="1:111" x14ac:dyDescent="0.2">
      <c r="A129">
        <v>2025</v>
      </c>
      <c r="B129" s="1">
        <v>45936</v>
      </c>
      <c r="C129" t="s">
        <v>95</v>
      </c>
      <c r="D129">
        <v>605483</v>
      </c>
      <c r="E129">
        <v>805249</v>
      </c>
      <c r="F129">
        <v>2</v>
      </c>
      <c r="G129">
        <v>2</v>
      </c>
      <c r="H129">
        <v>3</v>
      </c>
      <c r="I129" t="s">
        <v>163</v>
      </c>
      <c r="J129">
        <v>20</v>
      </c>
      <c r="K129">
        <v>5</v>
      </c>
      <c r="L129" t="s">
        <v>116</v>
      </c>
      <c r="M129" t="s">
        <v>138</v>
      </c>
      <c r="N129" t="s">
        <v>139</v>
      </c>
      <c r="O129">
        <f t="shared" si="16"/>
        <v>0</v>
      </c>
      <c r="P129">
        <f t="shared" si="17"/>
        <v>0</v>
      </c>
      <c r="Q129">
        <f t="shared" si="18"/>
        <v>0</v>
      </c>
      <c r="R129">
        <f t="shared" si="19"/>
        <v>0</v>
      </c>
      <c r="S129">
        <f t="shared" si="20"/>
        <v>0</v>
      </c>
      <c r="T129">
        <f t="shared" si="21"/>
        <v>0</v>
      </c>
      <c r="U129">
        <f t="shared" si="22"/>
        <v>0</v>
      </c>
      <c r="V129">
        <f t="shared" si="23"/>
        <v>0</v>
      </c>
      <c r="W129">
        <f t="shared" si="24"/>
        <v>0</v>
      </c>
      <c r="X129">
        <f t="shared" si="25"/>
        <v>0</v>
      </c>
      <c r="Y129">
        <f t="shared" si="26"/>
        <v>0</v>
      </c>
      <c r="Z129">
        <f t="shared" si="27"/>
        <v>0</v>
      </c>
      <c r="AA129">
        <f t="shared" si="28"/>
        <v>0</v>
      </c>
      <c r="AB129">
        <f t="shared" si="29"/>
        <v>0</v>
      </c>
      <c r="AC129">
        <f t="shared" si="30"/>
        <v>0</v>
      </c>
      <c r="AD129">
        <f t="shared" si="31"/>
        <v>1</v>
      </c>
      <c r="AE129">
        <v>90.3</v>
      </c>
      <c r="AF129">
        <v>1.98</v>
      </c>
      <c r="AG129">
        <v>6.63</v>
      </c>
      <c r="AH129" t="s">
        <v>145</v>
      </c>
      <c r="AI129" t="s">
        <v>97</v>
      </c>
      <c r="AJ129" t="s">
        <v>97</v>
      </c>
      <c r="AK129" t="s">
        <v>97</v>
      </c>
      <c r="AL129" t="s">
        <v>97</v>
      </c>
      <c r="AM129">
        <v>7</v>
      </c>
      <c r="AN129" t="s">
        <v>176</v>
      </c>
      <c r="AO129" t="s">
        <v>164</v>
      </c>
      <c r="AP129" t="s">
        <v>122</v>
      </c>
      <c r="AQ129" t="s">
        <v>103</v>
      </c>
      <c r="AR129" t="s">
        <v>165</v>
      </c>
      <c r="AS129" t="s">
        <v>104</v>
      </c>
      <c r="AT129" t="s">
        <v>110</v>
      </c>
      <c r="AU129">
        <v>2</v>
      </c>
      <c r="AV129" t="s">
        <v>97</v>
      </c>
      <c r="AW129">
        <v>-0.01</v>
      </c>
      <c r="AX129">
        <v>0.55000000000000004</v>
      </c>
      <c r="AY129">
        <v>-0.28000000000000003</v>
      </c>
      <c r="AZ129">
        <v>1.83</v>
      </c>
      <c r="BA129" t="s">
        <v>97</v>
      </c>
      <c r="BB129" t="s">
        <v>97</v>
      </c>
      <c r="BC129">
        <v>669016</v>
      </c>
      <c r="BD129">
        <v>0</v>
      </c>
      <c r="BE129" t="s">
        <v>97</v>
      </c>
      <c r="BF129" t="s">
        <v>97</v>
      </c>
      <c r="BG129" t="s">
        <v>97</v>
      </c>
      <c r="BH129" t="s">
        <v>97</v>
      </c>
      <c r="BI129">
        <v>666163</v>
      </c>
      <c r="BJ129">
        <v>666163</v>
      </c>
      <c r="BK129" t="s">
        <v>97</v>
      </c>
      <c r="BL129" t="s">
        <v>97</v>
      </c>
      <c r="BM129">
        <v>-5.6365266060000003</v>
      </c>
      <c r="BN129">
        <v>-131.17503669999999</v>
      </c>
      <c r="BO129">
        <v>-7.1403898679999998</v>
      </c>
      <c r="BP129">
        <v>1.189990219</v>
      </c>
      <c r="BQ129">
        <v>29.59263588</v>
      </c>
      <c r="BR129">
        <v>-24.422269020000002</v>
      </c>
      <c r="BS129">
        <v>3.47</v>
      </c>
      <c r="BT129">
        <v>1.58</v>
      </c>
      <c r="BU129" t="s">
        <v>97</v>
      </c>
      <c r="BV129" t="s">
        <v>97</v>
      </c>
      <c r="BW129" t="s">
        <v>97</v>
      </c>
      <c r="BX129">
        <v>90.5</v>
      </c>
      <c r="BY129">
        <v>2341</v>
      </c>
      <c r="BZ129">
        <v>6.6</v>
      </c>
      <c r="CA129">
        <v>813052</v>
      </c>
      <c r="CB129">
        <v>666163</v>
      </c>
      <c r="CC129">
        <v>666163</v>
      </c>
      <c r="CD129">
        <v>518692</v>
      </c>
      <c r="CE129">
        <v>669242</v>
      </c>
      <c r="CF129">
        <v>500743</v>
      </c>
      <c r="CG129">
        <v>605141</v>
      </c>
      <c r="CH129">
        <v>571771</v>
      </c>
      <c r="CI129">
        <v>681624</v>
      </c>
      <c r="CJ129">
        <v>606192</v>
      </c>
      <c r="CK129">
        <v>53.86</v>
      </c>
      <c r="CL129" t="s">
        <v>97</v>
      </c>
      <c r="CM129">
        <v>0</v>
      </c>
      <c r="CN129">
        <v>0</v>
      </c>
      <c r="CO129">
        <v>1</v>
      </c>
      <c r="CP129">
        <v>0</v>
      </c>
      <c r="CQ129">
        <v>0</v>
      </c>
      <c r="CR129" t="s">
        <v>97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 t="s">
        <v>107</v>
      </c>
      <c r="DB129" t="s">
        <v>107</v>
      </c>
      <c r="DC129">
        <v>167</v>
      </c>
      <c r="DD129">
        <v>-3.6999999999999998E-2</v>
      </c>
      <c r="DE129">
        <v>-0.20100000000000001</v>
      </c>
      <c r="DF129">
        <v>77.099999999999994</v>
      </c>
      <c r="DG129">
        <v>7.9</v>
      </c>
    </row>
    <row r="130" spans="1:111" x14ac:dyDescent="0.2">
      <c r="A130">
        <v>2025</v>
      </c>
      <c r="B130" s="1">
        <v>45936</v>
      </c>
      <c r="C130" t="s">
        <v>95</v>
      </c>
      <c r="D130">
        <v>605483</v>
      </c>
      <c r="E130">
        <v>607208</v>
      </c>
      <c r="F130">
        <v>0</v>
      </c>
      <c r="G130">
        <v>0</v>
      </c>
      <c r="H130">
        <v>3</v>
      </c>
      <c r="I130" t="s">
        <v>163</v>
      </c>
      <c r="J130">
        <v>21</v>
      </c>
      <c r="K130">
        <v>1</v>
      </c>
      <c r="L130" t="s">
        <v>97</v>
      </c>
      <c r="M130" t="s">
        <v>132</v>
      </c>
      <c r="N130" t="s">
        <v>133</v>
      </c>
      <c r="O130">
        <f t="shared" si="16"/>
        <v>0</v>
      </c>
      <c r="P130">
        <f t="shared" si="17"/>
        <v>0</v>
      </c>
      <c r="Q130">
        <f t="shared" si="18"/>
        <v>0</v>
      </c>
      <c r="R130">
        <f t="shared" si="19"/>
        <v>0</v>
      </c>
      <c r="S130">
        <f t="shared" si="20"/>
        <v>0</v>
      </c>
      <c r="T130">
        <f t="shared" si="21"/>
        <v>0</v>
      </c>
      <c r="U130">
        <f t="shared" si="22"/>
        <v>0</v>
      </c>
      <c r="V130">
        <f t="shared" si="23"/>
        <v>0</v>
      </c>
      <c r="W130">
        <f t="shared" si="24"/>
        <v>1</v>
      </c>
      <c r="X130">
        <f t="shared" si="25"/>
        <v>0</v>
      </c>
      <c r="Y130">
        <f t="shared" si="26"/>
        <v>0</v>
      </c>
      <c r="Z130">
        <f t="shared" si="27"/>
        <v>0</v>
      </c>
      <c r="AA130">
        <f t="shared" si="28"/>
        <v>0</v>
      </c>
      <c r="AB130">
        <f t="shared" si="29"/>
        <v>0</v>
      </c>
      <c r="AC130">
        <f t="shared" si="30"/>
        <v>0</v>
      </c>
      <c r="AD130">
        <f t="shared" si="31"/>
        <v>0</v>
      </c>
      <c r="AE130">
        <v>87.4</v>
      </c>
      <c r="AF130">
        <v>2.2599999999999998</v>
      </c>
      <c r="AG130">
        <v>6.5</v>
      </c>
      <c r="AH130" t="s">
        <v>100</v>
      </c>
      <c r="AI130" t="s">
        <v>97</v>
      </c>
      <c r="AJ130" t="s">
        <v>97</v>
      </c>
      <c r="AK130" t="s">
        <v>97</v>
      </c>
      <c r="AL130" t="s">
        <v>97</v>
      </c>
      <c r="AM130">
        <v>12</v>
      </c>
      <c r="AN130" t="s">
        <v>101</v>
      </c>
      <c r="AO130" t="s">
        <v>164</v>
      </c>
      <c r="AP130" t="s">
        <v>122</v>
      </c>
      <c r="AQ130" t="s">
        <v>103</v>
      </c>
      <c r="AR130" t="s">
        <v>165</v>
      </c>
      <c r="AS130" t="s">
        <v>104</v>
      </c>
      <c r="AT130" t="s">
        <v>106</v>
      </c>
      <c r="AU130" t="s">
        <v>97</v>
      </c>
      <c r="AV130" t="s">
        <v>97</v>
      </c>
      <c r="AW130">
        <v>1.31</v>
      </c>
      <c r="AX130">
        <v>0.74</v>
      </c>
      <c r="AY130">
        <v>1.1299999999999999</v>
      </c>
      <c r="AZ130">
        <v>2.77</v>
      </c>
      <c r="BA130" t="s">
        <v>97</v>
      </c>
      <c r="BB130" t="s">
        <v>97</v>
      </c>
      <c r="BC130">
        <v>669016</v>
      </c>
      <c r="BD130">
        <v>1</v>
      </c>
      <c r="BE130" t="s">
        <v>97</v>
      </c>
      <c r="BF130" t="s">
        <v>97</v>
      </c>
      <c r="BG130" t="s">
        <v>97</v>
      </c>
      <c r="BH130" t="s">
        <v>97</v>
      </c>
      <c r="BI130">
        <v>666163</v>
      </c>
      <c r="BJ130">
        <v>666163</v>
      </c>
      <c r="BK130" t="s">
        <v>97</v>
      </c>
      <c r="BL130" t="s">
        <v>97</v>
      </c>
      <c r="BM130">
        <v>-5.4579069740000001</v>
      </c>
      <c r="BN130">
        <v>-127.0604823</v>
      </c>
      <c r="BO130">
        <v>-4.3431355070000004</v>
      </c>
      <c r="BP130">
        <v>15.29637902</v>
      </c>
      <c r="BQ130">
        <v>27.988990050000002</v>
      </c>
      <c r="BR130">
        <v>-23.41237125</v>
      </c>
      <c r="BS130">
        <v>3.44</v>
      </c>
      <c r="BT130">
        <v>1.64</v>
      </c>
      <c r="BU130" t="s">
        <v>97</v>
      </c>
      <c r="BV130" t="s">
        <v>97</v>
      </c>
      <c r="BW130" t="s">
        <v>97</v>
      </c>
      <c r="BX130">
        <v>87.8</v>
      </c>
      <c r="BY130">
        <v>1822</v>
      </c>
      <c r="BZ130">
        <v>6.7</v>
      </c>
      <c r="CA130">
        <v>813052</v>
      </c>
      <c r="CB130">
        <v>666163</v>
      </c>
      <c r="CC130">
        <v>666163</v>
      </c>
      <c r="CD130">
        <v>518692</v>
      </c>
      <c r="CE130">
        <v>669242</v>
      </c>
      <c r="CF130">
        <v>500743</v>
      </c>
      <c r="CG130">
        <v>605141</v>
      </c>
      <c r="CH130">
        <v>571771</v>
      </c>
      <c r="CI130">
        <v>681624</v>
      </c>
      <c r="CJ130">
        <v>606192</v>
      </c>
      <c r="CK130">
        <v>53.75</v>
      </c>
      <c r="CL130" t="s">
        <v>97</v>
      </c>
      <c r="CM130" t="s">
        <v>97</v>
      </c>
      <c r="CN130" t="s">
        <v>97</v>
      </c>
      <c r="CO130" t="s">
        <v>97</v>
      </c>
      <c r="CP130" t="s">
        <v>97</v>
      </c>
      <c r="CQ130" t="s">
        <v>97</v>
      </c>
      <c r="CR130" t="s">
        <v>97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 t="s">
        <v>107</v>
      </c>
      <c r="DB130" t="s">
        <v>107</v>
      </c>
      <c r="DC130">
        <v>131</v>
      </c>
      <c r="DD130">
        <v>0</v>
      </c>
      <c r="DE130">
        <v>3.5000000000000003E-2</v>
      </c>
      <c r="DF130" t="s">
        <v>97</v>
      </c>
      <c r="DG130" t="s">
        <v>97</v>
      </c>
    </row>
    <row r="131" spans="1:111" x14ac:dyDescent="0.2">
      <c r="A131">
        <v>2025</v>
      </c>
      <c r="B131" s="1">
        <v>45936</v>
      </c>
      <c r="C131" t="s">
        <v>95</v>
      </c>
      <c r="D131">
        <v>605483</v>
      </c>
      <c r="E131">
        <v>607208</v>
      </c>
      <c r="F131">
        <v>1</v>
      </c>
      <c r="G131">
        <v>0</v>
      </c>
      <c r="H131">
        <v>3</v>
      </c>
      <c r="I131" t="s">
        <v>163</v>
      </c>
      <c r="J131">
        <v>21</v>
      </c>
      <c r="K131">
        <v>2</v>
      </c>
      <c r="L131" t="s">
        <v>97</v>
      </c>
      <c r="M131" t="s">
        <v>132</v>
      </c>
      <c r="N131" t="s">
        <v>133</v>
      </c>
      <c r="O131">
        <f t="shared" ref="O131:O194" si="32">IF(AND(N131="4-Seam Fastball",N132="4-Seam Fastball"),1,0)</f>
        <v>0</v>
      </c>
      <c r="P131">
        <f t="shared" ref="P131:P194" si="33">IF(AND(N131="4-Seam Fastball",N132="Curveball"),1,0)</f>
        <v>0</v>
      </c>
      <c r="Q131">
        <f t="shared" ref="Q131:Q194" si="34">IF(AND(N131="4-Seam Fastball",N132="Changeup"),1,0)</f>
        <v>0</v>
      </c>
      <c r="R131">
        <f t="shared" ref="R131:R194" si="35">IF(AND(N131="4-Seam Fastball",N132="Slider"),1,0)</f>
        <v>0</v>
      </c>
      <c r="S131">
        <f t="shared" ref="S131:S194" si="36">IF(AND(N131="Curveball",N132="Curveball"),1,0)</f>
        <v>0</v>
      </c>
      <c r="T131">
        <f t="shared" ref="T131:T194" si="37">IF(AND(N131="Curveball",N132="4-Seam Fastball"),1,0)</f>
        <v>0</v>
      </c>
      <c r="U131">
        <f t="shared" ref="U131:U194" si="38">IF(AND(N131="Curveball",N132="Changeup"),1,0)</f>
        <v>0</v>
      </c>
      <c r="V131">
        <f t="shared" ref="V131:V194" si="39">IF(AND(N131="Curveball",N132="Slider"),1,0)</f>
        <v>0</v>
      </c>
      <c r="W131">
        <f t="shared" ref="W131:W194" si="40">IF(AND(N131="Changeup",N132="Changeup"),1,0)</f>
        <v>1</v>
      </c>
      <c r="X131">
        <f t="shared" ref="X131:X194" si="41">IF(AND(N131="Changeup",N132="4-Seam Fastball"),1,0)</f>
        <v>0</v>
      </c>
      <c r="Y131">
        <f t="shared" ref="Y131:Y194" si="42">IF(AND(N131="Changeup",N132="Curveball"),1,0)</f>
        <v>0</v>
      </c>
      <c r="Z131">
        <f t="shared" ref="Z131:Z194" si="43">IF(AND(N131="Changeup",N132="Slider"),1,0)</f>
        <v>0</v>
      </c>
      <c r="AA131">
        <f t="shared" ref="AA131:AA194" si="44">IF(AND(N131="Slider",N132="Slider"),1,0)</f>
        <v>0</v>
      </c>
      <c r="AB131">
        <f t="shared" ref="AB131:AB194" si="45">IF(AND(N131="Slider",N132="4-Seam Fastball"),1,0)</f>
        <v>0</v>
      </c>
      <c r="AC131">
        <f t="shared" ref="AC131:AC194" si="46">IF(AND(N131="Slider",N132="Curveball"),1,0)</f>
        <v>0</v>
      </c>
      <c r="AD131">
        <f t="shared" ref="AD131:AD194" si="47">IF(AND(N131="Slider",N132="Changeup"),1,0)</f>
        <v>0</v>
      </c>
      <c r="AE131">
        <v>88.7</v>
      </c>
      <c r="AF131">
        <v>2.0499999999999998</v>
      </c>
      <c r="AG131">
        <v>6.52</v>
      </c>
      <c r="AH131" t="s">
        <v>113</v>
      </c>
      <c r="AI131" t="s">
        <v>97</v>
      </c>
      <c r="AJ131" t="s">
        <v>97</v>
      </c>
      <c r="AK131" t="s">
        <v>97</v>
      </c>
      <c r="AL131" t="s">
        <v>97</v>
      </c>
      <c r="AM131">
        <v>14</v>
      </c>
      <c r="AN131" t="s">
        <v>114</v>
      </c>
      <c r="AO131" t="s">
        <v>164</v>
      </c>
      <c r="AP131" t="s">
        <v>122</v>
      </c>
      <c r="AQ131" t="s">
        <v>103</v>
      </c>
      <c r="AR131" t="s">
        <v>165</v>
      </c>
      <c r="AS131" t="s">
        <v>104</v>
      </c>
      <c r="AT131" t="s">
        <v>110</v>
      </c>
      <c r="AU131" t="s">
        <v>97</v>
      </c>
      <c r="AV131" t="s">
        <v>97</v>
      </c>
      <c r="AW131">
        <v>1.41</v>
      </c>
      <c r="AX131">
        <v>0.75</v>
      </c>
      <c r="AY131">
        <v>0.88</v>
      </c>
      <c r="AZ131">
        <v>2.13</v>
      </c>
      <c r="BA131" t="s">
        <v>97</v>
      </c>
      <c r="BB131" t="s">
        <v>97</v>
      </c>
      <c r="BC131">
        <v>669016</v>
      </c>
      <c r="BD131">
        <v>1</v>
      </c>
      <c r="BE131" t="s">
        <v>97</v>
      </c>
      <c r="BF131" t="s">
        <v>97</v>
      </c>
      <c r="BG131" t="s">
        <v>97</v>
      </c>
      <c r="BH131" t="s">
        <v>97</v>
      </c>
      <c r="BI131">
        <v>666163</v>
      </c>
      <c r="BJ131">
        <v>666163</v>
      </c>
      <c r="BK131" t="s">
        <v>97</v>
      </c>
      <c r="BL131" t="s">
        <v>97</v>
      </c>
      <c r="BM131">
        <v>-5.8410340359999999</v>
      </c>
      <c r="BN131">
        <v>-128.8201493</v>
      </c>
      <c r="BO131">
        <v>-6.2143064939999997</v>
      </c>
      <c r="BP131">
        <v>16.880374289999999</v>
      </c>
      <c r="BQ131">
        <v>29.18894748</v>
      </c>
      <c r="BR131">
        <v>-22.66641255</v>
      </c>
      <c r="BS131">
        <v>3.49</v>
      </c>
      <c r="BT131">
        <v>1.69</v>
      </c>
      <c r="BU131" t="s">
        <v>97</v>
      </c>
      <c r="BV131" t="s">
        <v>97</v>
      </c>
      <c r="BW131" t="s">
        <v>97</v>
      </c>
      <c r="BX131">
        <v>88.9</v>
      </c>
      <c r="BY131">
        <v>1840</v>
      </c>
      <c r="BZ131">
        <v>6.7</v>
      </c>
      <c r="CA131">
        <v>813052</v>
      </c>
      <c r="CB131">
        <v>666163</v>
      </c>
      <c r="CC131">
        <v>666163</v>
      </c>
      <c r="CD131">
        <v>518692</v>
      </c>
      <c r="CE131">
        <v>669242</v>
      </c>
      <c r="CF131">
        <v>500743</v>
      </c>
      <c r="CG131">
        <v>605141</v>
      </c>
      <c r="CH131">
        <v>571771</v>
      </c>
      <c r="CI131">
        <v>681624</v>
      </c>
      <c r="CJ131">
        <v>606192</v>
      </c>
      <c r="CK131">
        <v>53.79</v>
      </c>
      <c r="CL131" t="s">
        <v>97</v>
      </c>
      <c r="CM131" t="s">
        <v>97</v>
      </c>
      <c r="CN131" t="s">
        <v>97</v>
      </c>
      <c r="CO131" t="s">
        <v>97</v>
      </c>
      <c r="CP131" t="s">
        <v>97</v>
      </c>
      <c r="CQ131" t="s">
        <v>97</v>
      </c>
      <c r="CR131" t="s">
        <v>97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 t="s">
        <v>107</v>
      </c>
      <c r="DB131" t="s">
        <v>107</v>
      </c>
      <c r="DC131">
        <v>131</v>
      </c>
      <c r="DD131">
        <v>0</v>
      </c>
      <c r="DE131">
        <v>-5.6000000000000001E-2</v>
      </c>
      <c r="DF131">
        <v>76.3</v>
      </c>
      <c r="DG131">
        <v>8.3000000000000007</v>
      </c>
    </row>
    <row r="132" spans="1:111" x14ac:dyDescent="0.2">
      <c r="A132">
        <v>2025</v>
      </c>
      <c r="B132" s="1">
        <v>45936</v>
      </c>
      <c r="C132" t="s">
        <v>95</v>
      </c>
      <c r="D132">
        <v>605483</v>
      </c>
      <c r="E132">
        <v>607208</v>
      </c>
      <c r="F132">
        <v>1</v>
      </c>
      <c r="G132">
        <v>1</v>
      </c>
      <c r="H132">
        <v>3</v>
      </c>
      <c r="I132" t="s">
        <v>163</v>
      </c>
      <c r="J132">
        <v>21</v>
      </c>
      <c r="K132">
        <v>3</v>
      </c>
      <c r="L132" t="s">
        <v>97</v>
      </c>
      <c r="M132" t="s">
        <v>132</v>
      </c>
      <c r="N132" t="s">
        <v>133</v>
      </c>
      <c r="O132">
        <f t="shared" si="32"/>
        <v>0</v>
      </c>
      <c r="P132">
        <f t="shared" si="33"/>
        <v>0</v>
      </c>
      <c r="Q132">
        <f t="shared" si="34"/>
        <v>0</v>
      </c>
      <c r="R132">
        <f t="shared" si="35"/>
        <v>0</v>
      </c>
      <c r="S132">
        <f t="shared" si="36"/>
        <v>0</v>
      </c>
      <c r="T132">
        <f t="shared" si="37"/>
        <v>0</v>
      </c>
      <c r="U132">
        <f t="shared" si="38"/>
        <v>0</v>
      </c>
      <c r="V132">
        <f t="shared" si="39"/>
        <v>0</v>
      </c>
      <c r="W132">
        <f t="shared" si="40"/>
        <v>1</v>
      </c>
      <c r="X132">
        <f t="shared" si="41"/>
        <v>0</v>
      </c>
      <c r="Y132">
        <f t="shared" si="42"/>
        <v>0</v>
      </c>
      <c r="Z132">
        <f t="shared" si="43"/>
        <v>0</v>
      </c>
      <c r="AA132">
        <f t="shared" si="44"/>
        <v>0</v>
      </c>
      <c r="AB132">
        <f t="shared" si="45"/>
        <v>0</v>
      </c>
      <c r="AC132">
        <f t="shared" si="46"/>
        <v>0</v>
      </c>
      <c r="AD132">
        <f t="shared" si="47"/>
        <v>0</v>
      </c>
      <c r="AE132">
        <v>86.4</v>
      </c>
      <c r="AF132">
        <v>2.17</v>
      </c>
      <c r="AG132">
        <v>6.4</v>
      </c>
      <c r="AH132" t="s">
        <v>113</v>
      </c>
      <c r="AI132" t="s">
        <v>97</v>
      </c>
      <c r="AJ132" t="s">
        <v>97</v>
      </c>
      <c r="AK132" t="s">
        <v>97</v>
      </c>
      <c r="AL132" t="s">
        <v>97</v>
      </c>
      <c r="AM132">
        <v>9</v>
      </c>
      <c r="AN132" t="s">
        <v>114</v>
      </c>
      <c r="AO132" t="s">
        <v>164</v>
      </c>
      <c r="AP132" t="s">
        <v>122</v>
      </c>
      <c r="AQ132" t="s">
        <v>103</v>
      </c>
      <c r="AR132" t="s">
        <v>165</v>
      </c>
      <c r="AS132" t="s">
        <v>104</v>
      </c>
      <c r="AT132" t="s">
        <v>110</v>
      </c>
      <c r="AU132" t="s">
        <v>97</v>
      </c>
      <c r="AV132" t="s">
        <v>97</v>
      </c>
      <c r="AW132">
        <v>1.1599999999999999</v>
      </c>
      <c r="AX132">
        <v>0.95</v>
      </c>
      <c r="AY132">
        <v>0.55000000000000004</v>
      </c>
      <c r="AZ132">
        <v>1.85</v>
      </c>
      <c r="BA132" t="s">
        <v>97</v>
      </c>
      <c r="BB132" t="s">
        <v>97</v>
      </c>
      <c r="BC132">
        <v>669016</v>
      </c>
      <c r="BD132">
        <v>1</v>
      </c>
      <c r="BE132" t="s">
        <v>97</v>
      </c>
      <c r="BF132" t="s">
        <v>97</v>
      </c>
      <c r="BG132" t="s">
        <v>97</v>
      </c>
      <c r="BH132" t="s">
        <v>97</v>
      </c>
      <c r="BI132">
        <v>666163</v>
      </c>
      <c r="BJ132">
        <v>666163</v>
      </c>
      <c r="BK132" t="s">
        <v>97</v>
      </c>
      <c r="BL132" t="s">
        <v>97</v>
      </c>
      <c r="BM132">
        <v>-6.287318365</v>
      </c>
      <c r="BN132">
        <v>-125.4973803</v>
      </c>
      <c r="BO132">
        <v>-6.5603481639999996</v>
      </c>
      <c r="BP132">
        <v>13.583260510000001</v>
      </c>
      <c r="BQ132">
        <v>26.81100824</v>
      </c>
      <c r="BR132">
        <v>-20.950116189999999</v>
      </c>
      <c r="BS132">
        <v>3.49</v>
      </c>
      <c r="BT132">
        <v>1.69</v>
      </c>
      <c r="BU132" t="s">
        <v>97</v>
      </c>
      <c r="BV132" t="s">
        <v>97</v>
      </c>
      <c r="BW132" t="s">
        <v>97</v>
      </c>
      <c r="BX132">
        <v>87</v>
      </c>
      <c r="BY132">
        <v>1748</v>
      </c>
      <c r="BZ132">
        <v>6.9</v>
      </c>
      <c r="CA132">
        <v>813052</v>
      </c>
      <c r="CB132">
        <v>666163</v>
      </c>
      <c r="CC132">
        <v>666163</v>
      </c>
      <c r="CD132">
        <v>518692</v>
      </c>
      <c r="CE132">
        <v>669242</v>
      </c>
      <c r="CF132">
        <v>500743</v>
      </c>
      <c r="CG132">
        <v>605141</v>
      </c>
      <c r="CH132">
        <v>571771</v>
      </c>
      <c r="CI132">
        <v>681624</v>
      </c>
      <c r="CJ132">
        <v>606192</v>
      </c>
      <c r="CK132">
        <v>53.59</v>
      </c>
      <c r="CL132" t="s">
        <v>97</v>
      </c>
      <c r="CM132" t="s">
        <v>97</v>
      </c>
      <c r="CN132" t="s">
        <v>97</v>
      </c>
      <c r="CO132" t="s">
        <v>97</v>
      </c>
      <c r="CP132" t="s">
        <v>97</v>
      </c>
      <c r="CQ132" t="s">
        <v>97</v>
      </c>
      <c r="CR132" t="s">
        <v>97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 t="s">
        <v>107</v>
      </c>
      <c r="DB132" t="s">
        <v>107</v>
      </c>
      <c r="DC132">
        <v>135</v>
      </c>
      <c r="DD132">
        <v>0</v>
      </c>
      <c r="DE132">
        <v>-5.6000000000000001E-2</v>
      </c>
      <c r="DF132">
        <v>73.5</v>
      </c>
      <c r="DG132">
        <v>8.6</v>
      </c>
    </row>
    <row r="133" spans="1:111" x14ac:dyDescent="0.2">
      <c r="A133">
        <v>2025</v>
      </c>
      <c r="B133" s="1">
        <v>45936</v>
      </c>
      <c r="C133" t="s">
        <v>95</v>
      </c>
      <c r="D133">
        <v>605483</v>
      </c>
      <c r="E133">
        <v>607208</v>
      </c>
      <c r="F133">
        <v>1</v>
      </c>
      <c r="G133">
        <v>2</v>
      </c>
      <c r="H133">
        <v>3</v>
      </c>
      <c r="I133" t="s">
        <v>163</v>
      </c>
      <c r="J133">
        <v>21</v>
      </c>
      <c r="K133">
        <v>4</v>
      </c>
      <c r="L133" t="s">
        <v>116</v>
      </c>
      <c r="M133" t="s">
        <v>132</v>
      </c>
      <c r="N133" t="s">
        <v>133</v>
      </c>
      <c r="O133">
        <f t="shared" si="32"/>
        <v>0</v>
      </c>
      <c r="P133">
        <f t="shared" si="33"/>
        <v>0</v>
      </c>
      <c r="Q133">
        <f t="shared" si="34"/>
        <v>0</v>
      </c>
      <c r="R133">
        <f t="shared" si="35"/>
        <v>0</v>
      </c>
      <c r="S133">
        <f t="shared" si="36"/>
        <v>0</v>
      </c>
      <c r="T133">
        <f t="shared" si="37"/>
        <v>0</v>
      </c>
      <c r="U133">
        <f t="shared" si="38"/>
        <v>0</v>
      </c>
      <c r="V133">
        <f t="shared" si="39"/>
        <v>0</v>
      </c>
      <c r="W133">
        <f t="shared" si="40"/>
        <v>0</v>
      </c>
      <c r="X133">
        <f t="shared" si="41"/>
        <v>0</v>
      </c>
      <c r="Y133">
        <f t="shared" si="42"/>
        <v>0</v>
      </c>
      <c r="Z133">
        <f t="shared" si="43"/>
        <v>1</v>
      </c>
      <c r="AA133">
        <f t="shared" si="44"/>
        <v>0</v>
      </c>
      <c r="AB133">
        <f t="shared" si="45"/>
        <v>0</v>
      </c>
      <c r="AC133">
        <f t="shared" si="46"/>
        <v>0</v>
      </c>
      <c r="AD133">
        <f t="shared" si="47"/>
        <v>0</v>
      </c>
      <c r="AE133">
        <v>84.1</v>
      </c>
      <c r="AF133">
        <v>2.35</v>
      </c>
      <c r="AG133">
        <v>6.33</v>
      </c>
      <c r="AH133" t="s">
        <v>113</v>
      </c>
      <c r="AI133" t="s">
        <v>97</v>
      </c>
      <c r="AJ133" t="s">
        <v>97</v>
      </c>
      <c r="AK133" t="s">
        <v>97</v>
      </c>
      <c r="AL133" t="s">
        <v>97</v>
      </c>
      <c r="AM133">
        <v>14</v>
      </c>
      <c r="AN133" t="s">
        <v>177</v>
      </c>
      <c r="AO133" t="s">
        <v>164</v>
      </c>
      <c r="AP133" t="s">
        <v>122</v>
      </c>
      <c r="AQ133" t="s">
        <v>103</v>
      </c>
      <c r="AR133" t="s">
        <v>165</v>
      </c>
      <c r="AS133" t="s">
        <v>104</v>
      </c>
      <c r="AT133" t="s">
        <v>110</v>
      </c>
      <c r="AU133">
        <v>2</v>
      </c>
      <c r="AV133" t="s">
        <v>97</v>
      </c>
      <c r="AW133">
        <v>1.36</v>
      </c>
      <c r="AX133">
        <v>0.94</v>
      </c>
      <c r="AY133">
        <v>0.46</v>
      </c>
      <c r="AZ133">
        <v>0.74</v>
      </c>
      <c r="BA133" t="s">
        <v>97</v>
      </c>
      <c r="BB133" t="s">
        <v>97</v>
      </c>
      <c r="BC133">
        <v>669016</v>
      </c>
      <c r="BD133">
        <v>1</v>
      </c>
      <c r="BE133" t="s">
        <v>97</v>
      </c>
      <c r="BF133" t="s">
        <v>97</v>
      </c>
      <c r="BG133" t="s">
        <v>97</v>
      </c>
      <c r="BH133" t="s">
        <v>97</v>
      </c>
      <c r="BI133">
        <v>666163</v>
      </c>
      <c r="BJ133">
        <v>666163</v>
      </c>
      <c r="BK133" t="s">
        <v>97</v>
      </c>
      <c r="BL133" t="s">
        <v>97</v>
      </c>
      <c r="BM133">
        <v>-7.1424731030000004</v>
      </c>
      <c r="BN133">
        <v>-121.9594171</v>
      </c>
      <c r="BO133">
        <v>-8.3892561479999994</v>
      </c>
      <c r="BP133">
        <v>15.04071656</v>
      </c>
      <c r="BQ133">
        <v>25.857996199999999</v>
      </c>
      <c r="BR133">
        <v>-21.265444299999999</v>
      </c>
      <c r="BS133">
        <v>3.49</v>
      </c>
      <c r="BT133">
        <v>1.69</v>
      </c>
      <c r="BU133" t="s">
        <v>97</v>
      </c>
      <c r="BV133" t="s">
        <v>97</v>
      </c>
      <c r="BW133" t="s">
        <v>97</v>
      </c>
      <c r="BX133">
        <v>84.4</v>
      </c>
      <c r="BY133">
        <v>1980</v>
      </c>
      <c r="BZ133">
        <v>6.9</v>
      </c>
      <c r="CA133">
        <v>813052</v>
      </c>
      <c r="CB133">
        <v>666163</v>
      </c>
      <c r="CC133">
        <v>666163</v>
      </c>
      <c r="CD133">
        <v>518692</v>
      </c>
      <c r="CE133">
        <v>669242</v>
      </c>
      <c r="CF133">
        <v>500743</v>
      </c>
      <c r="CG133">
        <v>605141</v>
      </c>
      <c r="CH133">
        <v>571771</v>
      </c>
      <c r="CI133">
        <v>681624</v>
      </c>
      <c r="CJ133">
        <v>606192</v>
      </c>
      <c r="CK133">
        <v>53.64</v>
      </c>
      <c r="CL133" t="s">
        <v>97</v>
      </c>
      <c r="CM133">
        <v>0</v>
      </c>
      <c r="CN133">
        <v>0</v>
      </c>
      <c r="CO133">
        <v>1</v>
      </c>
      <c r="CP133">
        <v>0</v>
      </c>
      <c r="CQ133">
        <v>0</v>
      </c>
      <c r="CR133" t="s">
        <v>97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 t="s">
        <v>107</v>
      </c>
      <c r="DB133" t="s">
        <v>107</v>
      </c>
      <c r="DC133">
        <v>132</v>
      </c>
      <c r="DD133">
        <v>-3.1E-2</v>
      </c>
      <c r="DE133">
        <v>-0.17799999999999999</v>
      </c>
      <c r="DF133">
        <v>65.400000000000006</v>
      </c>
      <c r="DG133">
        <v>8.8000000000000007</v>
      </c>
    </row>
    <row r="134" spans="1:111" x14ac:dyDescent="0.2">
      <c r="A134">
        <v>2025</v>
      </c>
      <c r="B134" s="1">
        <v>45936</v>
      </c>
      <c r="C134" t="s">
        <v>95</v>
      </c>
      <c r="D134">
        <v>605483</v>
      </c>
      <c r="E134">
        <v>656941</v>
      </c>
      <c r="F134">
        <v>0</v>
      </c>
      <c r="G134">
        <v>0</v>
      </c>
      <c r="H134">
        <v>3</v>
      </c>
      <c r="I134" t="s">
        <v>163</v>
      </c>
      <c r="J134">
        <v>22</v>
      </c>
      <c r="K134">
        <v>1</v>
      </c>
      <c r="L134" t="s">
        <v>97</v>
      </c>
      <c r="M134" t="s">
        <v>138</v>
      </c>
      <c r="N134" t="s">
        <v>139</v>
      </c>
      <c r="O134">
        <f t="shared" si="32"/>
        <v>0</v>
      </c>
      <c r="P134">
        <f t="shared" si="33"/>
        <v>0</v>
      </c>
      <c r="Q134">
        <f t="shared" si="34"/>
        <v>0</v>
      </c>
      <c r="R134">
        <f t="shared" si="35"/>
        <v>0</v>
      </c>
      <c r="S134">
        <f t="shared" si="36"/>
        <v>0</v>
      </c>
      <c r="T134">
        <f t="shared" si="37"/>
        <v>0</v>
      </c>
      <c r="U134">
        <f t="shared" si="38"/>
        <v>0</v>
      </c>
      <c r="V134">
        <f t="shared" si="39"/>
        <v>0</v>
      </c>
      <c r="W134">
        <f t="shared" si="40"/>
        <v>0</v>
      </c>
      <c r="X134">
        <f t="shared" si="41"/>
        <v>0</v>
      </c>
      <c r="Y134">
        <f t="shared" si="42"/>
        <v>0</v>
      </c>
      <c r="Z134">
        <f t="shared" si="43"/>
        <v>0</v>
      </c>
      <c r="AA134">
        <f t="shared" si="44"/>
        <v>0</v>
      </c>
      <c r="AB134">
        <f t="shared" si="45"/>
        <v>1</v>
      </c>
      <c r="AC134">
        <f t="shared" si="46"/>
        <v>0</v>
      </c>
      <c r="AD134">
        <f t="shared" si="47"/>
        <v>0</v>
      </c>
      <c r="AE134">
        <v>90.8</v>
      </c>
      <c r="AF134">
        <v>1.99</v>
      </c>
      <c r="AG134">
        <v>6.61</v>
      </c>
      <c r="AH134" t="s">
        <v>100</v>
      </c>
      <c r="AI134" t="s">
        <v>97</v>
      </c>
      <c r="AJ134" t="s">
        <v>97</v>
      </c>
      <c r="AK134" t="s">
        <v>97</v>
      </c>
      <c r="AL134" t="s">
        <v>97</v>
      </c>
      <c r="AM134">
        <v>13</v>
      </c>
      <c r="AN134" t="s">
        <v>101</v>
      </c>
      <c r="AO134" t="s">
        <v>164</v>
      </c>
      <c r="AP134" t="s">
        <v>103</v>
      </c>
      <c r="AQ134" t="s">
        <v>103</v>
      </c>
      <c r="AR134" t="s">
        <v>165</v>
      </c>
      <c r="AS134" t="s">
        <v>104</v>
      </c>
      <c r="AT134" t="s">
        <v>106</v>
      </c>
      <c r="AU134" t="s">
        <v>97</v>
      </c>
      <c r="AV134" t="s">
        <v>97</v>
      </c>
      <c r="AW134">
        <v>-0.21</v>
      </c>
      <c r="AX134">
        <v>0.69</v>
      </c>
      <c r="AY134">
        <v>-1.72</v>
      </c>
      <c r="AZ134">
        <v>0.78</v>
      </c>
      <c r="BA134" t="s">
        <v>97</v>
      </c>
      <c r="BB134" t="s">
        <v>97</v>
      </c>
      <c r="BC134">
        <v>669016</v>
      </c>
      <c r="BD134">
        <v>2</v>
      </c>
      <c r="BE134" t="s">
        <v>97</v>
      </c>
      <c r="BF134" t="s">
        <v>97</v>
      </c>
      <c r="BG134" t="s">
        <v>97</v>
      </c>
      <c r="BH134" t="s">
        <v>97</v>
      </c>
      <c r="BI134">
        <v>666163</v>
      </c>
      <c r="BJ134">
        <v>666163</v>
      </c>
      <c r="BK134" t="s">
        <v>97</v>
      </c>
      <c r="BL134" t="s">
        <v>97</v>
      </c>
      <c r="BM134">
        <v>-8.8864437790000004</v>
      </c>
      <c r="BN134">
        <v>-131.63831579999999</v>
      </c>
      <c r="BO134">
        <v>-10.18200886</v>
      </c>
      <c r="BP134">
        <v>-0.59387087199999999</v>
      </c>
      <c r="BQ134">
        <v>27.103879589999998</v>
      </c>
      <c r="BR134">
        <v>-22.111899709999999</v>
      </c>
      <c r="BS134">
        <v>3.28</v>
      </c>
      <c r="BT134">
        <v>1.51</v>
      </c>
      <c r="BU134" t="s">
        <v>97</v>
      </c>
      <c r="BV134" t="s">
        <v>97</v>
      </c>
      <c r="BW134" t="s">
        <v>97</v>
      </c>
      <c r="BX134">
        <v>91.4</v>
      </c>
      <c r="BY134">
        <v>2427</v>
      </c>
      <c r="BZ134">
        <v>6.8</v>
      </c>
      <c r="CA134">
        <v>813052</v>
      </c>
      <c r="CB134">
        <v>666163</v>
      </c>
      <c r="CC134">
        <v>666163</v>
      </c>
      <c r="CD134">
        <v>518692</v>
      </c>
      <c r="CE134">
        <v>669242</v>
      </c>
      <c r="CF134">
        <v>500743</v>
      </c>
      <c r="CG134">
        <v>605141</v>
      </c>
      <c r="CH134">
        <v>571771</v>
      </c>
      <c r="CI134">
        <v>681624</v>
      </c>
      <c r="CJ134">
        <v>606192</v>
      </c>
      <c r="CK134">
        <v>53.72</v>
      </c>
      <c r="CL134" t="s">
        <v>97</v>
      </c>
      <c r="CM134" t="s">
        <v>97</v>
      </c>
      <c r="CN134" t="s">
        <v>97</v>
      </c>
      <c r="CO134" t="s">
        <v>97</v>
      </c>
      <c r="CP134" t="s">
        <v>97</v>
      </c>
      <c r="CQ134" t="s">
        <v>97</v>
      </c>
      <c r="CR134" t="s">
        <v>97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 t="s">
        <v>168</v>
      </c>
      <c r="DB134" t="s">
        <v>107</v>
      </c>
      <c r="DC134">
        <v>166</v>
      </c>
      <c r="DD134">
        <v>0</v>
      </c>
      <c r="DE134">
        <v>3.5000000000000003E-2</v>
      </c>
      <c r="DF134" t="s">
        <v>97</v>
      </c>
      <c r="DG134" t="s">
        <v>97</v>
      </c>
    </row>
    <row r="135" spans="1:111" x14ac:dyDescent="0.2">
      <c r="A135">
        <v>2025</v>
      </c>
      <c r="B135" s="1">
        <v>45936</v>
      </c>
      <c r="C135" t="s">
        <v>95</v>
      </c>
      <c r="D135">
        <v>605483</v>
      </c>
      <c r="E135">
        <v>656941</v>
      </c>
      <c r="F135">
        <v>1</v>
      </c>
      <c r="G135">
        <v>0</v>
      </c>
      <c r="H135">
        <v>3</v>
      </c>
      <c r="I135" t="s">
        <v>163</v>
      </c>
      <c r="J135">
        <v>22</v>
      </c>
      <c r="K135">
        <v>2</v>
      </c>
      <c r="L135" t="s">
        <v>97</v>
      </c>
      <c r="M135" t="s">
        <v>98</v>
      </c>
      <c r="N135" t="s">
        <v>99</v>
      </c>
      <c r="O135">
        <f t="shared" si="32"/>
        <v>0</v>
      </c>
      <c r="P135">
        <f t="shared" si="33"/>
        <v>0</v>
      </c>
      <c r="Q135">
        <f t="shared" si="34"/>
        <v>0</v>
      </c>
      <c r="R135">
        <f t="shared" si="35"/>
        <v>1</v>
      </c>
      <c r="S135">
        <f t="shared" si="36"/>
        <v>0</v>
      </c>
      <c r="T135">
        <f t="shared" si="37"/>
        <v>0</v>
      </c>
      <c r="U135">
        <f t="shared" si="38"/>
        <v>0</v>
      </c>
      <c r="V135">
        <f t="shared" si="39"/>
        <v>0</v>
      </c>
      <c r="W135">
        <f t="shared" si="40"/>
        <v>0</v>
      </c>
      <c r="X135">
        <f t="shared" si="41"/>
        <v>0</v>
      </c>
      <c r="Y135">
        <f t="shared" si="42"/>
        <v>0</v>
      </c>
      <c r="Z135">
        <f t="shared" si="43"/>
        <v>0</v>
      </c>
      <c r="AA135">
        <f t="shared" si="44"/>
        <v>0</v>
      </c>
      <c r="AB135">
        <f t="shared" si="45"/>
        <v>0</v>
      </c>
      <c r="AC135">
        <f t="shared" si="46"/>
        <v>0</v>
      </c>
      <c r="AD135">
        <f t="shared" si="47"/>
        <v>0</v>
      </c>
      <c r="AE135">
        <v>95.8</v>
      </c>
      <c r="AF135">
        <v>2.06</v>
      </c>
      <c r="AG135">
        <v>6.52</v>
      </c>
      <c r="AH135" t="s">
        <v>108</v>
      </c>
      <c r="AI135" t="s">
        <v>97</v>
      </c>
      <c r="AJ135" t="s">
        <v>97</v>
      </c>
      <c r="AK135" t="s">
        <v>97</v>
      </c>
      <c r="AL135" t="s">
        <v>97</v>
      </c>
      <c r="AM135">
        <v>6</v>
      </c>
      <c r="AN135" t="s">
        <v>109</v>
      </c>
      <c r="AO135" t="s">
        <v>164</v>
      </c>
      <c r="AP135" t="s">
        <v>103</v>
      </c>
      <c r="AQ135" t="s">
        <v>103</v>
      </c>
      <c r="AR135" t="s">
        <v>165</v>
      </c>
      <c r="AS135" t="s">
        <v>104</v>
      </c>
      <c r="AT135" t="s">
        <v>110</v>
      </c>
      <c r="AU135" t="s">
        <v>97</v>
      </c>
      <c r="AV135" t="s">
        <v>97</v>
      </c>
      <c r="AW135">
        <v>0.25</v>
      </c>
      <c r="AX135">
        <v>1.6</v>
      </c>
      <c r="AY135">
        <v>0.66</v>
      </c>
      <c r="AZ135">
        <v>2.67</v>
      </c>
      <c r="BA135" t="s">
        <v>97</v>
      </c>
      <c r="BB135" t="s">
        <v>97</v>
      </c>
      <c r="BC135">
        <v>669016</v>
      </c>
      <c r="BD135">
        <v>2</v>
      </c>
      <c r="BE135" t="s">
        <v>97</v>
      </c>
      <c r="BF135" t="s">
        <v>97</v>
      </c>
      <c r="BG135" t="s">
        <v>97</v>
      </c>
      <c r="BH135" t="s">
        <v>97</v>
      </c>
      <c r="BI135">
        <v>666163</v>
      </c>
      <c r="BJ135">
        <v>666163</v>
      </c>
      <c r="BK135" t="s">
        <v>97</v>
      </c>
      <c r="BL135" t="s">
        <v>97</v>
      </c>
      <c r="BM135">
        <v>-4.3049536990000004</v>
      </c>
      <c r="BN135">
        <v>-139.19012960000001</v>
      </c>
      <c r="BO135">
        <v>-8.1559483999999998</v>
      </c>
      <c r="BP135">
        <v>4.3094066020000001</v>
      </c>
      <c r="BQ135">
        <v>34.474616920000003</v>
      </c>
      <c r="BR135">
        <v>-9.774810811</v>
      </c>
      <c r="BS135">
        <v>3.28</v>
      </c>
      <c r="BT135">
        <v>1.51</v>
      </c>
      <c r="BU135" t="s">
        <v>97</v>
      </c>
      <c r="BV135" t="s">
        <v>97</v>
      </c>
      <c r="BW135" t="s">
        <v>97</v>
      </c>
      <c r="BX135">
        <v>96.1</v>
      </c>
      <c r="BY135">
        <v>2498</v>
      </c>
      <c r="BZ135">
        <v>6.8</v>
      </c>
      <c r="CA135">
        <v>813052</v>
      </c>
      <c r="CB135">
        <v>666163</v>
      </c>
      <c r="CC135">
        <v>666163</v>
      </c>
      <c r="CD135">
        <v>518692</v>
      </c>
      <c r="CE135">
        <v>669242</v>
      </c>
      <c r="CF135">
        <v>500743</v>
      </c>
      <c r="CG135">
        <v>605141</v>
      </c>
      <c r="CH135">
        <v>571771</v>
      </c>
      <c r="CI135">
        <v>681624</v>
      </c>
      <c r="CJ135">
        <v>606192</v>
      </c>
      <c r="CK135">
        <v>53.71</v>
      </c>
      <c r="CL135" t="s">
        <v>97</v>
      </c>
      <c r="CM135" t="s">
        <v>97</v>
      </c>
      <c r="CN135" t="s">
        <v>97</v>
      </c>
      <c r="CO135" t="s">
        <v>97</v>
      </c>
      <c r="CP135" t="s">
        <v>97</v>
      </c>
      <c r="CQ135" t="s">
        <v>97</v>
      </c>
      <c r="CR135" t="s">
        <v>97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 t="s">
        <v>115</v>
      </c>
      <c r="DB135" t="s">
        <v>107</v>
      </c>
      <c r="DC135">
        <v>157</v>
      </c>
      <c r="DD135">
        <v>0</v>
      </c>
      <c r="DE135">
        <v>-0.05</v>
      </c>
      <c r="DF135" t="s">
        <v>97</v>
      </c>
      <c r="DG135" t="s">
        <v>97</v>
      </c>
    </row>
    <row r="136" spans="1:111" x14ac:dyDescent="0.2">
      <c r="A136">
        <v>2025</v>
      </c>
      <c r="B136" s="1">
        <v>45936</v>
      </c>
      <c r="C136" t="s">
        <v>95</v>
      </c>
      <c r="D136">
        <v>605483</v>
      </c>
      <c r="E136">
        <v>656941</v>
      </c>
      <c r="F136">
        <v>1</v>
      </c>
      <c r="G136">
        <v>1</v>
      </c>
      <c r="H136">
        <v>3</v>
      </c>
      <c r="I136" t="s">
        <v>163</v>
      </c>
      <c r="J136">
        <v>22</v>
      </c>
      <c r="K136">
        <v>3</v>
      </c>
      <c r="L136" t="s">
        <v>97</v>
      </c>
      <c r="M136" t="s">
        <v>138</v>
      </c>
      <c r="N136" t="s">
        <v>139</v>
      </c>
      <c r="O136">
        <f t="shared" si="32"/>
        <v>0</v>
      </c>
      <c r="P136">
        <f t="shared" si="33"/>
        <v>0</v>
      </c>
      <c r="Q136">
        <f t="shared" si="34"/>
        <v>0</v>
      </c>
      <c r="R136">
        <f t="shared" si="35"/>
        <v>0</v>
      </c>
      <c r="S136">
        <f t="shared" si="36"/>
        <v>0</v>
      </c>
      <c r="T136">
        <f t="shared" si="37"/>
        <v>0</v>
      </c>
      <c r="U136">
        <f t="shared" si="38"/>
        <v>0</v>
      </c>
      <c r="V136">
        <f t="shared" si="39"/>
        <v>0</v>
      </c>
      <c r="W136">
        <f t="shared" si="40"/>
        <v>0</v>
      </c>
      <c r="X136">
        <f t="shared" si="41"/>
        <v>0</v>
      </c>
      <c r="Y136">
        <f t="shared" si="42"/>
        <v>0</v>
      </c>
      <c r="Z136">
        <f t="shared" si="43"/>
        <v>0</v>
      </c>
      <c r="AA136">
        <f t="shared" si="44"/>
        <v>1</v>
      </c>
      <c r="AB136">
        <f t="shared" si="45"/>
        <v>0</v>
      </c>
      <c r="AC136">
        <f t="shared" si="46"/>
        <v>0</v>
      </c>
      <c r="AD136">
        <f t="shared" si="47"/>
        <v>0</v>
      </c>
      <c r="AE136">
        <v>90.1</v>
      </c>
      <c r="AF136">
        <v>2.13</v>
      </c>
      <c r="AG136">
        <v>6.55</v>
      </c>
      <c r="AH136" t="s">
        <v>100</v>
      </c>
      <c r="AI136" t="s">
        <v>97</v>
      </c>
      <c r="AJ136" t="s">
        <v>97</v>
      </c>
      <c r="AK136" t="s">
        <v>97</v>
      </c>
      <c r="AL136" t="s">
        <v>97</v>
      </c>
      <c r="AM136">
        <v>13</v>
      </c>
      <c r="AN136" t="s">
        <v>101</v>
      </c>
      <c r="AO136" t="s">
        <v>164</v>
      </c>
      <c r="AP136" t="s">
        <v>103</v>
      </c>
      <c r="AQ136" t="s">
        <v>103</v>
      </c>
      <c r="AR136" t="s">
        <v>165</v>
      </c>
      <c r="AS136" t="s">
        <v>104</v>
      </c>
      <c r="AT136" t="s">
        <v>106</v>
      </c>
      <c r="AU136" t="s">
        <v>97</v>
      </c>
      <c r="AV136" t="s">
        <v>97</v>
      </c>
      <c r="AW136">
        <v>-0.01</v>
      </c>
      <c r="AX136">
        <v>0.55000000000000004</v>
      </c>
      <c r="AY136">
        <v>-0.28999999999999998</v>
      </c>
      <c r="AZ136">
        <v>1.1200000000000001</v>
      </c>
      <c r="BA136" t="s">
        <v>97</v>
      </c>
      <c r="BB136" t="s">
        <v>97</v>
      </c>
      <c r="BC136">
        <v>669016</v>
      </c>
      <c r="BD136">
        <v>2</v>
      </c>
      <c r="BE136" t="s">
        <v>97</v>
      </c>
      <c r="BF136" t="s">
        <v>97</v>
      </c>
      <c r="BG136" t="s">
        <v>97</v>
      </c>
      <c r="BH136" t="s">
        <v>97</v>
      </c>
      <c r="BI136">
        <v>666163</v>
      </c>
      <c r="BJ136">
        <v>666163</v>
      </c>
      <c r="BK136" t="s">
        <v>97</v>
      </c>
      <c r="BL136" t="s">
        <v>97</v>
      </c>
      <c r="BM136">
        <v>-6.0362526819999998</v>
      </c>
      <c r="BN136">
        <v>-130.84064549999999</v>
      </c>
      <c r="BO136">
        <v>-8.7049706520000001</v>
      </c>
      <c r="BP136">
        <v>1.2038276889999999</v>
      </c>
      <c r="BQ136">
        <v>28.63907373</v>
      </c>
      <c r="BR136">
        <v>-24.12641734</v>
      </c>
      <c r="BS136">
        <v>3.12</v>
      </c>
      <c r="BT136">
        <v>1.46</v>
      </c>
      <c r="BU136" t="s">
        <v>97</v>
      </c>
      <c r="BV136" t="s">
        <v>97</v>
      </c>
      <c r="BW136" t="s">
        <v>97</v>
      </c>
      <c r="BX136">
        <v>90.5</v>
      </c>
      <c r="BY136">
        <v>2363</v>
      </c>
      <c r="BZ136">
        <v>6.7</v>
      </c>
      <c r="CA136">
        <v>813052</v>
      </c>
      <c r="CB136">
        <v>666163</v>
      </c>
      <c r="CC136">
        <v>666163</v>
      </c>
      <c r="CD136">
        <v>518692</v>
      </c>
      <c r="CE136">
        <v>669242</v>
      </c>
      <c r="CF136">
        <v>500743</v>
      </c>
      <c r="CG136">
        <v>605141</v>
      </c>
      <c r="CH136">
        <v>571771</v>
      </c>
      <c r="CI136">
        <v>681624</v>
      </c>
      <c r="CJ136">
        <v>606192</v>
      </c>
      <c r="CK136">
        <v>53.79</v>
      </c>
      <c r="CL136" t="s">
        <v>97</v>
      </c>
      <c r="CM136" t="s">
        <v>97</v>
      </c>
      <c r="CN136" t="s">
        <v>97</v>
      </c>
      <c r="CO136" t="s">
        <v>97</v>
      </c>
      <c r="CP136" t="s">
        <v>97</v>
      </c>
      <c r="CQ136" t="s">
        <v>97</v>
      </c>
      <c r="CR136" t="s">
        <v>97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 t="s">
        <v>168</v>
      </c>
      <c r="DB136" t="s">
        <v>107</v>
      </c>
      <c r="DC136">
        <v>162</v>
      </c>
      <c r="DD136">
        <v>0</v>
      </c>
      <c r="DE136">
        <v>5.3999999999999999E-2</v>
      </c>
      <c r="DF136" t="s">
        <v>97</v>
      </c>
      <c r="DG136" t="s">
        <v>97</v>
      </c>
    </row>
    <row r="137" spans="1:111" x14ac:dyDescent="0.2">
      <c r="A137">
        <v>2025</v>
      </c>
      <c r="B137" s="1">
        <v>45936</v>
      </c>
      <c r="C137" t="s">
        <v>95</v>
      </c>
      <c r="D137">
        <v>605483</v>
      </c>
      <c r="E137">
        <v>656941</v>
      </c>
      <c r="F137">
        <v>2</v>
      </c>
      <c r="G137">
        <v>1</v>
      </c>
      <c r="H137">
        <v>3</v>
      </c>
      <c r="I137" t="s">
        <v>163</v>
      </c>
      <c r="J137">
        <v>22</v>
      </c>
      <c r="K137">
        <v>4</v>
      </c>
      <c r="L137" t="s">
        <v>97</v>
      </c>
      <c r="M137" t="s">
        <v>138</v>
      </c>
      <c r="N137" t="s">
        <v>139</v>
      </c>
      <c r="O137">
        <f t="shared" si="32"/>
        <v>0</v>
      </c>
      <c r="P137">
        <f t="shared" si="33"/>
        <v>0</v>
      </c>
      <c r="Q137">
        <f t="shared" si="34"/>
        <v>0</v>
      </c>
      <c r="R137">
        <f t="shared" si="35"/>
        <v>0</v>
      </c>
      <c r="S137">
        <f t="shared" si="36"/>
        <v>0</v>
      </c>
      <c r="T137">
        <f t="shared" si="37"/>
        <v>0</v>
      </c>
      <c r="U137">
        <f t="shared" si="38"/>
        <v>0</v>
      </c>
      <c r="V137">
        <f t="shared" si="39"/>
        <v>0</v>
      </c>
      <c r="W137">
        <f t="shared" si="40"/>
        <v>0</v>
      </c>
      <c r="X137">
        <f t="shared" si="41"/>
        <v>0</v>
      </c>
      <c r="Y137">
        <f t="shared" si="42"/>
        <v>0</v>
      </c>
      <c r="Z137">
        <f t="shared" si="43"/>
        <v>0</v>
      </c>
      <c r="AA137">
        <f t="shared" si="44"/>
        <v>0</v>
      </c>
      <c r="AB137">
        <f t="shared" si="45"/>
        <v>1</v>
      </c>
      <c r="AC137">
        <f t="shared" si="46"/>
        <v>0</v>
      </c>
      <c r="AD137">
        <f t="shared" si="47"/>
        <v>0</v>
      </c>
      <c r="AE137">
        <v>92.1</v>
      </c>
      <c r="AF137">
        <v>1.92</v>
      </c>
      <c r="AG137">
        <v>6.62</v>
      </c>
      <c r="AH137" t="s">
        <v>108</v>
      </c>
      <c r="AI137" t="s">
        <v>97</v>
      </c>
      <c r="AJ137" t="s">
        <v>97</v>
      </c>
      <c r="AK137" t="s">
        <v>97</v>
      </c>
      <c r="AL137" t="s">
        <v>97</v>
      </c>
      <c r="AM137">
        <v>9</v>
      </c>
      <c r="AN137" t="s">
        <v>109</v>
      </c>
      <c r="AO137" t="s">
        <v>164</v>
      </c>
      <c r="AP137" t="s">
        <v>103</v>
      </c>
      <c r="AQ137" t="s">
        <v>103</v>
      </c>
      <c r="AR137" t="s">
        <v>165</v>
      </c>
      <c r="AS137" t="s">
        <v>104</v>
      </c>
      <c r="AT137" t="s">
        <v>110</v>
      </c>
      <c r="AU137" t="s">
        <v>97</v>
      </c>
      <c r="AV137" t="s">
        <v>97</v>
      </c>
      <c r="AW137">
        <v>-0.01</v>
      </c>
      <c r="AX137">
        <v>0.75</v>
      </c>
      <c r="AY137">
        <v>0.28999999999999998</v>
      </c>
      <c r="AZ137">
        <v>1.67</v>
      </c>
      <c r="BA137" t="s">
        <v>97</v>
      </c>
      <c r="BB137" t="s">
        <v>97</v>
      </c>
      <c r="BC137">
        <v>669016</v>
      </c>
      <c r="BD137">
        <v>2</v>
      </c>
      <c r="BE137" t="s">
        <v>97</v>
      </c>
      <c r="BF137" t="s">
        <v>97</v>
      </c>
      <c r="BG137" t="s">
        <v>97</v>
      </c>
      <c r="BH137" t="s">
        <v>97</v>
      </c>
      <c r="BI137">
        <v>666163</v>
      </c>
      <c r="BJ137">
        <v>666163</v>
      </c>
      <c r="BK137" t="s">
        <v>97</v>
      </c>
      <c r="BL137" t="s">
        <v>97</v>
      </c>
      <c r="BM137">
        <v>-4.1383648839999996</v>
      </c>
      <c r="BN137">
        <v>-133.91607149999999</v>
      </c>
      <c r="BO137">
        <v>-8.3863282570000006</v>
      </c>
      <c r="BP137">
        <v>0.83515455699999996</v>
      </c>
      <c r="BQ137">
        <v>29.13844726</v>
      </c>
      <c r="BR137">
        <v>-21.540915500000001</v>
      </c>
      <c r="BS137">
        <v>3.18</v>
      </c>
      <c r="BT137">
        <v>1.51</v>
      </c>
      <c r="BU137" t="s">
        <v>97</v>
      </c>
      <c r="BV137" t="s">
        <v>97</v>
      </c>
      <c r="BW137" t="s">
        <v>97</v>
      </c>
      <c r="BX137">
        <v>92.6</v>
      </c>
      <c r="BY137">
        <v>2381</v>
      </c>
      <c r="BZ137">
        <v>6.6</v>
      </c>
      <c r="CA137">
        <v>813052</v>
      </c>
      <c r="CB137">
        <v>666163</v>
      </c>
      <c r="CC137">
        <v>666163</v>
      </c>
      <c r="CD137">
        <v>518692</v>
      </c>
      <c r="CE137">
        <v>669242</v>
      </c>
      <c r="CF137">
        <v>500743</v>
      </c>
      <c r="CG137">
        <v>605141</v>
      </c>
      <c r="CH137">
        <v>571771</v>
      </c>
      <c r="CI137">
        <v>681624</v>
      </c>
      <c r="CJ137">
        <v>606192</v>
      </c>
      <c r="CK137">
        <v>53.87</v>
      </c>
      <c r="CL137" t="s">
        <v>97</v>
      </c>
      <c r="CM137" t="s">
        <v>97</v>
      </c>
      <c r="CN137" t="s">
        <v>97</v>
      </c>
      <c r="CO137" t="s">
        <v>97</v>
      </c>
      <c r="CP137" t="s">
        <v>97</v>
      </c>
      <c r="CQ137" t="s">
        <v>97</v>
      </c>
      <c r="CR137" t="s">
        <v>97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 t="s">
        <v>168</v>
      </c>
      <c r="DB137" t="s">
        <v>107</v>
      </c>
      <c r="DC137">
        <v>164</v>
      </c>
      <c r="DD137">
        <v>0</v>
      </c>
      <c r="DE137">
        <v>-9.2999999999999999E-2</v>
      </c>
      <c r="DF137" t="s">
        <v>97</v>
      </c>
      <c r="DG137" t="s">
        <v>97</v>
      </c>
    </row>
    <row r="138" spans="1:111" x14ac:dyDescent="0.2">
      <c r="A138">
        <v>2025</v>
      </c>
      <c r="B138" s="1">
        <v>45936</v>
      </c>
      <c r="C138" t="s">
        <v>95</v>
      </c>
      <c r="D138">
        <v>605483</v>
      </c>
      <c r="E138">
        <v>656941</v>
      </c>
      <c r="F138">
        <v>0</v>
      </c>
      <c r="G138">
        <v>0</v>
      </c>
      <c r="H138">
        <v>4</v>
      </c>
      <c r="I138" t="s">
        <v>163</v>
      </c>
      <c r="J138">
        <v>26</v>
      </c>
      <c r="K138">
        <v>1</v>
      </c>
      <c r="L138" t="s">
        <v>97</v>
      </c>
      <c r="M138" t="s">
        <v>98</v>
      </c>
      <c r="N138" t="s">
        <v>99</v>
      </c>
      <c r="O138">
        <f t="shared" si="32"/>
        <v>0</v>
      </c>
      <c r="P138">
        <f t="shared" si="33"/>
        <v>0</v>
      </c>
      <c r="Q138">
        <f t="shared" si="34"/>
        <v>0</v>
      </c>
      <c r="R138">
        <f t="shared" si="35"/>
        <v>1</v>
      </c>
      <c r="S138">
        <f t="shared" si="36"/>
        <v>0</v>
      </c>
      <c r="T138">
        <f t="shared" si="37"/>
        <v>0</v>
      </c>
      <c r="U138">
        <f t="shared" si="38"/>
        <v>0</v>
      </c>
      <c r="V138">
        <f t="shared" si="39"/>
        <v>0</v>
      </c>
      <c r="W138">
        <f t="shared" si="40"/>
        <v>0</v>
      </c>
      <c r="X138">
        <f t="shared" si="41"/>
        <v>0</v>
      </c>
      <c r="Y138">
        <f t="shared" si="42"/>
        <v>0</v>
      </c>
      <c r="Z138">
        <f t="shared" si="43"/>
        <v>0</v>
      </c>
      <c r="AA138">
        <f t="shared" si="44"/>
        <v>0</v>
      </c>
      <c r="AB138">
        <f t="shared" si="45"/>
        <v>0</v>
      </c>
      <c r="AC138">
        <f t="shared" si="46"/>
        <v>0</v>
      </c>
      <c r="AD138">
        <f t="shared" si="47"/>
        <v>0</v>
      </c>
      <c r="AE138">
        <v>96.8</v>
      </c>
      <c r="AF138">
        <v>2.0299999999999998</v>
      </c>
      <c r="AG138">
        <v>6.58</v>
      </c>
      <c r="AH138" t="s">
        <v>108</v>
      </c>
      <c r="AI138" t="s">
        <v>97</v>
      </c>
      <c r="AJ138" t="s">
        <v>97</v>
      </c>
      <c r="AK138" t="s">
        <v>97</v>
      </c>
      <c r="AL138" t="s">
        <v>97</v>
      </c>
      <c r="AM138">
        <v>3</v>
      </c>
      <c r="AN138" t="s">
        <v>109</v>
      </c>
      <c r="AO138" t="s">
        <v>164</v>
      </c>
      <c r="AP138" t="s">
        <v>103</v>
      </c>
      <c r="AQ138" t="s">
        <v>103</v>
      </c>
      <c r="AR138" t="s">
        <v>165</v>
      </c>
      <c r="AS138" t="s">
        <v>104</v>
      </c>
      <c r="AT138" t="s">
        <v>110</v>
      </c>
      <c r="AU138" t="s">
        <v>97</v>
      </c>
      <c r="AV138" t="s">
        <v>97</v>
      </c>
      <c r="AW138">
        <v>0.26</v>
      </c>
      <c r="AX138">
        <v>1.64</v>
      </c>
      <c r="AY138">
        <v>0.78</v>
      </c>
      <c r="AZ138">
        <v>2.72</v>
      </c>
      <c r="BA138" t="s">
        <v>97</v>
      </c>
      <c r="BB138" t="s">
        <v>97</v>
      </c>
      <c r="BC138" t="s">
        <v>97</v>
      </c>
      <c r="BD138">
        <v>0</v>
      </c>
      <c r="BE138" t="s">
        <v>97</v>
      </c>
      <c r="BF138" t="s">
        <v>97</v>
      </c>
      <c r="BG138" t="s">
        <v>97</v>
      </c>
      <c r="BH138" t="s">
        <v>97</v>
      </c>
      <c r="BI138">
        <v>666163</v>
      </c>
      <c r="BJ138">
        <v>666163</v>
      </c>
      <c r="BK138" t="s">
        <v>97</v>
      </c>
      <c r="BL138" t="s">
        <v>97</v>
      </c>
      <c r="BM138">
        <v>-3.9422752769999998</v>
      </c>
      <c r="BN138">
        <v>-140.75146849999999</v>
      </c>
      <c r="BO138">
        <v>-8.5475790580000002</v>
      </c>
      <c r="BP138">
        <v>4.2936992509999996</v>
      </c>
      <c r="BQ138">
        <v>31.634388319999999</v>
      </c>
      <c r="BR138">
        <v>-8.6068060749999997</v>
      </c>
      <c r="BS138">
        <v>3.2</v>
      </c>
      <c r="BT138">
        <v>1.48</v>
      </c>
      <c r="BU138" t="s">
        <v>97</v>
      </c>
      <c r="BV138" t="s">
        <v>97</v>
      </c>
      <c r="BW138" t="s">
        <v>97</v>
      </c>
      <c r="BX138">
        <v>97.5</v>
      </c>
      <c r="BY138">
        <v>2565</v>
      </c>
      <c r="BZ138">
        <v>6.7</v>
      </c>
      <c r="CA138">
        <v>813052</v>
      </c>
      <c r="CB138">
        <v>666163</v>
      </c>
      <c r="CC138">
        <v>666163</v>
      </c>
      <c r="CD138">
        <v>518692</v>
      </c>
      <c r="CE138">
        <v>669242</v>
      </c>
      <c r="CF138">
        <v>500743</v>
      </c>
      <c r="CG138">
        <v>605141</v>
      </c>
      <c r="CH138">
        <v>571771</v>
      </c>
      <c r="CI138">
        <v>681624</v>
      </c>
      <c r="CJ138">
        <v>606192</v>
      </c>
      <c r="CK138">
        <v>53.81</v>
      </c>
      <c r="CL138" t="s">
        <v>97</v>
      </c>
      <c r="CM138" t="s">
        <v>97</v>
      </c>
      <c r="CN138" t="s">
        <v>97</v>
      </c>
      <c r="CO138" t="s">
        <v>97</v>
      </c>
      <c r="CP138" t="s">
        <v>97</v>
      </c>
      <c r="CQ138" t="s">
        <v>97</v>
      </c>
      <c r="CR138" t="s">
        <v>97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 t="s">
        <v>168</v>
      </c>
      <c r="DB138" t="s">
        <v>107</v>
      </c>
      <c r="DC138">
        <v>156</v>
      </c>
      <c r="DD138">
        <v>0</v>
      </c>
      <c r="DE138">
        <v>-3.9E-2</v>
      </c>
      <c r="DF138" t="s">
        <v>97</v>
      </c>
      <c r="DG138" t="s">
        <v>97</v>
      </c>
    </row>
    <row r="139" spans="1:111" x14ac:dyDescent="0.2">
      <c r="A139">
        <v>2025</v>
      </c>
      <c r="B139" s="1">
        <v>45936</v>
      </c>
      <c r="C139" t="s">
        <v>95</v>
      </c>
      <c r="D139">
        <v>605483</v>
      </c>
      <c r="E139">
        <v>656941</v>
      </c>
      <c r="F139">
        <v>0</v>
      </c>
      <c r="G139">
        <v>1</v>
      </c>
      <c r="H139">
        <v>4</v>
      </c>
      <c r="I139" t="s">
        <v>163</v>
      </c>
      <c r="J139">
        <v>26</v>
      </c>
      <c r="K139">
        <v>2</v>
      </c>
      <c r="L139" t="s">
        <v>97</v>
      </c>
      <c r="M139" t="s">
        <v>138</v>
      </c>
      <c r="N139" t="s">
        <v>139</v>
      </c>
      <c r="O139">
        <f t="shared" si="32"/>
        <v>0</v>
      </c>
      <c r="P139">
        <f t="shared" si="33"/>
        <v>0</v>
      </c>
      <c r="Q139">
        <f t="shared" si="34"/>
        <v>0</v>
      </c>
      <c r="R139">
        <f t="shared" si="35"/>
        <v>0</v>
      </c>
      <c r="S139">
        <f t="shared" si="36"/>
        <v>0</v>
      </c>
      <c r="T139">
        <f t="shared" si="37"/>
        <v>0</v>
      </c>
      <c r="U139">
        <f t="shared" si="38"/>
        <v>0</v>
      </c>
      <c r="V139">
        <f t="shared" si="39"/>
        <v>0</v>
      </c>
      <c r="W139">
        <f t="shared" si="40"/>
        <v>0</v>
      </c>
      <c r="X139">
        <f t="shared" si="41"/>
        <v>0</v>
      </c>
      <c r="Y139">
        <f t="shared" si="42"/>
        <v>0</v>
      </c>
      <c r="Z139">
        <f t="shared" si="43"/>
        <v>0</v>
      </c>
      <c r="AA139">
        <f t="shared" si="44"/>
        <v>0</v>
      </c>
      <c r="AB139">
        <f t="shared" si="45"/>
        <v>0</v>
      </c>
      <c r="AC139">
        <f t="shared" si="46"/>
        <v>1</v>
      </c>
      <c r="AD139">
        <f t="shared" si="47"/>
        <v>0</v>
      </c>
      <c r="AE139">
        <v>89.1</v>
      </c>
      <c r="AF139">
        <v>2.08</v>
      </c>
      <c r="AG139">
        <v>6.62</v>
      </c>
      <c r="AH139" t="s">
        <v>108</v>
      </c>
      <c r="AI139" t="s">
        <v>97</v>
      </c>
      <c r="AJ139" t="s">
        <v>97</v>
      </c>
      <c r="AK139" t="s">
        <v>97</v>
      </c>
      <c r="AL139" t="s">
        <v>97</v>
      </c>
      <c r="AM139">
        <v>4</v>
      </c>
      <c r="AN139" t="s">
        <v>109</v>
      </c>
      <c r="AO139" t="s">
        <v>164</v>
      </c>
      <c r="AP139" t="s">
        <v>103</v>
      </c>
      <c r="AQ139" t="s">
        <v>103</v>
      </c>
      <c r="AR139" t="s">
        <v>165</v>
      </c>
      <c r="AS139" t="s">
        <v>104</v>
      </c>
      <c r="AT139" t="s">
        <v>110</v>
      </c>
      <c r="AU139" t="s">
        <v>97</v>
      </c>
      <c r="AV139" t="s">
        <v>97</v>
      </c>
      <c r="AW139">
        <v>-0.15</v>
      </c>
      <c r="AX139">
        <v>1</v>
      </c>
      <c r="AY139">
        <v>-0.81</v>
      </c>
      <c r="AZ139">
        <v>2.09</v>
      </c>
      <c r="BA139" t="s">
        <v>97</v>
      </c>
      <c r="BB139" t="s">
        <v>97</v>
      </c>
      <c r="BC139" t="s">
        <v>97</v>
      </c>
      <c r="BD139">
        <v>0</v>
      </c>
      <c r="BE139" t="s">
        <v>97</v>
      </c>
      <c r="BF139" t="s">
        <v>97</v>
      </c>
      <c r="BG139" t="s">
        <v>97</v>
      </c>
      <c r="BH139" t="s">
        <v>97</v>
      </c>
      <c r="BI139">
        <v>666163</v>
      </c>
      <c r="BJ139">
        <v>666163</v>
      </c>
      <c r="BK139" t="s">
        <v>97</v>
      </c>
      <c r="BL139" t="s">
        <v>97</v>
      </c>
      <c r="BM139">
        <v>-6.8152510179999997</v>
      </c>
      <c r="BN139">
        <v>-129.47553210000001</v>
      </c>
      <c r="BO139">
        <v>-7.2791435580000003</v>
      </c>
      <c r="BP139">
        <v>-0.34189605099999998</v>
      </c>
      <c r="BQ139">
        <v>24.897347199999999</v>
      </c>
      <c r="BR139">
        <v>-19.583407340000001</v>
      </c>
      <c r="BS139">
        <v>3.2</v>
      </c>
      <c r="BT139">
        <v>1.48</v>
      </c>
      <c r="BU139" t="s">
        <v>97</v>
      </c>
      <c r="BV139" t="s">
        <v>97</v>
      </c>
      <c r="BW139" t="s">
        <v>97</v>
      </c>
      <c r="BX139">
        <v>89.9</v>
      </c>
      <c r="BY139">
        <v>2433</v>
      </c>
      <c r="BZ139">
        <v>6.7</v>
      </c>
      <c r="CA139">
        <v>813052</v>
      </c>
      <c r="CB139">
        <v>666163</v>
      </c>
      <c r="CC139">
        <v>666163</v>
      </c>
      <c r="CD139">
        <v>518692</v>
      </c>
      <c r="CE139">
        <v>669242</v>
      </c>
      <c r="CF139">
        <v>500743</v>
      </c>
      <c r="CG139">
        <v>605141</v>
      </c>
      <c r="CH139">
        <v>571771</v>
      </c>
      <c r="CI139">
        <v>681624</v>
      </c>
      <c r="CJ139">
        <v>606192</v>
      </c>
      <c r="CK139">
        <v>53.84</v>
      </c>
      <c r="CL139" t="s">
        <v>97</v>
      </c>
      <c r="CM139" t="s">
        <v>97</v>
      </c>
      <c r="CN139" t="s">
        <v>97</v>
      </c>
      <c r="CO139" t="s">
        <v>97</v>
      </c>
      <c r="CP139" t="s">
        <v>97</v>
      </c>
      <c r="CQ139" t="s">
        <v>97</v>
      </c>
      <c r="CR139" t="s">
        <v>97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s">
        <v>168</v>
      </c>
      <c r="DB139" t="s">
        <v>107</v>
      </c>
      <c r="DC139">
        <v>173</v>
      </c>
      <c r="DD139">
        <v>0</v>
      </c>
      <c r="DE139">
        <v>-5.5E-2</v>
      </c>
      <c r="DF139" t="s">
        <v>97</v>
      </c>
      <c r="DG139" t="s">
        <v>97</v>
      </c>
    </row>
    <row r="140" spans="1:111" x14ac:dyDescent="0.2">
      <c r="A140">
        <v>2025</v>
      </c>
      <c r="B140" s="1">
        <v>45936</v>
      </c>
      <c r="C140" t="s">
        <v>95</v>
      </c>
      <c r="D140">
        <v>605483</v>
      </c>
      <c r="E140">
        <v>656941</v>
      </c>
      <c r="F140">
        <v>0</v>
      </c>
      <c r="G140">
        <v>2</v>
      </c>
      <c r="H140">
        <v>4</v>
      </c>
      <c r="I140" t="s">
        <v>163</v>
      </c>
      <c r="J140">
        <v>26</v>
      </c>
      <c r="K140">
        <v>3</v>
      </c>
      <c r="L140" t="s">
        <v>97</v>
      </c>
      <c r="M140" t="s">
        <v>111</v>
      </c>
      <c r="N140" t="s">
        <v>112</v>
      </c>
      <c r="O140">
        <f t="shared" si="32"/>
        <v>0</v>
      </c>
      <c r="P140">
        <f t="shared" si="33"/>
        <v>0</v>
      </c>
      <c r="Q140">
        <f t="shared" si="34"/>
        <v>0</v>
      </c>
      <c r="R140">
        <f t="shared" si="35"/>
        <v>0</v>
      </c>
      <c r="S140">
        <f t="shared" si="36"/>
        <v>1</v>
      </c>
      <c r="T140">
        <f t="shared" si="37"/>
        <v>0</v>
      </c>
      <c r="U140">
        <f t="shared" si="38"/>
        <v>0</v>
      </c>
      <c r="V140">
        <f t="shared" si="39"/>
        <v>0</v>
      </c>
      <c r="W140">
        <f t="shared" si="40"/>
        <v>0</v>
      </c>
      <c r="X140">
        <f t="shared" si="41"/>
        <v>0</v>
      </c>
      <c r="Y140">
        <f t="shared" si="42"/>
        <v>0</v>
      </c>
      <c r="Z140">
        <f t="shared" si="43"/>
        <v>0</v>
      </c>
      <c r="AA140">
        <f t="shared" si="44"/>
        <v>0</v>
      </c>
      <c r="AB140">
        <f t="shared" si="45"/>
        <v>0</v>
      </c>
      <c r="AC140">
        <f t="shared" si="46"/>
        <v>0</v>
      </c>
      <c r="AD140">
        <f t="shared" si="47"/>
        <v>0</v>
      </c>
      <c r="AE140">
        <v>82.2</v>
      </c>
      <c r="AF140">
        <v>1.88</v>
      </c>
      <c r="AG140">
        <v>6.53</v>
      </c>
      <c r="AH140" t="s">
        <v>100</v>
      </c>
      <c r="AI140" t="s">
        <v>97</v>
      </c>
      <c r="AJ140" t="s">
        <v>97</v>
      </c>
      <c r="AK140" t="s">
        <v>97</v>
      </c>
      <c r="AL140" t="s">
        <v>97</v>
      </c>
      <c r="AM140">
        <v>13</v>
      </c>
      <c r="AN140" t="s">
        <v>101</v>
      </c>
      <c r="AO140" t="s">
        <v>164</v>
      </c>
      <c r="AP140" t="s">
        <v>103</v>
      </c>
      <c r="AQ140" t="s">
        <v>103</v>
      </c>
      <c r="AR140" t="s">
        <v>165</v>
      </c>
      <c r="AS140" t="s">
        <v>104</v>
      </c>
      <c r="AT140" t="s">
        <v>106</v>
      </c>
      <c r="AU140" t="s">
        <v>97</v>
      </c>
      <c r="AV140" t="s">
        <v>97</v>
      </c>
      <c r="AW140">
        <v>-0.81</v>
      </c>
      <c r="AX140">
        <v>-0.53</v>
      </c>
      <c r="AY140">
        <v>-0.49</v>
      </c>
      <c r="AZ140">
        <v>0.02</v>
      </c>
      <c r="BA140" t="s">
        <v>97</v>
      </c>
      <c r="BB140" t="s">
        <v>97</v>
      </c>
      <c r="BC140" t="s">
        <v>97</v>
      </c>
      <c r="BD140">
        <v>0</v>
      </c>
      <c r="BE140" t="s">
        <v>97</v>
      </c>
      <c r="BF140" t="s">
        <v>97</v>
      </c>
      <c r="BG140" t="s">
        <v>97</v>
      </c>
      <c r="BH140" t="s">
        <v>97</v>
      </c>
      <c r="BI140">
        <v>666163</v>
      </c>
      <c r="BJ140">
        <v>666163</v>
      </c>
      <c r="BK140" t="s">
        <v>97</v>
      </c>
      <c r="BL140" t="s">
        <v>97</v>
      </c>
      <c r="BM140">
        <v>-3.8354750100000001</v>
      </c>
      <c r="BN140">
        <v>-119.5717396</v>
      </c>
      <c r="BO140">
        <v>-7.1979864029999998</v>
      </c>
      <c r="BP140">
        <v>-6.9744257410000001</v>
      </c>
      <c r="BQ140">
        <v>24.311957509999999</v>
      </c>
      <c r="BR140">
        <v>-35.976695939999999</v>
      </c>
      <c r="BS140">
        <v>3.23</v>
      </c>
      <c r="BT140">
        <v>1.54</v>
      </c>
      <c r="BU140" t="s">
        <v>97</v>
      </c>
      <c r="BV140" t="s">
        <v>97</v>
      </c>
      <c r="BW140" t="s">
        <v>97</v>
      </c>
      <c r="BX140">
        <v>82.8</v>
      </c>
      <c r="BY140">
        <v>2602</v>
      </c>
      <c r="BZ140">
        <v>6.8</v>
      </c>
      <c r="CA140">
        <v>813052</v>
      </c>
      <c r="CB140">
        <v>666163</v>
      </c>
      <c r="CC140">
        <v>666163</v>
      </c>
      <c r="CD140">
        <v>518692</v>
      </c>
      <c r="CE140">
        <v>669242</v>
      </c>
      <c r="CF140">
        <v>500743</v>
      </c>
      <c r="CG140">
        <v>605141</v>
      </c>
      <c r="CH140">
        <v>571771</v>
      </c>
      <c r="CI140">
        <v>681624</v>
      </c>
      <c r="CJ140">
        <v>606192</v>
      </c>
      <c r="CK140">
        <v>53.69</v>
      </c>
      <c r="CL140" t="s">
        <v>97</v>
      </c>
      <c r="CM140" t="s">
        <v>97</v>
      </c>
      <c r="CN140" t="s">
        <v>97</v>
      </c>
      <c r="CO140" t="s">
        <v>97</v>
      </c>
      <c r="CP140" t="s">
        <v>97</v>
      </c>
      <c r="CQ140" t="s">
        <v>97</v>
      </c>
      <c r="CR140" t="s">
        <v>97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t="s">
        <v>115</v>
      </c>
      <c r="DB140" t="s">
        <v>107</v>
      </c>
      <c r="DC140">
        <v>329</v>
      </c>
      <c r="DD140">
        <v>0</v>
      </c>
      <c r="DE140">
        <v>2.4E-2</v>
      </c>
      <c r="DF140" t="s">
        <v>97</v>
      </c>
      <c r="DG140" t="s">
        <v>97</v>
      </c>
    </row>
    <row r="141" spans="1:111" x14ac:dyDescent="0.2">
      <c r="A141">
        <v>2025</v>
      </c>
      <c r="B141" s="1">
        <v>45936</v>
      </c>
      <c r="C141" t="s">
        <v>95</v>
      </c>
      <c r="D141">
        <v>605483</v>
      </c>
      <c r="E141">
        <v>656941</v>
      </c>
      <c r="F141">
        <v>1</v>
      </c>
      <c r="G141">
        <v>2</v>
      </c>
      <c r="H141">
        <v>4</v>
      </c>
      <c r="I141" t="s">
        <v>163</v>
      </c>
      <c r="J141">
        <v>26</v>
      </c>
      <c r="K141">
        <v>4</v>
      </c>
      <c r="L141" t="s">
        <v>97</v>
      </c>
      <c r="M141" t="s">
        <v>111</v>
      </c>
      <c r="N141" t="s">
        <v>112</v>
      </c>
      <c r="O141">
        <f t="shared" si="32"/>
        <v>0</v>
      </c>
      <c r="P141">
        <f t="shared" si="33"/>
        <v>0</v>
      </c>
      <c r="Q141">
        <f t="shared" si="34"/>
        <v>0</v>
      </c>
      <c r="R141">
        <f t="shared" si="35"/>
        <v>0</v>
      </c>
      <c r="S141">
        <f t="shared" si="36"/>
        <v>0</v>
      </c>
      <c r="T141">
        <f t="shared" si="37"/>
        <v>0</v>
      </c>
      <c r="U141">
        <f t="shared" si="38"/>
        <v>0</v>
      </c>
      <c r="V141">
        <f t="shared" si="39"/>
        <v>1</v>
      </c>
      <c r="W141">
        <f t="shared" si="40"/>
        <v>0</v>
      </c>
      <c r="X141">
        <f t="shared" si="41"/>
        <v>0</v>
      </c>
      <c r="Y141">
        <f t="shared" si="42"/>
        <v>0</v>
      </c>
      <c r="Z141">
        <f t="shared" si="43"/>
        <v>0</v>
      </c>
      <c r="AA141">
        <f t="shared" si="44"/>
        <v>0</v>
      </c>
      <c r="AB141">
        <f t="shared" si="45"/>
        <v>0</v>
      </c>
      <c r="AC141">
        <f t="shared" si="46"/>
        <v>0</v>
      </c>
      <c r="AD141">
        <f t="shared" si="47"/>
        <v>0</v>
      </c>
      <c r="AE141">
        <v>82.1</v>
      </c>
      <c r="AF141">
        <v>1.95</v>
      </c>
      <c r="AG141">
        <v>6.62</v>
      </c>
      <c r="AH141" t="s">
        <v>100</v>
      </c>
      <c r="AI141" t="s">
        <v>97</v>
      </c>
      <c r="AJ141" t="s">
        <v>97</v>
      </c>
      <c r="AK141" t="s">
        <v>97</v>
      </c>
      <c r="AL141" t="s">
        <v>97</v>
      </c>
      <c r="AM141">
        <v>14</v>
      </c>
      <c r="AN141" t="s">
        <v>101</v>
      </c>
      <c r="AO141" t="s">
        <v>164</v>
      </c>
      <c r="AP141" t="s">
        <v>103</v>
      </c>
      <c r="AQ141" t="s">
        <v>103</v>
      </c>
      <c r="AR141" t="s">
        <v>165</v>
      </c>
      <c r="AS141" t="s">
        <v>104</v>
      </c>
      <c r="AT141" t="s">
        <v>106</v>
      </c>
      <c r="AU141" t="s">
        <v>97</v>
      </c>
      <c r="AV141" t="s">
        <v>97</v>
      </c>
      <c r="AW141">
        <v>-0.99</v>
      </c>
      <c r="AX141">
        <v>-0.66</v>
      </c>
      <c r="AY141">
        <v>0.16</v>
      </c>
      <c r="AZ141">
        <v>0.28999999999999998</v>
      </c>
      <c r="BA141" t="s">
        <v>97</v>
      </c>
      <c r="BB141" t="s">
        <v>97</v>
      </c>
      <c r="BC141" t="s">
        <v>97</v>
      </c>
      <c r="BD141">
        <v>0</v>
      </c>
      <c r="BE141" t="s">
        <v>97</v>
      </c>
      <c r="BF141" t="s">
        <v>97</v>
      </c>
      <c r="BG141" t="s">
        <v>97</v>
      </c>
      <c r="BH141" t="s">
        <v>97</v>
      </c>
      <c r="BI141">
        <v>666163</v>
      </c>
      <c r="BJ141">
        <v>666163</v>
      </c>
      <c r="BK141" t="s">
        <v>97</v>
      </c>
      <c r="BL141" t="s">
        <v>97</v>
      </c>
      <c r="BM141">
        <v>-2.1369141869999999</v>
      </c>
      <c r="BN141">
        <v>-119.3811953</v>
      </c>
      <c r="BO141">
        <v>-6.4417583870000001</v>
      </c>
      <c r="BP141">
        <v>-8.8763605759999997</v>
      </c>
      <c r="BQ141">
        <v>26.551388790000001</v>
      </c>
      <c r="BR141">
        <v>-37.214194380000002</v>
      </c>
      <c r="BS141">
        <v>3.11</v>
      </c>
      <c r="BT141">
        <v>1.41</v>
      </c>
      <c r="BU141" t="s">
        <v>97</v>
      </c>
      <c r="BV141" t="s">
        <v>97</v>
      </c>
      <c r="BW141" t="s">
        <v>97</v>
      </c>
      <c r="BX141">
        <v>82.2</v>
      </c>
      <c r="BY141">
        <v>2598</v>
      </c>
      <c r="BZ141">
        <v>6.7</v>
      </c>
      <c r="CA141">
        <v>813052</v>
      </c>
      <c r="CB141">
        <v>666163</v>
      </c>
      <c r="CC141">
        <v>666163</v>
      </c>
      <c r="CD141">
        <v>518692</v>
      </c>
      <c r="CE141">
        <v>669242</v>
      </c>
      <c r="CF141">
        <v>500743</v>
      </c>
      <c r="CG141">
        <v>605141</v>
      </c>
      <c r="CH141">
        <v>571771</v>
      </c>
      <c r="CI141">
        <v>681624</v>
      </c>
      <c r="CJ141">
        <v>606192</v>
      </c>
      <c r="CK141">
        <v>53.77</v>
      </c>
      <c r="CL141" t="s">
        <v>97</v>
      </c>
      <c r="CM141" t="s">
        <v>97</v>
      </c>
      <c r="CN141" t="s">
        <v>97</v>
      </c>
      <c r="CO141" t="s">
        <v>97</v>
      </c>
      <c r="CP141" t="s">
        <v>97</v>
      </c>
      <c r="CQ141" t="s">
        <v>97</v>
      </c>
      <c r="CR141" t="s">
        <v>97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 t="s">
        <v>115</v>
      </c>
      <c r="DB141" t="s">
        <v>107</v>
      </c>
      <c r="DC141">
        <v>326</v>
      </c>
      <c r="DD141">
        <v>0</v>
      </c>
      <c r="DE141">
        <v>4.2999999999999997E-2</v>
      </c>
      <c r="DF141" t="s">
        <v>97</v>
      </c>
      <c r="DG141" t="s">
        <v>97</v>
      </c>
    </row>
    <row r="142" spans="1:111" x14ac:dyDescent="0.2">
      <c r="A142">
        <v>2025</v>
      </c>
      <c r="B142" s="1">
        <v>45936</v>
      </c>
      <c r="C142" t="s">
        <v>95</v>
      </c>
      <c r="D142">
        <v>605483</v>
      </c>
      <c r="E142">
        <v>656941</v>
      </c>
      <c r="F142">
        <v>2</v>
      </c>
      <c r="G142">
        <v>2</v>
      </c>
      <c r="H142">
        <v>4</v>
      </c>
      <c r="I142" t="s">
        <v>163</v>
      </c>
      <c r="J142">
        <v>26</v>
      </c>
      <c r="K142">
        <v>5</v>
      </c>
      <c r="L142" t="s">
        <v>116</v>
      </c>
      <c r="M142" t="s">
        <v>138</v>
      </c>
      <c r="N142" t="s">
        <v>139</v>
      </c>
      <c r="O142">
        <f t="shared" si="32"/>
        <v>0</v>
      </c>
      <c r="P142">
        <f t="shared" si="33"/>
        <v>0</v>
      </c>
      <c r="Q142">
        <f t="shared" si="34"/>
        <v>0</v>
      </c>
      <c r="R142">
        <f t="shared" si="35"/>
        <v>0</v>
      </c>
      <c r="S142">
        <f t="shared" si="36"/>
        <v>0</v>
      </c>
      <c r="T142">
        <f t="shared" si="37"/>
        <v>0</v>
      </c>
      <c r="U142">
        <f t="shared" si="38"/>
        <v>0</v>
      </c>
      <c r="V142">
        <f t="shared" si="39"/>
        <v>0</v>
      </c>
      <c r="W142">
        <f t="shared" si="40"/>
        <v>0</v>
      </c>
      <c r="X142">
        <f t="shared" si="41"/>
        <v>0</v>
      </c>
      <c r="Y142">
        <f t="shared" si="42"/>
        <v>0</v>
      </c>
      <c r="Z142">
        <f t="shared" si="43"/>
        <v>0</v>
      </c>
      <c r="AA142">
        <f t="shared" si="44"/>
        <v>0</v>
      </c>
      <c r="AB142">
        <f t="shared" si="45"/>
        <v>1</v>
      </c>
      <c r="AC142">
        <f t="shared" si="46"/>
        <v>0</v>
      </c>
      <c r="AD142">
        <f t="shared" si="47"/>
        <v>0</v>
      </c>
      <c r="AE142">
        <v>88.1</v>
      </c>
      <c r="AF142">
        <v>1.98</v>
      </c>
      <c r="AG142">
        <v>6.59</v>
      </c>
      <c r="AH142" t="s">
        <v>113</v>
      </c>
      <c r="AI142" t="s">
        <v>97</v>
      </c>
      <c r="AJ142" t="s">
        <v>97</v>
      </c>
      <c r="AK142" t="s">
        <v>97</v>
      </c>
      <c r="AL142" t="s">
        <v>97</v>
      </c>
      <c r="AM142">
        <v>7</v>
      </c>
      <c r="AN142" t="s">
        <v>178</v>
      </c>
      <c r="AO142" t="s">
        <v>164</v>
      </c>
      <c r="AP142" t="s">
        <v>103</v>
      </c>
      <c r="AQ142" t="s">
        <v>103</v>
      </c>
      <c r="AR142" t="s">
        <v>165</v>
      </c>
      <c r="AS142" t="s">
        <v>104</v>
      </c>
      <c r="AT142" t="s">
        <v>110</v>
      </c>
      <c r="AU142">
        <v>2</v>
      </c>
      <c r="AV142" t="s">
        <v>97</v>
      </c>
      <c r="AW142">
        <v>-0.37</v>
      </c>
      <c r="AX142">
        <v>0.83</v>
      </c>
      <c r="AY142">
        <v>-0.75</v>
      </c>
      <c r="AZ142">
        <v>1.96</v>
      </c>
      <c r="BA142" t="s">
        <v>97</v>
      </c>
      <c r="BB142" t="s">
        <v>97</v>
      </c>
      <c r="BC142" t="s">
        <v>97</v>
      </c>
      <c r="BD142">
        <v>0</v>
      </c>
      <c r="BE142" t="s">
        <v>97</v>
      </c>
      <c r="BF142" t="s">
        <v>97</v>
      </c>
      <c r="BG142" t="s">
        <v>97</v>
      </c>
      <c r="BH142" t="s">
        <v>97</v>
      </c>
      <c r="BI142">
        <v>666163</v>
      </c>
      <c r="BJ142">
        <v>666163</v>
      </c>
      <c r="BK142" t="s">
        <v>97</v>
      </c>
      <c r="BL142" t="s">
        <v>97</v>
      </c>
      <c r="BM142">
        <v>-5.8999435609999997</v>
      </c>
      <c r="BN142">
        <v>-128.0925862</v>
      </c>
      <c r="BO142">
        <v>-6.8986355140000004</v>
      </c>
      <c r="BP142">
        <v>-2.862472898</v>
      </c>
      <c r="BQ142">
        <v>26.57219293</v>
      </c>
      <c r="BR142">
        <v>-21.756833919999998</v>
      </c>
      <c r="BS142">
        <v>3.28</v>
      </c>
      <c r="BT142">
        <v>1.51</v>
      </c>
      <c r="BU142" t="s">
        <v>97</v>
      </c>
      <c r="BV142" t="s">
        <v>97</v>
      </c>
      <c r="BW142" t="s">
        <v>97</v>
      </c>
      <c r="BX142">
        <v>88.5</v>
      </c>
      <c r="BY142">
        <v>2348</v>
      </c>
      <c r="BZ142">
        <v>6.6</v>
      </c>
      <c r="CA142">
        <v>813052</v>
      </c>
      <c r="CB142">
        <v>666163</v>
      </c>
      <c r="CC142">
        <v>666163</v>
      </c>
      <c r="CD142">
        <v>518692</v>
      </c>
      <c r="CE142">
        <v>669242</v>
      </c>
      <c r="CF142">
        <v>500743</v>
      </c>
      <c r="CG142">
        <v>605141</v>
      </c>
      <c r="CH142">
        <v>571771</v>
      </c>
      <c r="CI142">
        <v>681624</v>
      </c>
      <c r="CJ142">
        <v>606192</v>
      </c>
      <c r="CK142">
        <v>53.89</v>
      </c>
      <c r="CL142" t="s">
        <v>97</v>
      </c>
      <c r="CM142">
        <v>0</v>
      </c>
      <c r="CN142">
        <v>0</v>
      </c>
      <c r="CO142">
        <v>1</v>
      </c>
      <c r="CP142">
        <v>0</v>
      </c>
      <c r="CQ142">
        <v>0</v>
      </c>
      <c r="CR142" t="s">
        <v>97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 t="s">
        <v>115</v>
      </c>
      <c r="DB142" t="s">
        <v>107</v>
      </c>
      <c r="DC142">
        <v>170</v>
      </c>
      <c r="DD142">
        <v>-2.7E-2</v>
      </c>
      <c r="DE142">
        <v>-0.23200000000000001</v>
      </c>
      <c r="DF142">
        <v>73</v>
      </c>
      <c r="DG142">
        <v>9</v>
      </c>
    </row>
    <row r="143" spans="1:111" x14ac:dyDescent="0.2">
      <c r="A143">
        <v>2025</v>
      </c>
      <c r="B143" s="1">
        <v>45936</v>
      </c>
      <c r="C143" t="s">
        <v>95</v>
      </c>
      <c r="D143">
        <v>605483</v>
      </c>
      <c r="E143">
        <v>547180</v>
      </c>
      <c r="F143">
        <v>0</v>
      </c>
      <c r="G143">
        <v>0</v>
      </c>
      <c r="H143">
        <v>4</v>
      </c>
      <c r="I143" t="s">
        <v>163</v>
      </c>
      <c r="J143">
        <v>27</v>
      </c>
      <c r="K143">
        <v>1</v>
      </c>
      <c r="L143" t="s">
        <v>97</v>
      </c>
      <c r="M143" t="s">
        <v>98</v>
      </c>
      <c r="N143" t="s">
        <v>99</v>
      </c>
      <c r="O143">
        <f t="shared" si="32"/>
        <v>0</v>
      </c>
      <c r="P143">
        <f t="shared" si="33"/>
        <v>0</v>
      </c>
      <c r="Q143">
        <f t="shared" si="34"/>
        <v>0</v>
      </c>
      <c r="R143">
        <f t="shared" si="35"/>
        <v>1</v>
      </c>
      <c r="S143">
        <f t="shared" si="36"/>
        <v>0</v>
      </c>
      <c r="T143">
        <f t="shared" si="37"/>
        <v>0</v>
      </c>
      <c r="U143">
        <f t="shared" si="38"/>
        <v>0</v>
      </c>
      <c r="V143">
        <f t="shared" si="39"/>
        <v>0</v>
      </c>
      <c r="W143">
        <f t="shared" si="40"/>
        <v>0</v>
      </c>
      <c r="X143">
        <f t="shared" si="41"/>
        <v>0</v>
      </c>
      <c r="Y143">
        <f t="shared" si="42"/>
        <v>0</v>
      </c>
      <c r="Z143">
        <f t="shared" si="43"/>
        <v>0</v>
      </c>
      <c r="AA143">
        <f t="shared" si="44"/>
        <v>0</v>
      </c>
      <c r="AB143">
        <f t="shared" si="45"/>
        <v>0</v>
      </c>
      <c r="AC143">
        <f t="shared" si="46"/>
        <v>0</v>
      </c>
      <c r="AD143">
        <f t="shared" si="47"/>
        <v>0</v>
      </c>
      <c r="AE143">
        <v>96.6</v>
      </c>
      <c r="AF143">
        <v>2.12</v>
      </c>
      <c r="AG143">
        <v>6.53</v>
      </c>
      <c r="AH143" t="s">
        <v>100</v>
      </c>
      <c r="AI143" t="s">
        <v>97</v>
      </c>
      <c r="AJ143" t="s">
        <v>97</v>
      </c>
      <c r="AK143" t="s">
        <v>97</v>
      </c>
      <c r="AL143" t="s">
        <v>97</v>
      </c>
      <c r="AM143">
        <v>12</v>
      </c>
      <c r="AN143" t="s">
        <v>101</v>
      </c>
      <c r="AO143" t="s">
        <v>164</v>
      </c>
      <c r="AP143" t="s">
        <v>103</v>
      </c>
      <c r="AQ143" t="s">
        <v>103</v>
      </c>
      <c r="AR143" t="s">
        <v>165</v>
      </c>
      <c r="AS143" t="s">
        <v>104</v>
      </c>
      <c r="AT143" t="s">
        <v>106</v>
      </c>
      <c r="AU143" t="s">
        <v>97</v>
      </c>
      <c r="AV143" t="s">
        <v>97</v>
      </c>
      <c r="AW143">
        <v>0.43</v>
      </c>
      <c r="AX143">
        <v>1.25</v>
      </c>
      <c r="AY143">
        <v>1.87</v>
      </c>
      <c r="AZ143">
        <v>2.87</v>
      </c>
      <c r="BA143" t="s">
        <v>97</v>
      </c>
      <c r="BB143" t="s">
        <v>97</v>
      </c>
      <c r="BC143" t="s">
        <v>97</v>
      </c>
      <c r="BD143">
        <v>1</v>
      </c>
      <c r="BE143" t="s">
        <v>97</v>
      </c>
      <c r="BF143" t="s">
        <v>97</v>
      </c>
      <c r="BG143" t="s">
        <v>97</v>
      </c>
      <c r="BH143" t="s">
        <v>97</v>
      </c>
      <c r="BI143">
        <v>666163</v>
      </c>
      <c r="BJ143">
        <v>666163</v>
      </c>
      <c r="BK143" t="s">
        <v>97</v>
      </c>
      <c r="BL143" t="s">
        <v>97</v>
      </c>
      <c r="BM143">
        <v>-1.6750048740000001</v>
      </c>
      <c r="BN143">
        <v>-140.55294799999999</v>
      </c>
      <c r="BO143">
        <v>-7.0755856350000004</v>
      </c>
      <c r="BP143">
        <v>6.0982279229999996</v>
      </c>
      <c r="BQ143">
        <v>33.228776660000001</v>
      </c>
      <c r="BR143">
        <v>-14.188766060000001</v>
      </c>
      <c r="BS143">
        <v>3.27</v>
      </c>
      <c r="BT143">
        <v>1.72</v>
      </c>
      <c r="BU143" t="s">
        <v>97</v>
      </c>
      <c r="BV143" t="s">
        <v>97</v>
      </c>
      <c r="BW143" t="s">
        <v>97</v>
      </c>
      <c r="BX143">
        <v>97.3</v>
      </c>
      <c r="BY143">
        <v>2492</v>
      </c>
      <c r="BZ143">
        <v>6.8</v>
      </c>
      <c r="CA143">
        <v>813052</v>
      </c>
      <c r="CB143">
        <v>666163</v>
      </c>
      <c r="CC143">
        <v>666163</v>
      </c>
      <c r="CD143">
        <v>518692</v>
      </c>
      <c r="CE143">
        <v>669242</v>
      </c>
      <c r="CF143">
        <v>500743</v>
      </c>
      <c r="CG143">
        <v>605141</v>
      </c>
      <c r="CH143">
        <v>571771</v>
      </c>
      <c r="CI143">
        <v>681624</v>
      </c>
      <c r="CJ143">
        <v>606192</v>
      </c>
      <c r="CK143">
        <v>53.69</v>
      </c>
      <c r="CL143" t="s">
        <v>97</v>
      </c>
      <c r="CM143" t="s">
        <v>97</v>
      </c>
      <c r="CN143" t="s">
        <v>97</v>
      </c>
      <c r="CO143" t="s">
        <v>97</v>
      </c>
      <c r="CP143" t="s">
        <v>97</v>
      </c>
      <c r="CQ143" t="s">
        <v>97</v>
      </c>
      <c r="CR143" t="s">
        <v>97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 t="s">
        <v>107</v>
      </c>
      <c r="DB143" t="s">
        <v>107</v>
      </c>
      <c r="DC143">
        <v>154</v>
      </c>
      <c r="DD143">
        <v>0</v>
      </c>
      <c r="DE143">
        <v>3.9E-2</v>
      </c>
      <c r="DF143" t="s">
        <v>97</v>
      </c>
      <c r="DG143" t="s">
        <v>97</v>
      </c>
    </row>
    <row r="144" spans="1:111" x14ac:dyDescent="0.2">
      <c r="A144">
        <v>2025</v>
      </c>
      <c r="B144" s="1">
        <v>45936</v>
      </c>
      <c r="C144" t="s">
        <v>95</v>
      </c>
      <c r="D144">
        <v>605483</v>
      </c>
      <c r="E144">
        <v>547180</v>
      </c>
      <c r="F144">
        <v>1</v>
      </c>
      <c r="G144">
        <v>0</v>
      </c>
      <c r="H144">
        <v>4</v>
      </c>
      <c r="I144" t="s">
        <v>163</v>
      </c>
      <c r="J144">
        <v>27</v>
      </c>
      <c r="K144">
        <v>2</v>
      </c>
      <c r="L144" t="s">
        <v>119</v>
      </c>
      <c r="M144" t="s">
        <v>138</v>
      </c>
      <c r="N144" t="s">
        <v>139</v>
      </c>
      <c r="O144">
        <f t="shared" si="32"/>
        <v>0</v>
      </c>
      <c r="P144">
        <f t="shared" si="33"/>
        <v>0</v>
      </c>
      <c r="Q144">
        <f t="shared" si="34"/>
        <v>0</v>
      </c>
      <c r="R144">
        <f t="shared" si="35"/>
        <v>0</v>
      </c>
      <c r="S144">
        <f t="shared" si="36"/>
        <v>0</v>
      </c>
      <c r="T144">
        <f t="shared" si="37"/>
        <v>0</v>
      </c>
      <c r="U144">
        <f t="shared" si="38"/>
        <v>0</v>
      </c>
      <c r="V144">
        <f t="shared" si="39"/>
        <v>0</v>
      </c>
      <c r="W144">
        <f t="shared" si="40"/>
        <v>0</v>
      </c>
      <c r="X144">
        <f t="shared" si="41"/>
        <v>0</v>
      </c>
      <c r="Y144">
        <f t="shared" si="42"/>
        <v>0</v>
      </c>
      <c r="Z144">
        <f t="shared" si="43"/>
        <v>0</v>
      </c>
      <c r="AA144">
        <f t="shared" si="44"/>
        <v>0</v>
      </c>
      <c r="AB144">
        <f t="shared" si="45"/>
        <v>1</v>
      </c>
      <c r="AC144">
        <f t="shared" si="46"/>
        <v>0</v>
      </c>
      <c r="AD144">
        <f t="shared" si="47"/>
        <v>0</v>
      </c>
      <c r="AE144">
        <v>91.2</v>
      </c>
      <c r="AF144">
        <v>2.09</v>
      </c>
      <c r="AG144">
        <v>6.57</v>
      </c>
      <c r="AH144" t="s">
        <v>120</v>
      </c>
      <c r="AI144" t="s">
        <v>97</v>
      </c>
      <c r="AJ144" t="s">
        <v>97</v>
      </c>
      <c r="AK144" t="s">
        <v>97</v>
      </c>
      <c r="AL144" t="s">
        <v>97</v>
      </c>
      <c r="AM144">
        <v>7</v>
      </c>
      <c r="AN144" t="s">
        <v>179</v>
      </c>
      <c r="AO144" t="s">
        <v>164</v>
      </c>
      <c r="AP144" t="s">
        <v>103</v>
      </c>
      <c r="AQ144" t="s">
        <v>103</v>
      </c>
      <c r="AR144" t="s">
        <v>165</v>
      </c>
      <c r="AS144" t="s">
        <v>104</v>
      </c>
      <c r="AT144" t="s">
        <v>123</v>
      </c>
      <c r="AU144">
        <v>4</v>
      </c>
      <c r="AV144" t="s">
        <v>127</v>
      </c>
      <c r="AW144">
        <v>-0.02</v>
      </c>
      <c r="AX144">
        <v>1</v>
      </c>
      <c r="AY144">
        <v>-0.45</v>
      </c>
      <c r="AZ144">
        <v>1.89</v>
      </c>
      <c r="BA144" t="s">
        <v>97</v>
      </c>
      <c r="BB144" t="s">
        <v>97</v>
      </c>
      <c r="BC144" t="s">
        <v>97</v>
      </c>
      <c r="BD144">
        <v>1</v>
      </c>
      <c r="BE144">
        <v>145.19999999999999</v>
      </c>
      <c r="BF144">
        <v>149.35</v>
      </c>
      <c r="BG144" t="s">
        <v>97</v>
      </c>
      <c r="BH144" t="s">
        <v>97</v>
      </c>
      <c r="BI144">
        <v>666163</v>
      </c>
      <c r="BJ144">
        <v>666163</v>
      </c>
      <c r="BK144" t="s">
        <v>97</v>
      </c>
      <c r="BL144" t="s">
        <v>97</v>
      </c>
      <c r="BM144">
        <v>-6.3765387179999999</v>
      </c>
      <c r="BN144">
        <v>-132.51325</v>
      </c>
      <c r="BO144">
        <v>-8.0450143090000008</v>
      </c>
      <c r="BP144">
        <v>1.239841414</v>
      </c>
      <c r="BQ144">
        <v>29.691634560000001</v>
      </c>
      <c r="BR144">
        <v>-18.869509409999999</v>
      </c>
      <c r="BS144">
        <v>3.19</v>
      </c>
      <c r="BT144">
        <v>1.64</v>
      </c>
      <c r="BU144">
        <v>5</v>
      </c>
      <c r="BV144">
        <v>76.7</v>
      </c>
      <c r="BW144">
        <v>-22</v>
      </c>
      <c r="BX144">
        <v>91.7</v>
      </c>
      <c r="BY144">
        <v>2425</v>
      </c>
      <c r="BZ144">
        <v>6.8</v>
      </c>
      <c r="CA144">
        <v>813052</v>
      </c>
      <c r="CB144">
        <v>666163</v>
      </c>
      <c r="CC144">
        <v>666163</v>
      </c>
      <c r="CD144">
        <v>518692</v>
      </c>
      <c r="CE144">
        <v>669242</v>
      </c>
      <c r="CF144">
        <v>500743</v>
      </c>
      <c r="CG144">
        <v>605141</v>
      </c>
      <c r="CH144">
        <v>571771</v>
      </c>
      <c r="CI144">
        <v>681624</v>
      </c>
      <c r="CJ144">
        <v>606192</v>
      </c>
      <c r="CK144">
        <v>53.73</v>
      </c>
      <c r="CL144">
        <v>4.2999999999999997E-2</v>
      </c>
      <c r="CM144">
        <v>4.3999999999999997E-2</v>
      </c>
      <c r="CN144">
        <v>0</v>
      </c>
      <c r="CO144">
        <v>1</v>
      </c>
      <c r="CP144">
        <v>0</v>
      </c>
      <c r="CQ144">
        <v>0</v>
      </c>
      <c r="CR144">
        <v>2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 t="s">
        <v>107</v>
      </c>
      <c r="DB144" t="s">
        <v>107</v>
      </c>
      <c r="DC144">
        <v>166</v>
      </c>
      <c r="DD144">
        <v>-1.9E-2</v>
      </c>
      <c r="DE144">
        <v>-0.29299999999999998</v>
      </c>
      <c r="DF144">
        <v>77.3</v>
      </c>
      <c r="DG144">
        <v>7.5</v>
      </c>
    </row>
    <row r="145" spans="1:111" x14ac:dyDescent="0.2">
      <c r="A145">
        <v>2025</v>
      </c>
      <c r="B145" s="1">
        <v>45936</v>
      </c>
      <c r="C145" t="s">
        <v>95</v>
      </c>
      <c r="D145">
        <v>605483</v>
      </c>
      <c r="E145">
        <v>664761</v>
      </c>
      <c r="F145">
        <v>0</v>
      </c>
      <c r="G145">
        <v>0</v>
      </c>
      <c r="H145">
        <v>4</v>
      </c>
      <c r="I145" t="s">
        <v>163</v>
      </c>
      <c r="J145">
        <v>28</v>
      </c>
      <c r="K145">
        <v>1</v>
      </c>
      <c r="L145" t="s">
        <v>97</v>
      </c>
      <c r="M145" t="s">
        <v>98</v>
      </c>
      <c r="N145" t="s">
        <v>99</v>
      </c>
      <c r="O145">
        <f t="shared" si="32"/>
        <v>0</v>
      </c>
      <c r="P145">
        <f t="shared" si="33"/>
        <v>0</v>
      </c>
      <c r="Q145">
        <f t="shared" si="34"/>
        <v>1</v>
      </c>
      <c r="R145">
        <f t="shared" si="35"/>
        <v>0</v>
      </c>
      <c r="S145">
        <f t="shared" si="36"/>
        <v>0</v>
      </c>
      <c r="T145">
        <f t="shared" si="37"/>
        <v>0</v>
      </c>
      <c r="U145">
        <f t="shared" si="38"/>
        <v>0</v>
      </c>
      <c r="V145">
        <f t="shared" si="39"/>
        <v>0</v>
      </c>
      <c r="W145">
        <f t="shared" si="40"/>
        <v>0</v>
      </c>
      <c r="X145">
        <f t="shared" si="41"/>
        <v>0</v>
      </c>
      <c r="Y145">
        <f t="shared" si="42"/>
        <v>0</v>
      </c>
      <c r="Z145">
        <f t="shared" si="43"/>
        <v>0</v>
      </c>
      <c r="AA145">
        <f t="shared" si="44"/>
        <v>0</v>
      </c>
      <c r="AB145">
        <f t="shared" si="45"/>
        <v>0</v>
      </c>
      <c r="AC145">
        <f t="shared" si="46"/>
        <v>0</v>
      </c>
      <c r="AD145">
        <f t="shared" si="47"/>
        <v>0</v>
      </c>
      <c r="AE145">
        <v>96.8</v>
      </c>
      <c r="AF145">
        <v>2.0099999999999998</v>
      </c>
      <c r="AG145">
        <v>6.67</v>
      </c>
      <c r="AH145" t="s">
        <v>100</v>
      </c>
      <c r="AI145" t="s">
        <v>97</v>
      </c>
      <c r="AJ145" t="s">
        <v>97</v>
      </c>
      <c r="AK145" t="s">
        <v>97</v>
      </c>
      <c r="AL145" t="s">
        <v>97</v>
      </c>
      <c r="AM145">
        <v>11</v>
      </c>
      <c r="AN145" t="s">
        <v>101</v>
      </c>
      <c r="AO145" t="s">
        <v>164</v>
      </c>
      <c r="AP145" t="s">
        <v>122</v>
      </c>
      <c r="AQ145" t="s">
        <v>103</v>
      </c>
      <c r="AR145" t="s">
        <v>165</v>
      </c>
      <c r="AS145" t="s">
        <v>104</v>
      </c>
      <c r="AT145" t="s">
        <v>106</v>
      </c>
      <c r="AU145" t="s">
        <v>97</v>
      </c>
      <c r="AV145" t="s">
        <v>97</v>
      </c>
      <c r="AW145">
        <v>0.3</v>
      </c>
      <c r="AX145">
        <v>1.7</v>
      </c>
      <c r="AY145">
        <v>-0.16</v>
      </c>
      <c r="AZ145">
        <v>3.65</v>
      </c>
      <c r="BA145" t="s">
        <v>97</v>
      </c>
      <c r="BB145" t="s">
        <v>97</v>
      </c>
      <c r="BC145" t="s">
        <v>97</v>
      </c>
      <c r="BD145">
        <v>2</v>
      </c>
      <c r="BE145" t="s">
        <v>97</v>
      </c>
      <c r="BF145" t="s">
        <v>97</v>
      </c>
      <c r="BG145" t="s">
        <v>97</v>
      </c>
      <c r="BH145" t="s">
        <v>97</v>
      </c>
      <c r="BI145">
        <v>666163</v>
      </c>
      <c r="BJ145">
        <v>666163</v>
      </c>
      <c r="BK145" t="s">
        <v>97</v>
      </c>
      <c r="BL145" t="s">
        <v>97</v>
      </c>
      <c r="BM145">
        <v>-6.5351363469999999</v>
      </c>
      <c r="BN145">
        <v>-140.66083699999999</v>
      </c>
      <c r="BO145">
        <v>-6.357400631</v>
      </c>
      <c r="BP145">
        <v>5.6361405229999999</v>
      </c>
      <c r="BQ145">
        <v>34.976045360000001</v>
      </c>
      <c r="BR145">
        <v>-8.4058655590000004</v>
      </c>
      <c r="BS145">
        <v>3.46</v>
      </c>
      <c r="BT145">
        <v>1.49</v>
      </c>
      <c r="BU145" t="s">
        <v>97</v>
      </c>
      <c r="BV145" t="s">
        <v>97</v>
      </c>
      <c r="BW145" t="s">
        <v>97</v>
      </c>
      <c r="BX145">
        <v>97</v>
      </c>
      <c r="BY145">
        <v>2429</v>
      </c>
      <c r="BZ145">
        <v>6.7</v>
      </c>
      <c r="CA145">
        <v>813052</v>
      </c>
      <c r="CB145">
        <v>666163</v>
      </c>
      <c r="CC145">
        <v>666163</v>
      </c>
      <c r="CD145">
        <v>518692</v>
      </c>
      <c r="CE145">
        <v>669242</v>
      </c>
      <c r="CF145">
        <v>500743</v>
      </c>
      <c r="CG145">
        <v>605141</v>
      </c>
      <c r="CH145">
        <v>571771</v>
      </c>
      <c r="CI145">
        <v>681624</v>
      </c>
      <c r="CJ145">
        <v>606192</v>
      </c>
      <c r="CK145">
        <v>53.83</v>
      </c>
      <c r="CL145" t="s">
        <v>97</v>
      </c>
      <c r="CM145" t="s">
        <v>97</v>
      </c>
      <c r="CN145" t="s">
        <v>97</v>
      </c>
      <c r="CO145" t="s">
        <v>97</v>
      </c>
      <c r="CP145" t="s">
        <v>97</v>
      </c>
      <c r="CQ145" t="s">
        <v>97</v>
      </c>
      <c r="CR145" t="s">
        <v>97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 t="s">
        <v>107</v>
      </c>
      <c r="DB145" t="s">
        <v>107</v>
      </c>
      <c r="DC145">
        <v>160</v>
      </c>
      <c r="DD145">
        <v>0</v>
      </c>
      <c r="DE145">
        <v>3.6999999999999998E-2</v>
      </c>
      <c r="DF145" t="s">
        <v>97</v>
      </c>
      <c r="DG145" t="s">
        <v>97</v>
      </c>
    </row>
    <row r="146" spans="1:111" x14ac:dyDescent="0.2">
      <c r="A146">
        <v>2025</v>
      </c>
      <c r="B146" s="1">
        <v>45936</v>
      </c>
      <c r="C146" t="s">
        <v>95</v>
      </c>
      <c r="D146">
        <v>605483</v>
      </c>
      <c r="E146">
        <v>664761</v>
      </c>
      <c r="F146">
        <v>1</v>
      </c>
      <c r="G146">
        <v>0</v>
      </c>
      <c r="H146">
        <v>4</v>
      </c>
      <c r="I146" t="s">
        <v>163</v>
      </c>
      <c r="J146">
        <v>28</v>
      </c>
      <c r="K146">
        <v>2</v>
      </c>
      <c r="L146" t="s">
        <v>97</v>
      </c>
      <c r="M146" t="s">
        <v>132</v>
      </c>
      <c r="N146" t="s">
        <v>133</v>
      </c>
      <c r="O146">
        <f t="shared" si="32"/>
        <v>0</v>
      </c>
      <c r="P146">
        <f t="shared" si="33"/>
        <v>0</v>
      </c>
      <c r="Q146">
        <f t="shared" si="34"/>
        <v>0</v>
      </c>
      <c r="R146">
        <f t="shared" si="35"/>
        <v>0</v>
      </c>
      <c r="S146">
        <f t="shared" si="36"/>
        <v>0</v>
      </c>
      <c r="T146">
        <f t="shared" si="37"/>
        <v>0</v>
      </c>
      <c r="U146">
        <f t="shared" si="38"/>
        <v>0</v>
      </c>
      <c r="V146">
        <f t="shared" si="39"/>
        <v>0</v>
      </c>
      <c r="W146">
        <f t="shared" si="40"/>
        <v>0</v>
      </c>
      <c r="X146">
        <f t="shared" si="41"/>
        <v>0</v>
      </c>
      <c r="Y146">
        <f t="shared" si="42"/>
        <v>0</v>
      </c>
      <c r="Z146">
        <f t="shared" si="43"/>
        <v>1</v>
      </c>
      <c r="AA146">
        <f t="shared" si="44"/>
        <v>0</v>
      </c>
      <c r="AB146">
        <f t="shared" si="45"/>
        <v>0</v>
      </c>
      <c r="AC146">
        <f t="shared" si="46"/>
        <v>0</v>
      </c>
      <c r="AD146">
        <f t="shared" si="47"/>
        <v>0</v>
      </c>
      <c r="AE146">
        <v>87.2</v>
      </c>
      <c r="AF146">
        <v>2.19</v>
      </c>
      <c r="AG146">
        <v>6.42</v>
      </c>
      <c r="AH146" t="s">
        <v>129</v>
      </c>
      <c r="AI146" t="s">
        <v>97</v>
      </c>
      <c r="AJ146" t="s">
        <v>97</v>
      </c>
      <c r="AK146" t="s">
        <v>97</v>
      </c>
      <c r="AL146" t="s">
        <v>97</v>
      </c>
      <c r="AM146">
        <v>9</v>
      </c>
      <c r="AN146" t="s">
        <v>130</v>
      </c>
      <c r="AO146" t="s">
        <v>164</v>
      </c>
      <c r="AP146" t="s">
        <v>122</v>
      </c>
      <c r="AQ146" t="s">
        <v>103</v>
      </c>
      <c r="AR146" t="s">
        <v>165</v>
      </c>
      <c r="AS146" t="s">
        <v>104</v>
      </c>
      <c r="AT146" t="s">
        <v>110</v>
      </c>
      <c r="AU146" t="s">
        <v>97</v>
      </c>
      <c r="AV146" t="s">
        <v>97</v>
      </c>
      <c r="AW146">
        <v>0.86</v>
      </c>
      <c r="AX146">
        <v>1.3</v>
      </c>
      <c r="AY146">
        <v>0.37</v>
      </c>
      <c r="AZ146">
        <v>1.96</v>
      </c>
      <c r="BA146" t="s">
        <v>97</v>
      </c>
      <c r="BB146" t="s">
        <v>97</v>
      </c>
      <c r="BC146" t="s">
        <v>97</v>
      </c>
      <c r="BD146">
        <v>2</v>
      </c>
      <c r="BE146" t="s">
        <v>97</v>
      </c>
      <c r="BF146" t="s">
        <v>97</v>
      </c>
      <c r="BG146" t="s">
        <v>97</v>
      </c>
      <c r="BH146" t="s">
        <v>97</v>
      </c>
      <c r="BI146">
        <v>666163</v>
      </c>
      <c r="BJ146">
        <v>666163</v>
      </c>
      <c r="BK146" t="s">
        <v>97</v>
      </c>
      <c r="BL146" t="s">
        <v>97</v>
      </c>
      <c r="BM146">
        <v>-6.1966366070000003</v>
      </c>
      <c r="BN146">
        <v>-126.64405480000001</v>
      </c>
      <c r="BO146">
        <v>-7.2325203499999997</v>
      </c>
      <c r="BP146">
        <v>10.521252130000001</v>
      </c>
      <c r="BQ146">
        <v>26.468213909999999</v>
      </c>
      <c r="BR146">
        <v>-16.928736780000001</v>
      </c>
      <c r="BS146">
        <v>3.59</v>
      </c>
      <c r="BT146">
        <v>1.64</v>
      </c>
      <c r="BU146">
        <v>3</v>
      </c>
      <c r="BV146">
        <v>44.6</v>
      </c>
      <c r="BW146">
        <v>-34</v>
      </c>
      <c r="BX146">
        <v>87.7</v>
      </c>
      <c r="BY146">
        <v>1872</v>
      </c>
      <c r="BZ146">
        <v>6.8</v>
      </c>
      <c r="CA146">
        <v>813052</v>
      </c>
      <c r="CB146">
        <v>666163</v>
      </c>
      <c r="CC146">
        <v>666163</v>
      </c>
      <c r="CD146">
        <v>518692</v>
      </c>
      <c r="CE146">
        <v>669242</v>
      </c>
      <c r="CF146">
        <v>500743</v>
      </c>
      <c r="CG146">
        <v>605141</v>
      </c>
      <c r="CH146">
        <v>571771</v>
      </c>
      <c r="CI146">
        <v>681624</v>
      </c>
      <c r="CJ146">
        <v>606192</v>
      </c>
      <c r="CK146">
        <v>53.75</v>
      </c>
      <c r="CL146" t="s">
        <v>97</v>
      </c>
      <c r="CM146" t="s">
        <v>97</v>
      </c>
      <c r="CN146" t="s">
        <v>97</v>
      </c>
      <c r="CO146" t="s">
        <v>97</v>
      </c>
      <c r="CP146" t="s">
        <v>97</v>
      </c>
      <c r="CQ146" t="s">
        <v>97</v>
      </c>
      <c r="CR146" t="s">
        <v>97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 t="s">
        <v>107</v>
      </c>
      <c r="DB146" t="s">
        <v>107</v>
      </c>
      <c r="DC146">
        <v>126</v>
      </c>
      <c r="DD146">
        <v>0</v>
      </c>
      <c r="DE146">
        <v>-5.2999999999999999E-2</v>
      </c>
      <c r="DF146">
        <v>68.5</v>
      </c>
      <c r="DG146">
        <v>8.6999999999999993</v>
      </c>
    </row>
    <row r="147" spans="1:111" x14ac:dyDescent="0.2">
      <c r="A147">
        <v>2025</v>
      </c>
      <c r="B147" s="1">
        <v>45936</v>
      </c>
      <c r="C147" t="s">
        <v>95</v>
      </c>
      <c r="D147">
        <v>605483</v>
      </c>
      <c r="E147">
        <v>664761</v>
      </c>
      <c r="F147">
        <v>1</v>
      </c>
      <c r="G147">
        <v>1</v>
      </c>
      <c r="H147">
        <v>4</v>
      </c>
      <c r="I147" t="s">
        <v>163</v>
      </c>
      <c r="J147">
        <v>28</v>
      </c>
      <c r="K147">
        <v>3</v>
      </c>
      <c r="L147" t="s">
        <v>97</v>
      </c>
      <c r="M147" t="s">
        <v>138</v>
      </c>
      <c r="N147" t="s">
        <v>139</v>
      </c>
      <c r="O147">
        <f t="shared" si="32"/>
        <v>0</v>
      </c>
      <c r="P147">
        <f t="shared" si="33"/>
        <v>0</v>
      </c>
      <c r="Q147">
        <f t="shared" si="34"/>
        <v>0</v>
      </c>
      <c r="R147">
        <f t="shared" si="35"/>
        <v>0</v>
      </c>
      <c r="S147">
        <f t="shared" si="36"/>
        <v>0</v>
      </c>
      <c r="T147">
        <f t="shared" si="37"/>
        <v>0</v>
      </c>
      <c r="U147">
        <f t="shared" si="38"/>
        <v>0</v>
      </c>
      <c r="V147">
        <f t="shared" si="39"/>
        <v>0</v>
      </c>
      <c r="W147">
        <f t="shared" si="40"/>
        <v>0</v>
      </c>
      <c r="X147">
        <f t="shared" si="41"/>
        <v>0</v>
      </c>
      <c r="Y147">
        <f t="shared" si="42"/>
        <v>0</v>
      </c>
      <c r="Z147">
        <f t="shared" si="43"/>
        <v>0</v>
      </c>
      <c r="AA147">
        <f t="shared" si="44"/>
        <v>0</v>
      </c>
      <c r="AB147">
        <f t="shared" si="45"/>
        <v>0</v>
      </c>
      <c r="AC147">
        <f t="shared" si="46"/>
        <v>0</v>
      </c>
      <c r="AD147">
        <f t="shared" si="47"/>
        <v>1</v>
      </c>
      <c r="AE147">
        <v>88.8</v>
      </c>
      <c r="AF147">
        <v>1.88</v>
      </c>
      <c r="AG147">
        <v>6.62</v>
      </c>
      <c r="AH147" t="s">
        <v>100</v>
      </c>
      <c r="AI147" t="s">
        <v>97</v>
      </c>
      <c r="AJ147" t="s">
        <v>97</v>
      </c>
      <c r="AK147" t="s">
        <v>97</v>
      </c>
      <c r="AL147" t="s">
        <v>97</v>
      </c>
      <c r="AM147">
        <v>13</v>
      </c>
      <c r="AN147" t="s">
        <v>101</v>
      </c>
      <c r="AO147" t="s">
        <v>164</v>
      </c>
      <c r="AP147" t="s">
        <v>122</v>
      </c>
      <c r="AQ147" t="s">
        <v>103</v>
      </c>
      <c r="AR147" t="s">
        <v>165</v>
      </c>
      <c r="AS147" t="s">
        <v>104</v>
      </c>
      <c r="AT147" t="s">
        <v>106</v>
      </c>
      <c r="AU147" t="s">
        <v>97</v>
      </c>
      <c r="AV147" t="s">
        <v>97</v>
      </c>
      <c r="AW147">
        <v>-0.32</v>
      </c>
      <c r="AX147">
        <v>0.65</v>
      </c>
      <c r="AY147">
        <v>-1.79</v>
      </c>
      <c r="AZ147">
        <v>1.1399999999999999</v>
      </c>
      <c r="BA147" t="s">
        <v>97</v>
      </c>
      <c r="BB147" t="s">
        <v>97</v>
      </c>
      <c r="BC147" t="s">
        <v>97</v>
      </c>
      <c r="BD147">
        <v>2</v>
      </c>
      <c r="BE147" t="s">
        <v>97</v>
      </c>
      <c r="BF147" t="s">
        <v>97</v>
      </c>
      <c r="BG147" t="s">
        <v>97</v>
      </c>
      <c r="BH147" t="s">
        <v>97</v>
      </c>
      <c r="BI147">
        <v>666163</v>
      </c>
      <c r="BJ147">
        <v>666163</v>
      </c>
      <c r="BK147" t="s">
        <v>97</v>
      </c>
      <c r="BL147" t="s">
        <v>97</v>
      </c>
      <c r="BM147">
        <v>-8.3852418479999997</v>
      </c>
      <c r="BN147">
        <v>-129.0033665</v>
      </c>
      <c r="BO147">
        <v>-8.8539627470000006</v>
      </c>
      <c r="BP147">
        <v>-2.1090199360000002</v>
      </c>
      <c r="BQ147">
        <v>23.422824460000001</v>
      </c>
      <c r="BR147">
        <v>-23.327084889999998</v>
      </c>
      <c r="BS147">
        <v>3.43</v>
      </c>
      <c r="BT147">
        <v>1.48</v>
      </c>
      <c r="BU147" t="s">
        <v>97</v>
      </c>
      <c r="BV147" t="s">
        <v>97</v>
      </c>
      <c r="BW147" t="s">
        <v>97</v>
      </c>
      <c r="BX147">
        <v>89.9</v>
      </c>
      <c r="BY147">
        <v>2445</v>
      </c>
      <c r="BZ147">
        <v>6.8</v>
      </c>
      <c r="CA147">
        <v>813052</v>
      </c>
      <c r="CB147">
        <v>666163</v>
      </c>
      <c r="CC147">
        <v>666163</v>
      </c>
      <c r="CD147">
        <v>518692</v>
      </c>
      <c r="CE147">
        <v>669242</v>
      </c>
      <c r="CF147">
        <v>500743</v>
      </c>
      <c r="CG147">
        <v>605141</v>
      </c>
      <c r="CH147">
        <v>571771</v>
      </c>
      <c r="CI147">
        <v>681624</v>
      </c>
      <c r="CJ147">
        <v>606192</v>
      </c>
      <c r="CK147">
        <v>53.73</v>
      </c>
      <c r="CL147" t="s">
        <v>97</v>
      </c>
      <c r="CM147" t="s">
        <v>97</v>
      </c>
      <c r="CN147" t="s">
        <v>97</v>
      </c>
      <c r="CO147" t="s">
        <v>97</v>
      </c>
      <c r="CP147" t="s">
        <v>97</v>
      </c>
      <c r="CQ147" t="s">
        <v>97</v>
      </c>
      <c r="CR147" t="s">
        <v>97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 t="s">
        <v>107</v>
      </c>
      <c r="DB147" t="s">
        <v>107</v>
      </c>
      <c r="DC147">
        <v>179</v>
      </c>
      <c r="DD147">
        <v>0</v>
      </c>
      <c r="DE147">
        <v>5.2999999999999999E-2</v>
      </c>
      <c r="DF147" t="s">
        <v>97</v>
      </c>
      <c r="DG147" t="s">
        <v>97</v>
      </c>
    </row>
    <row r="148" spans="1:111" x14ac:dyDescent="0.2">
      <c r="A148">
        <v>2025</v>
      </c>
      <c r="B148" s="1">
        <v>45936</v>
      </c>
      <c r="C148" t="s">
        <v>95</v>
      </c>
      <c r="D148">
        <v>605483</v>
      </c>
      <c r="E148">
        <v>664761</v>
      </c>
      <c r="F148">
        <v>2</v>
      </c>
      <c r="G148">
        <v>1</v>
      </c>
      <c r="H148">
        <v>4</v>
      </c>
      <c r="I148" t="s">
        <v>163</v>
      </c>
      <c r="J148">
        <v>28</v>
      </c>
      <c r="K148">
        <v>4</v>
      </c>
      <c r="L148" t="s">
        <v>97</v>
      </c>
      <c r="M148" t="s">
        <v>132</v>
      </c>
      <c r="N148" t="s">
        <v>133</v>
      </c>
      <c r="O148">
        <f t="shared" si="32"/>
        <v>0</v>
      </c>
      <c r="P148">
        <f t="shared" si="33"/>
        <v>0</v>
      </c>
      <c r="Q148">
        <f t="shared" si="34"/>
        <v>0</v>
      </c>
      <c r="R148">
        <f t="shared" si="35"/>
        <v>0</v>
      </c>
      <c r="S148">
        <f t="shared" si="36"/>
        <v>0</v>
      </c>
      <c r="T148">
        <f t="shared" si="37"/>
        <v>0</v>
      </c>
      <c r="U148">
        <f t="shared" si="38"/>
        <v>0</v>
      </c>
      <c r="V148">
        <f t="shared" si="39"/>
        <v>0</v>
      </c>
      <c r="W148">
        <f t="shared" si="40"/>
        <v>0</v>
      </c>
      <c r="X148">
        <f t="shared" si="41"/>
        <v>1</v>
      </c>
      <c r="Y148">
        <f t="shared" si="42"/>
        <v>0</v>
      </c>
      <c r="Z148">
        <f t="shared" si="43"/>
        <v>0</v>
      </c>
      <c r="AA148">
        <f t="shared" si="44"/>
        <v>0</v>
      </c>
      <c r="AB148">
        <f t="shared" si="45"/>
        <v>0</v>
      </c>
      <c r="AC148">
        <f t="shared" si="46"/>
        <v>0</v>
      </c>
      <c r="AD148">
        <f t="shared" si="47"/>
        <v>0</v>
      </c>
      <c r="AE148">
        <v>86.8</v>
      </c>
      <c r="AF148">
        <v>2.36</v>
      </c>
      <c r="AG148">
        <v>6.4</v>
      </c>
      <c r="AH148" t="s">
        <v>113</v>
      </c>
      <c r="AI148" t="s">
        <v>97</v>
      </c>
      <c r="AJ148" t="s">
        <v>97</v>
      </c>
      <c r="AK148" t="s">
        <v>97</v>
      </c>
      <c r="AL148" t="s">
        <v>97</v>
      </c>
      <c r="AM148">
        <v>6</v>
      </c>
      <c r="AN148" t="s">
        <v>114</v>
      </c>
      <c r="AO148" t="s">
        <v>164</v>
      </c>
      <c r="AP148" t="s">
        <v>122</v>
      </c>
      <c r="AQ148" t="s">
        <v>103</v>
      </c>
      <c r="AR148" t="s">
        <v>165</v>
      </c>
      <c r="AS148" t="s">
        <v>104</v>
      </c>
      <c r="AT148" t="s">
        <v>110</v>
      </c>
      <c r="AU148" t="s">
        <v>97</v>
      </c>
      <c r="AV148" t="s">
        <v>97</v>
      </c>
      <c r="AW148">
        <v>1.01</v>
      </c>
      <c r="AX148">
        <v>1.19</v>
      </c>
      <c r="AY148">
        <v>0.78</v>
      </c>
      <c r="AZ148">
        <v>2.46</v>
      </c>
      <c r="BA148" t="s">
        <v>97</v>
      </c>
      <c r="BB148" t="s">
        <v>97</v>
      </c>
      <c r="BC148" t="s">
        <v>97</v>
      </c>
      <c r="BD148">
        <v>2</v>
      </c>
      <c r="BE148" t="s">
        <v>97</v>
      </c>
      <c r="BF148" t="s">
        <v>97</v>
      </c>
      <c r="BG148" t="s">
        <v>97</v>
      </c>
      <c r="BH148" t="s">
        <v>97</v>
      </c>
      <c r="BI148">
        <v>666163</v>
      </c>
      <c r="BJ148">
        <v>666163</v>
      </c>
      <c r="BK148" t="s">
        <v>97</v>
      </c>
      <c r="BL148" t="s">
        <v>97</v>
      </c>
      <c r="BM148">
        <v>-5.9048010199999998</v>
      </c>
      <c r="BN148">
        <v>-126.2454767</v>
      </c>
      <c r="BO148">
        <v>-5.738673876</v>
      </c>
      <c r="BP148">
        <v>11.987669889999999</v>
      </c>
      <c r="BQ148">
        <v>25.49413135</v>
      </c>
      <c r="BR148">
        <v>-18.428787660000001</v>
      </c>
      <c r="BS148">
        <v>3.59</v>
      </c>
      <c r="BT148">
        <v>1.64</v>
      </c>
      <c r="BU148" t="s">
        <v>97</v>
      </c>
      <c r="BV148" t="s">
        <v>97</v>
      </c>
      <c r="BW148" t="s">
        <v>97</v>
      </c>
      <c r="BX148">
        <v>87.8</v>
      </c>
      <c r="BY148">
        <v>1871</v>
      </c>
      <c r="BZ148">
        <v>6.9</v>
      </c>
      <c r="CA148">
        <v>813052</v>
      </c>
      <c r="CB148">
        <v>666163</v>
      </c>
      <c r="CC148">
        <v>666163</v>
      </c>
      <c r="CD148">
        <v>518692</v>
      </c>
      <c r="CE148">
        <v>669242</v>
      </c>
      <c r="CF148">
        <v>500743</v>
      </c>
      <c r="CG148">
        <v>605141</v>
      </c>
      <c r="CH148">
        <v>571771</v>
      </c>
      <c r="CI148">
        <v>681624</v>
      </c>
      <c r="CJ148">
        <v>606192</v>
      </c>
      <c r="CK148">
        <v>53.57</v>
      </c>
      <c r="CL148" t="s">
        <v>97</v>
      </c>
      <c r="CM148" t="s">
        <v>97</v>
      </c>
      <c r="CN148" t="s">
        <v>97</v>
      </c>
      <c r="CO148" t="s">
        <v>97</v>
      </c>
      <c r="CP148" t="s">
        <v>97</v>
      </c>
      <c r="CQ148" t="s">
        <v>97</v>
      </c>
      <c r="CR148" t="s">
        <v>97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 t="s">
        <v>107</v>
      </c>
      <c r="DB148" t="s">
        <v>107</v>
      </c>
      <c r="DC148">
        <v>124</v>
      </c>
      <c r="DD148">
        <v>0</v>
      </c>
      <c r="DE148">
        <v>-7.2999999999999995E-2</v>
      </c>
      <c r="DF148">
        <v>75.8</v>
      </c>
      <c r="DG148">
        <v>8.6</v>
      </c>
    </row>
    <row r="149" spans="1:111" x14ac:dyDescent="0.2">
      <c r="A149">
        <v>2025</v>
      </c>
      <c r="B149" s="1">
        <v>45936</v>
      </c>
      <c r="C149" t="s">
        <v>95</v>
      </c>
      <c r="D149">
        <v>605483</v>
      </c>
      <c r="E149">
        <v>664761</v>
      </c>
      <c r="F149">
        <v>2</v>
      </c>
      <c r="G149">
        <v>2</v>
      </c>
      <c r="H149">
        <v>4</v>
      </c>
      <c r="I149" t="s">
        <v>163</v>
      </c>
      <c r="J149">
        <v>28</v>
      </c>
      <c r="K149">
        <v>5</v>
      </c>
      <c r="L149" t="s">
        <v>116</v>
      </c>
      <c r="M149" t="s">
        <v>98</v>
      </c>
      <c r="N149" t="s">
        <v>99</v>
      </c>
      <c r="O149">
        <f t="shared" si="32"/>
        <v>0</v>
      </c>
      <c r="P149">
        <f t="shared" si="33"/>
        <v>0</v>
      </c>
      <c r="Q149">
        <f t="shared" si="34"/>
        <v>1</v>
      </c>
      <c r="R149">
        <f t="shared" si="35"/>
        <v>0</v>
      </c>
      <c r="S149">
        <f t="shared" si="36"/>
        <v>0</v>
      </c>
      <c r="T149">
        <f t="shared" si="37"/>
        <v>0</v>
      </c>
      <c r="U149">
        <f t="shared" si="38"/>
        <v>0</v>
      </c>
      <c r="V149">
        <f t="shared" si="39"/>
        <v>0</v>
      </c>
      <c r="W149">
        <f t="shared" si="40"/>
        <v>0</v>
      </c>
      <c r="X149">
        <f t="shared" si="41"/>
        <v>0</v>
      </c>
      <c r="Y149">
        <f t="shared" si="42"/>
        <v>0</v>
      </c>
      <c r="Z149">
        <f t="shared" si="43"/>
        <v>0</v>
      </c>
      <c r="AA149">
        <f t="shared" si="44"/>
        <v>0</v>
      </c>
      <c r="AB149">
        <f t="shared" si="45"/>
        <v>0</v>
      </c>
      <c r="AC149">
        <f t="shared" si="46"/>
        <v>0</v>
      </c>
      <c r="AD149">
        <f t="shared" si="47"/>
        <v>0</v>
      </c>
      <c r="AE149">
        <v>96.9</v>
      </c>
      <c r="AF149">
        <v>1.9</v>
      </c>
      <c r="AG149">
        <v>6.61</v>
      </c>
      <c r="AH149" t="s">
        <v>108</v>
      </c>
      <c r="AI149" t="s">
        <v>97</v>
      </c>
      <c r="AJ149" t="s">
        <v>97</v>
      </c>
      <c r="AK149" t="s">
        <v>97</v>
      </c>
      <c r="AL149" t="s">
        <v>97</v>
      </c>
      <c r="AM149">
        <v>7</v>
      </c>
      <c r="AN149" t="s">
        <v>180</v>
      </c>
      <c r="AO149" t="s">
        <v>164</v>
      </c>
      <c r="AP149" t="s">
        <v>122</v>
      </c>
      <c r="AQ149" t="s">
        <v>103</v>
      </c>
      <c r="AR149" t="s">
        <v>165</v>
      </c>
      <c r="AS149" t="s">
        <v>104</v>
      </c>
      <c r="AT149" t="s">
        <v>110</v>
      </c>
      <c r="AU149">
        <v>2</v>
      </c>
      <c r="AV149" t="s">
        <v>97</v>
      </c>
      <c r="AW149">
        <v>0.39</v>
      </c>
      <c r="AX149">
        <v>1.49</v>
      </c>
      <c r="AY149">
        <v>-0.54</v>
      </c>
      <c r="AZ149">
        <v>1.79</v>
      </c>
      <c r="BA149" t="s">
        <v>97</v>
      </c>
      <c r="BB149" t="s">
        <v>97</v>
      </c>
      <c r="BC149" t="s">
        <v>97</v>
      </c>
      <c r="BD149">
        <v>2</v>
      </c>
      <c r="BE149" t="s">
        <v>97</v>
      </c>
      <c r="BF149" t="s">
        <v>97</v>
      </c>
      <c r="BG149" t="s">
        <v>97</v>
      </c>
      <c r="BH149" t="s">
        <v>97</v>
      </c>
      <c r="BI149">
        <v>666163</v>
      </c>
      <c r="BJ149">
        <v>666163</v>
      </c>
      <c r="BK149" t="s">
        <v>97</v>
      </c>
      <c r="BL149" t="s">
        <v>97</v>
      </c>
      <c r="BM149">
        <v>-7.43293464</v>
      </c>
      <c r="BN149">
        <v>-140.54144099999999</v>
      </c>
      <c r="BO149">
        <v>-10.77747868</v>
      </c>
      <c r="BP149">
        <v>6.797052807</v>
      </c>
      <c r="BQ149">
        <v>31.688750129999999</v>
      </c>
      <c r="BR149">
        <v>-10.17713633</v>
      </c>
      <c r="BS149">
        <v>3.44</v>
      </c>
      <c r="BT149">
        <v>1.49</v>
      </c>
      <c r="BU149" t="s">
        <v>97</v>
      </c>
      <c r="BV149" t="s">
        <v>97</v>
      </c>
      <c r="BW149" t="s">
        <v>97</v>
      </c>
      <c r="BX149">
        <v>97.6</v>
      </c>
      <c r="BY149">
        <v>2573</v>
      </c>
      <c r="BZ149">
        <v>6.8</v>
      </c>
      <c r="CA149">
        <v>813052</v>
      </c>
      <c r="CB149">
        <v>666163</v>
      </c>
      <c r="CC149">
        <v>666163</v>
      </c>
      <c r="CD149">
        <v>518692</v>
      </c>
      <c r="CE149">
        <v>669242</v>
      </c>
      <c r="CF149">
        <v>500743</v>
      </c>
      <c r="CG149">
        <v>605141</v>
      </c>
      <c r="CH149">
        <v>571771</v>
      </c>
      <c r="CI149">
        <v>681624</v>
      </c>
      <c r="CJ149">
        <v>606192</v>
      </c>
      <c r="CK149">
        <v>53.66</v>
      </c>
      <c r="CL149" t="s">
        <v>97</v>
      </c>
      <c r="CM149">
        <v>0</v>
      </c>
      <c r="CN149">
        <v>0</v>
      </c>
      <c r="CO149">
        <v>1</v>
      </c>
      <c r="CP149">
        <v>0</v>
      </c>
      <c r="CQ149">
        <v>0</v>
      </c>
      <c r="CR149" t="s">
        <v>97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 t="s">
        <v>107</v>
      </c>
      <c r="DB149" t="s">
        <v>107</v>
      </c>
      <c r="DC149">
        <v>157</v>
      </c>
      <c r="DD149">
        <v>-1.2999999999999999E-2</v>
      </c>
      <c r="DE149">
        <v>-0.224</v>
      </c>
      <c r="DF149" t="s">
        <v>97</v>
      </c>
      <c r="DG149" t="s">
        <v>97</v>
      </c>
    </row>
    <row r="150" spans="1:111" x14ac:dyDescent="0.2">
      <c r="A150">
        <v>2025</v>
      </c>
      <c r="B150" s="1">
        <v>45936</v>
      </c>
      <c r="C150" t="s">
        <v>95</v>
      </c>
      <c r="D150">
        <v>605483</v>
      </c>
      <c r="E150">
        <v>592663</v>
      </c>
      <c r="F150">
        <v>0</v>
      </c>
      <c r="G150">
        <v>0</v>
      </c>
      <c r="H150">
        <v>5</v>
      </c>
      <c r="I150" t="s">
        <v>163</v>
      </c>
      <c r="J150">
        <v>32</v>
      </c>
      <c r="K150">
        <v>1</v>
      </c>
      <c r="L150" t="s">
        <v>97</v>
      </c>
      <c r="M150" t="s">
        <v>132</v>
      </c>
      <c r="N150" t="s">
        <v>133</v>
      </c>
      <c r="O150">
        <f t="shared" si="32"/>
        <v>0</v>
      </c>
      <c r="P150">
        <f t="shared" si="33"/>
        <v>0</v>
      </c>
      <c r="Q150">
        <f t="shared" si="34"/>
        <v>0</v>
      </c>
      <c r="R150">
        <f t="shared" si="35"/>
        <v>0</v>
      </c>
      <c r="S150">
        <f t="shared" si="36"/>
        <v>0</v>
      </c>
      <c r="T150">
        <f t="shared" si="37"/>
        <v>0</v>
      </c>
      <c r="U150">
        <f t="shared" si="38"/>
        <v>0</v>
      </c>
      <c r="V150">
        <f t="shared" si="39"/>
        <v>0</v>
      </c>
      <c r="W150">
        <f t="shared" si="40"/>
        <v>1</v>
      </c>
      <c r="X150">
        <f t="shared" si="41"/>
        <v>0</v>
      </c>
      <c r="Y150">
        <f t="shared" si="42"/>
        <v>0</v>
      </c>
      <c r="Z150">
        <f t="shared" si="43"/>
        <v>0</v>
      </c>
      <c r="AA150">
        <f t="shared" si="44"/>
        <v>0</v>
      </c>
      <c r="AB150">
        <f t="shared" si="45"/>
        <v>0</v>
      </c>
      <c r="AC150">
        <f t="shared" si="46"/>
        <v>0</v>
      </c>
      <c r="AD150">
        <f t="shared" si="47"/>
        <v>0</v>
      </c>
      <c r="AE150">
        <v>86.5</v>
      </c>
      <c r="AF150">
        <v>2.31</v>
      </c>
      <c r="AG150">
        <v>6.52</v>
      </c>
      <c r="AH150" t="s">
        <v>100</v>
      </c>
      <c r="AI150" t="s">
        <v>97</v>
      </c>
      <c r="AJ150" t="s">
        <v>97</v>
      </c>
      <c r="AK150" t="s">
        <v>97</v>
      </c>
      <c r="AL150" t="s">
        <v>97</v>
      </c>
      <c r="AM150">
        <v>12</v>
      </c>
      <c r="AN150" t="s">
        <v>101</v>
      </c>
      <c r="AO150" t="s">
        <v>164</v>
      </c>
      <c r="AP150" t="s">
        <v>122</v>
      </c>
      <c r="AQ150" t="s">
        <v>103</v>
      </c>
      <c r="AR150" t="s">
        <v>165</v>
      </c>
      <c r="AS150" t="s">
        <v>104</v>
      </c>
      <c r="AT150" t="s">
        <v>106</v>
      </c>
      <c r="AU150" t="s">
        <v>97</v>
      </c>
      <c r="AV150" t="s">
        <v>97</v>
      </c>
      <c r="AW150">
        <v>1.23</v>
      </c>
      <c r="AX150">
        <v>0.86</v>
      </c>
      <c r="AY150">
        <v>1.36</v>
      </c>
      <c r="AZ150">
        <v>3.33</v>
      </c>
      <c r="BA150" t="s">
        <v>97</v>
      </c>
      <c r="BB150" t="s">
        <v>97</v>
      </c>
      <c r="BC150" t="s">
        <v>97</v>
      </c>
      <c r="BD150">
        <v>0</v>
      </c>
      <c r="BE150" t="s">
        <v>97</v>
      </c>
      <c r="BF150" t="s">
        <v>97</v>
      </c>
      <c r="BG150" t="s">
        <v>97</v>
      </c>
      <c r="BH150" t="s">
        <v>97</v>
      </c>
      <c r="BI150">
        <v>666163</v>
      </c>
      <c r="BJ150">
        <v>666163</v>
      </c>
      <c r="BK150" t="s">
        <v>97</v>
      </c>
      <c r="BL150" t="s">
        <v>97</v>
      </c>
      <c r="BM150">
        <v>-4.8093904030000001</v>
      </c>
      <c r="BN150">
        <v>-125.89136910000001</v>
      </c>
      <c r="BO150">
        <v>-3.1676396750000002</v>
      </c>
      <c r="BP150">
        <v>14.02852195</v>
      </c>
      <c r="BQ150">
        <v>26.200371520000001</v>
      </c>
      <c r="BR150">
        <v>-22.547616340000001</v>
      </c>
      <c r="BS150">
        <v>3.6</v>
      </c>
      <c r="BT150">
        <v>1.79</v>
      </c>
      <c r="BU150" t="s">
        <v>97</v>
      </c>
      <c r="BV150" t="s">
        <v>97</v>
      </c>
      <c r="BW150" t="s">
        <v>97</v>
      </c>
      <c r="BX150">
        <v>87.1</v>
      </c>
      <c r="BY150">
        <v>1966</v>
      </c>
      <c r="BZ150">
        <v>6.7</v>
      </c>
      <c r="CA150">
        <v>813052</v>
      </c>
      <c r="CB150">
        <v>666163</v>
      </c>
      <c r="CC150">
        <v>666163</v>
      </c>
      <c r="CD150">
        <v>518692</v>
      </c>
      <c r="CE150">
        <v>669242</v>
      </c>
      <c r="CF150">
        <v>500743</v>
      </c>
      <c r="CG150">
        <v>605141</v>
      </c>
      <c r="CH150">
        <v>571771</v>
      </c>
      <c r="CI150">
        <v>681624</v>
      </c>
      <c r="CJ150">
        <v>606192</v>
      </c>
      <c r="CK150">
        <v>53.77</v>
      </c>
      <c r="CL150" t="s">
        <v>97</v>
      </c>
      <c r="CM150" t="s">
        <v>97</v>
      </c>
      <c r="CN150" t="s">
        <v>97</v>
      </c>
      <c r="CO150" t="s">
        <v>97</v>
      </c>
      <c r="CP150" t="s">
        <v>97</v>
      </c>
      <c r="CQ150" t="s">
        <v>97</v>
      </c>
      <c r="CR150" t="s">
        <v>97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 t="s">
        <v>107</v>
      </c>
      <c r="DB150" t="s">
        <v>107</v>
      </c>
      <c r="DC150">
        <v>133</v>
      </c>
      <c r="DD150">
        <v>0</v>
      </c>
      <c r="DE150">
        <v>4.1000000000000002E-2</v>
      </c>
      <c r="DF150" t="s">
        <v>97</v>
      </c>
      <c r="DG150" t="s">
        <v>97</v>
      </c>
    </row>
    <row r="151" spans="1:111" x14ac:dyDescent="0.2">
      <c r="A151">
        <v>2025</v>
      </c>
      <c r="B151" s="1">
        <v>45936</v>
      </c>
      <c r="C151" t="s">
        <v>95</v>
      </c>
      <c r="D151">
        <v>605483</v>
      </c>
      <c r="E151">
        <v>592663</v>
      </c>
      <c r="F151">
        <v>1</v>
      </c>
      <c r="G151">
        <v>0</v>
      </c>
      <c r="H151">
        <v>5</v>
      </c>
      <c r="I151" t="s">
        <v>163</v>
      </c>
      <c r="J151">
        <v>32</v>
      </c>
      <c r="K151">
        <v>2</v>
      </c>
      <c r="L151" t="s">
        <v>97</v>
      </c>
      <c r="M151" t="s">
        <v>132</v>
      </c>
      <c r="N151" t="s">
        <v>133</v>
      </c>
      <c r="O151">
        <f t="shared" si="32"/>
        <v>0</v>
      </c>
      <c r="P151">
        <f t="shared" si="33"/>
        <v>0</v>
      </c>
      <c r="Q151">
        <f t="shared" si="34"/>
        <v>0</v>
      </c>
      <c r="R151">
        <f t="shared" si="35"/>
        <v>0</v>
      </c>
      <c r="S151">
        <f t="shared" si="36"/>
        <v>0</v>
      </c>
      <c r="T151">
        <f t="shared" si="37"/>
        <v>0</v>
      </c>
      <c r="U151">
        <f t="shared" si="38"/>
        <v>0</v>
      </c>
      <c r="V151">
        <f t="shared" si="39"/>
        <v>0</v>
      </c>
      <c r="W151">
        <f t="shared" si="40"/>
        <v>1</v>
      </c>
      <c r="X151">
        <f t="shared" si="41"/>
        <v>0</v>
      </c>
      <c r="Y151">
        <f t="shared" si="42"/>
        <v>0</v>
      </c>
      <c r="Z151">
        <f t="shared" si="43"/>
        <v>0</v>
      </c>
      <c r="AA151">
        <f t="shared" si="44"/>
        <v>0</v>
      </c>
      <c r="AB151">
        <f t="shared" si="45"/>
        <v>0</v>
      </c>
      <c r="AC151">
        <f t="shared" si="46"/>
        <v>0</v>
      </c>
      <c r="AD151">
        <f t="shared" si="47"/>
        <v>0</v>
      </c>
      <c r="AE151">
        <v>85.6</v>
      </c>
      <c r="AF151">
        <v>2.27</v>
      </c>
      <c r="AG151">
        <v>6.49</v>
      </c>
      <c r="AH151" t="s">
        <v>129</v>
      </c>
      <c r="AI151" t="s">
        <v>97</v>
      </c>
      <c r="AJ151" t="s">
        <v>97</v>
      </c>
      <c r="AK151" t="s">
        <v>97</v>
      </c>
      <c r="AL151" t="s">
        <v>97</v>
      </c>
      <c r="AM151">
        <v>3</v>
      </c>
      <c r="AN151" t="s">
        <v>130</v>
      </c>
      <c r="AO151" t="s">
        <v>164</v>
      </c>
      <c r="AP151" t="s">
        <v>122</v>
      </c>
      <c r="AQ151" t="s">
        <v>103</v>
      </c>
      <c r="AR151" t="s">
        <v>165</v>
      </c>
      <c r="AS151" t="s">
        <v>104</v>
      </c>
      <c r="AT151" t="s">
        <v>110</v>
      </c>
      <c r="AU151" t="s">
        <v>97</v>
      </c>
      <c r="AV151" t="s">
        <v>97</v>
      </c>
      <c r="AW151">
        <v>1.29</v>
      </c>
      <c r="AX151">
        <v>0.99</v>
      </c>
      <c r="AY151">
        <v>0.37</v>
      </c>
      <c r="AZ151">
        <v>3.15</v>
      </c>
      <c r="BA151" t="s">
        <v>97</v>
      </c>
      <c r="BB151" t="s">
        <v>97</v>
      </c>
      <c r="BC151" t="s">
        <v>97</v>
      </c>
      <c r="BD151">
        <v>0</v>
      </c>
      <c r="BE151" t="s">
        <v>97</v>
      </c>
      <c r="BF151" t="s">
        <v>97</v>
      </c>
      <c r="BG151" t="s">
        <v>97</v>
      </c>
      <c r="BH151" t="s">
        <v>97</v>
      </c>
      <c r="BI151">
        <v>666163</v>
      </c>
      <c r="BJ151">
        <v>666163</v>
      </c>
      <c r="BK151" t="s">
        <v>97</v>
      </c>
      <c r="BL151" t="s">
        <v>97</v>
      </c>
      <c r="BM151">
        <v>-7.1392871080000004</v>
      </c>
      <c r="BN151">
        <v>-124.4534226</v>
      </c>
      <c r="BO151">
        <v>-3.6018933500000001</v>
      </c>
      <c r="BP151">
        <v>14.898531930000001</v>
      </c>
      <c r="BQ151">
        <v>26.22600929</v>
      </c>
      <c r="BR151">
        <v>-21.338678850000001</v>
      </c>
      <c r="BS151">
        <v>3.66</v>
      </c>
      <c r="BT151">
        <v>1.74</v>
      </c>
      <c r="BU151">
        <v>122</v>
      </c>
      <c r="BV151">
        <v>81.099999999999994</v>
      </c>
      <c r="BW151">
        <v>80</v>
      </c>
      <c r="BX151">
        <v>86</v>
      </c>
      <c r="BY151">
        <v>1990</v>
      </c>
      <c r="BZ151">
        <v>6.7</v>
      </c>
      <c r="CA151">
        <v>813052</v>
      </c>
      <c r="CB151">
        <v>666163</v>
      </c>
      <c r="CC151">
        <v>666163</v>
      </c>
      <c r="CD151">
        <v>518692</v>
      </c>
      <c r="CE151">
        <v>669242</v>
      </c>
      <c r="CF151">
        <v>500743</v>
      </c>
      <c r="CG151">
        <v>605141</v>
      </c>
      <c r="CH151">
        <v>571771</v>
      </c>
      <c r="CI151">
        <v>681624</v>
      </c>
      <c r="CJ151">
        <v>606192</v>
      </c>
      <c r="CK151">
        <v>53.82</v>
      </c>
      <c r="CL151" t="s">
        <v>97</v>
      </c>
      <c r="CM151" t="s">
        <v>97</v>
      </c>
      <c r="CN151" t="s">
        <v>97</v>
      </c>
      <c r="CO151" t="s">
        <v>97</v>
      </c>
      <c r="CP151" t="s">
        <v>97</v>
      </c>
      <c r="CQ151" t="s">
        <v>97</v>
      </c>
      <c r="CR151" t="s">
        <v>97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 t="s">
        <v>107</v>
      </c>
      <c r="DB151" t="s">
        <v>107</v>
      </c>
      <c r="DC151">
        <v>132</v>
      </c>
      <c r="DD151">
        <v>0</v>
      </c>
      <c r="DE151">
        <v>-0.05</v>
      </c>
      <c r="DF151">
        <v>76.900000000000006</v>
      </c>
      <c r="DG151">
        <v>7.5</v>
      </c>
    </row>
    <row r="152" spans="1:111" x14ac:dyDescent="0.2">
      <c r="A152">
        <v>2025</v>
      </c>
      <c r="B152" s="1">
        <v>45936</v>
      </c>
      <c r="C152" t="s">
        <v>95</v>
      </c>
      <c r="D152">
        <v>605483</v>
      </c>
      <c r="E152">
        <v>592663</v>
      </c>
      <c r="F152">
        <v>1</v>
      </c>
      <c r="G152">
        <v>1</v>
      </c>
      <c r="H152">
        <v>5</v>
      </c>
      <c r="I152" t="s">
        <v>163</v>
      </c>
      <c r="J152">
        <v>32</v>
      </c>
      <c r="K152">
        <v>3</v>
      </c>
      <c r="L152" t="s">
        <v>97</v>
      </c>
      <c r="M152" t="s">
        <v>132</v>
      </c>
      <c r="N152" t="s">
        <v>133</v>
      </c>
      <c r="O152">
        <f t="shared" si="32"/>
        <v>0</v>
      </c>
      <c r="P152">
        <f t="shared" si="33"/>
        <v>0</v>
      </c>
      <c r="Q152">
        <f t="shared" si="34"/>
        <v>0</v>
      </c>
      <c r="R152">
        <f t="shared" si="35"/>
        <v>0</v>
      </c>
      <c r="S152">
        <f t="shared" si="36"/>
        <v>0</v>
      </c>
      <c r="T152">
        <f t="shared" si="37"/>
        <v>0</v>
      </c>
      <c r="U152">
        <f t="shared" si="38"/>
        <v>0</v>
      </c>
      <c r="V152">
        <f t="shared" si="39"/>
        <v>0</v>
      </c>
      <c r="W152">
        <f t="shared" si="40"/>
        <v>0</v>
      </c>
      <c r="X152">
        <f t="shared" si="41"/>
        <v>0</v>
      </c>
      <c r="Y152">
        <f t="shared" si="42"/>
        <v>1</v>
      </c>
      <c r="Z152">
        <f t="shared" si="43"/>
        <v>0</v>
      </c>
      <c r="AA152">
        <f t="shared" si="44"/>
        <v>0</v>
      </c>
      <c r="AB152">
        <f t="shared" si="45"/>
        <v>0</v>
      </c>
      <c r="AC152">
        <f t="shared" si="46"/>
        <v>0</v>
      </c>
      <c r="AD152">
        <f t="shared" si="47"/>
        <v>0</v>
      </c>
      <c r="AE152">
        <v>86.4</v>
      </c>
      <c r="AF152">
        <v>2.2400000000000002</v>
      </c>
      <c r="AG152">
        <v>6.41</v>
      </c>
      <c r="AH152" t="s">
        <v>129</v>
      </c>
      <c r="AI152" t="s">
        <v>97</v>
      </c>
      <c r="AJ152" t="s">
        <v>97</v>
      </c>
      <c r="AK152" t="s">
        <v>97</v>
      </c>
      <c r="AL152" t="s">
        <v>97</v>
      </c>
      <c r="AM152">
        <v>9</v>
      </c>
      <c r="AN152" t="s">
        <v>130</v>
      </c>
      <c r="AO152" t="s">
        <v>164</v>
      </c>
      <c r="AP152" t="s">
        <v>122</v>
      </c>
      <c r="AQ152" t="s">
        <v>103</v>
      </c>
      <c r="AR152" t="s">
        <v>165</v>
      </c>
      <c r="AS152" t="s">
        <v>104</v>
      </c>
      <c r="AT152" t="s">
        <v>110</v>
      </c>
      <c r="AU152" t="s">
        <v>97</v>
      </c>
      <c r="AV152" t="s">
        <v>97</v>
      </c>
      <c r="AW152">
        <v>1.1100000000000001</v>
      </c>
      <c r="AX152">
        <v>0.78</v>
      </c>
      <c r="AY152">
        <v>0.75</v>
      </c>
      <c r="AZ152">
        <v>1.75</v>
      </c>
      <c r="BA152" t="s">
        <v>97</v>
      </c>
      <c r="BB152" t="s">
        <v>97</v>
      </c>
      <c r="BC152" t="s">
        <v>97</v>
      </c>
      <c r="BD152">
        <v>0</v>
      </c>
      <c r="BE152" t="s">
        <v>97</v>
      </c>
      <c r="BF152" t="s">
        <v>97</v>
      </c>
      <c r="BG152" t="s">
        <v>97</v>
      </c>
      <c r="BH152" t="s">
        <v>97</v>
      </c>
      <c r="BI152">
        <v>666163</v>
      </c>
      <c r="BJ152">
        <v>666163</v>
      </c>
      <c r="BK152" t="s">
        <v>97</v>
      </c>
      <c r="BL152" t="s">
        <v>97</v>
      </c>
      <c r="BM152">
        <v>-5.8692138869999999</v>
      </c>
      <c r="BN152">
        <v>-125.50563560000001</v>
      </c>
      <c r="BO152">
        <v>-6.5023147420000003</v>
      </c>
      <c r="BP152">
        <v>12.978699519999999</v>
      </c>
      <c r="BQ152">
        <v>26.057329320000001</v>
      </c>
      <c r="BR152">
        <v>-22.78788428</v>
      </c>
      <c r="BS152">
        <v>3.66</v>
      </c>
      <c r="BT152">
        <v>1.74</v>
      </c>
      <c r="BU152">
        <v>5</v>
      </c>
      <c r="BV152">
        <v>48.5</v>
      </c>
      <c r="BW152">
        <v>-20</v>
      </c>
      <c r="BX152">
        <v>87</v>
      </c>
      <c r="BY152">
        <v>1981</v>
      </c>
      <c r="BZ152">
        <v>6.8</v>
      </c>
      <c r="CA152">
        <v>813052</v>
      </c>
      <c r="CB152">
        <v>666163</v>
      </c>
      <c r="CC152">
        <v>666163</v>
      </c>
      <c r="CD152">
        <v>518692</v>
      </c>
      <c r="CE152">
        <v>669242</v>
      </c>
      <c r="CF152">
        <v>500743</v>
      </c>
      <c r="CG152">
        <v>605141</v>
      </c>
      <c r="CH152">
        <v>571771</v>
      </c>
      <c r="CI152">
        <v>681624</v>
      </c>
      <c r="CJ152">
        <v>606192</v>
      </c>
      <c r="CK152">
        <v>53.66</v>
      </c>
      <c r="CL152" t="s">
        <v>97</v>
      </c>
      <c r="CM152" t="s">
        <v>97</v>
      </c>
      <c r="CN152" t="s">
        <v>97</v>
      </c>
      <c r="CO152" t="s">
        <v>97</v>
      </c>
      <c r="CP152" t="s">
        <v>97</v>
      </c>
      <c r="CQ152" t="s">
        <v>97</v>
      </c>
      <c r="CR152" t="s">
        <v>97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 t="s">
        <v>107</v>
      </c>
      <c r="DB152" t="s">
        <v>107</v>
      </c>
      <c r="DC152">
        <v>127</v>
      </c>
      <c r="DD152">
        <v>0</v>
      </c>
      <c r="DE152">
        <v>-6.0999999999999999E-2</v>
      </c>
      <c r="DF152">
        <v>64.8</v>
      </c>
      <c r="DG152">
        <v>8.5</v>
      </c>
    </row>
    <row r="153" spans="1:111" x14ac:dyDescent="0.2">
      <c r="A153">
        <v>2025</v>
      </c>
      <c r="B153" s="1">
        <v>45936</v>
      </c>
      <c r="C153" t="s">
        <v>95</v>
      </c>
      <c r="D153">
        <v>605483</v>
      </c>
      <c r="E153">
        <v>592663</v>
      </c>
      <c r="F153">
        <v>1</v>
      </c>
      <c r="G153">
        <v>2</v>
      </c>
      <c r="H153">
        <v>5</v>
      </c>
      <c r="I153" t="s">
        <v>163</v>
      </c>
      <c r="J153">
        <v>32</v>
      </c>
      <c r="K153">
        <v>4</v>
      </c>
      <c r="L153" t="s">
        <v>97</v>
      </c>
      <c r="M153" t="s">
        <v>111</v>
      </c>
      <c r="N153" t="s">
        <v>112</v>
      </c>
      <c r="O153">
        <f t="shared" si="32"/>
        <v>0</v>
      </c>
      <c r="P153">
        <f t="shared" si="33"/>
        <v>0</v>
      </c>
      <c r="Q153">
        <f t="shared" si="34"/>
        <v>0</v>
      </c>
      <c r="R153">
        <f t="shared" si="35"/>
        <v>0</v>
      </c>
      <c r="S153">
        <f t="shared" si="36"/>
        <v>0</v>
      </c>
      <c r="T153">
        <f t="shared" si="37"/>
        <v>1</v>
      </c>
      <c r="U153">
        <f t="shared" si="38"/>
        <v>0</v>
      </c>
      <c r="V153">
        <f t="shared" si="39"/>
        <v>0</v>
      </c>
      <c r="W153">
        <f t="shared" si="40"/>
        <v>0</v>
      </c>
      <c r="X153">
        <f t="shared" si="41"/>
        <v>0</v>
      </c>
      <c r="Y153">
        <f t="shared" si="42"/>
        <v>0</v>
      </c>
      <c r="Z153">
        <f t="shared" si="43"/>
        <v>0</v>
      </c>
      <c r="AA153">
        <f t="shared" si="44"/>
        <v>0</v>
      </c>
      <c r="AB153">
        <f t="shared" si="45"/>
        <v>0</v>
      </c>
      <c r="AC153">
        <f t="shared" si="46"/>
        <v>0</v>
      </c>
      <c r="AD153">
        <f t="shared" si="47"/>
        <v>0</v>
      </c>
      <c r="AE153">
        <v>83</v>
      </c>
      <c r="AF153">
        <v>2.04</v>
      </c>
      <c r="AG153">
        <v>6.56</v>
      </c>
      <c r="AH153" t="s">
        <v>100</v>
      </c>
      <c r="AI153" t="s">
        <v>97</v>
      </c>
      <c r="AJ153" t="s">
        <v>97</v>
      </c>
      <c r="AK153" t="s">
        <v>97</v>
      </c>
      <c r="AL153" t="s">
        <v>97</v>
      </c>
      <c r="AM153">
        <v>13</v>
      </c>
      <c r="AN153" t="s">
        <v>101</v>
      </c>
      <c r="AO153" t="s">
        <v>164</v>
      </c>
      <c r="AP153" t="s">
        <v>122</v>
      </c>
      <c r="AQ153" t="s">
        <v>103</v>
      </c>
      <c r="AR153" t="s">
        <v>165</v>
      </c>
      <c r="AS153" t="s">
        <v>104</v>
      </c>
      <c r="AT153" t="s">
        <v>106</v>
      </c>
      <c r="AU153" t="s">
        <v>97</v>
      </c>
      <c r="AV153" t="s">
        <v>97</v>
      </c>
      <c r="AW153">
        <v>-0.84</v>
      </c>
      <c r="AX153">
        <v>-0.47</v>
      </c>
      <c r="AY153">
        <v>-0.57999999999999996</v>
      </c>
      <c r="AZ153">
        <v>0.8</v>
      </c>
      <c r="BA153" t="s">
        <v>97</v>
      </c>
      <c r="BB153" t="s">
        <v>97</v>
      </c>
      <c r="BC153" t="s">
        <v>97</v>
      </c>
      <c r="BD153">
        <v>0</v>
      </c>
      <c r="BE153" t="s">
        <v>97</v>
      </c>
      <c r="BF153" t="s">
        <v>97</v>
      </c>
      <c r="BG153" t="s">
        <v>97</v>
      </c>
      <c r="BH153" t="s">
        <v>97</v>
      </c>
      <c r="BI153">
        <v>666163</v>
      </c>
      <c r="BJ153">
        <v>666163</v>
      </c>
      <c r="BK153" t="s">
        <v>97</v>
      </c>
      <c r="BL153" t="s">
        <v>97</v>
      </c>
      <c r="BM153">
        <v>-4.3899732719999998</v>
      </c>
      <c r="BN153">
        <v>-120.63164</v>
      </c>
      <c r="BO153">
        <v>-5.733493771</v>
      </c>
      <c r="BP153">
        <v>-7.2211351129999999</v>
      </c>
      <c r="BQ153">
        <v>25.780776280000001</v>
      </c>
      <c r="BR153">
        <v>-35.719694279999999</v>
      </c>
      <c r="BS153">
        <v>3.61</v>
      </c>
      <c r="BT153">
        <v>1.64</v>
      </c>
      <c r="BU153" t="s">
        <v>97</v>
      </c>
      <c r="BV153" t="s">
        <v>97</v>
      </c>
      <c r="BW153" t="s">
        <v>97</v>
      </c>
      <c r="BX153">
        <v>83.2</v>
      </c>
      <c r="BY153">
        <v>2585</v>
      </c>
      <c r="BZ153">
        <v>6.7</v>
      </c>
      <c r="CA153">
        <v>813052</v>
      </c>
      <c r="CB153">
        <v>666163</v>
      </c>
      <c r="CC153">
        <v>666163</v>
      </c>
      <c r="CD153">
        <v>518692</v>
      </c>
      <c r="CE153">
        <v>669242</v>
      </c>
      <c r="CF153">
        <v>500743</v>
      </c>
      <c r="CG153">
        <v>605141</v>
      </c>
      <c r="CH153">
        <v>571771</v>
      </c>
      <c r="CI153">
        <v>681624</v>
      </c>
      <c r="CJ153">
        <v>606192</v>
      </c>
      <c r="CK153">
        <v>53.82</v>
      </c>
      <c r="CL153" t="s">
        <v>97</v>
      </c>
      <c r="CM153" t="s">
        <v>97</v>
      </c>
      <c r="CN153" t="s">
        <v>97</v>
      </c>
      <c r="CO153" t="s">
        <v>97</v>
      </c>
      <c r="CP153" t="s">
        <v>97</v>
      </c>
      <c r="CQ153" t="s">
        <v>97</v>
      </c>
      <c r="CR153" t="s">
        <v>97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 t="s">
        <v>107</v>
      </c>
      <c r="DB153" t="s">
        <v>107</v>
      </c>
      <c r="DC153">
        <v>319</v>
      </c>
      <c r="DD153">
        <v>0</v>
      </c>
      <c r="DE153">
        <v>4.2999999999999997E-2</v>
      </c>
      <c r="DF153" t="s">
        <v>97</v>
      </c>
      <c r="DG153" t="s">
        <v>97</v>
      </c>
    </row>
    <row r="154" spans="1:111" x14ac:dyDescent="0.2">
      <c r="A154">
        <v>2025</v>
      </c>
      <c r="B154" s="1">
        <v>45936</v>
      </c>
      <c r="C154" t="s">
        <v>95</v>
      </c>
      <c r="D154">
        <v>605483</v>
      </c>
      <c r="E154">
        <v>592663</v>
      </c>
      <c r="F154">
        <v>2</v>
      </c>
      <c r="G154">
        <v>2</v>
      </c>
      <c r="H154">
        <v>5</v>
      </c>
      <c r="I154" t="s">
        <v>163</v>
      </c>
      <c r="J154">
        <v>32</v>
      </c>
      <c r="K154">
        <v>5</v>
      </c>
      <c r="L154" t="s">
        <v>97</v>
      </c>
      <c r="M154" t="s">
        <v>98</v>
      </c>
      <c r="N154" t="s">
        <v>99</v>
      </c>
      <c r="O154">
        <f t="shared" si="32"/>
        <v>1</v>
      </c>
      <c r="P154">
        <f t="shared" si="33"/>
        <v>0</v>
      </c>
      <c r="Q154">
        <f t="shared" si="34"/>
        <v>0</v>
      </c>
      <c r="R154">
        <f t="shared" si="35"/>
        <v>0</v>
      </c>
      <c r="S154">
        <f t="shared" si="36"/>
        <v>0</v>
      </c>
      <c r="T154">
        <f t="shared" si="37"/>
        <v>0</v>
      </c>
      <c r="U154">
        <f t="shared" si="38"/>
        <v>0</v>
      </c>
      <c r="V154">
        <f t="shared" si="39"/>
        <v>0</v>
      </c>
      <c r="W154">
        <f t="shared" si="40"/>
        <v>0</v>
      </c>
      <c r="X154">
        <f t="shared" si="41"/>
        <v>0</v>
      </c>
      <c r="Y154">
        <f t="shared" si="42"/>
        <v>0</v>
      </c>
      <c r="Z154">
        <f t="shared" si="43"/>
        <v>0</v>
      </c>
      <c r="AA154">
        <f t="shared" si="44"/>
        <v>0</v>
      </c>
      <c r="AB154">
        <f t="shared" si="45"/>
        <v>0</v>
      </c>
      <c r="AC154">
        <f t="shared" si="46"/>
        <v>0</v>
      </c>
      <c r="AD154">
        <f t="shared" si="47"/>
        <v>0</v>
      </c>
      <c r="AE154">
        <v>96.2</v>
      </c>
      <c r="AF154">
        <v>1.98</v>
      </c>
      <c r="AG154">
        <v>6.62</v>
      </c>
      <c r="AH154" t="s">
        <v>129</v>
      </c>
      <c r="AI154" t="s">
        <v>97</v>
      </c>
      <c r="AJ154" t="s">
        <v>97</v>
      </c>
      <c r="AK154" t="s">
        <v>97</v>
      </c>
      <c r="AL154" t="s">
        <v>97</v>
      </c>
      <c r="AM154">
        <v>2</v>
      </c>
      <c r="AN154" t="s">
        <v>130</v>
      </c>
      <c r="AO154" t="s">
        <v>164</v>
      </c>
      <c r="AP154" t="s">
        <v>122</v>
      </c>
      <c r="AQ154" t="s">
        <v>103</v>
      </c>
      <c r="AR154" t="s">
        <v>165</v>
      </c>
      <c r="AS154" t="s">
        <v>104</v>
      </c>
      <c r="AT154" t="s">
        <v>110</v>
      </c>
      <c r="AU154" t="s">
        <v>97</v>
      </c>
      <c r="AV154" t="s">
        <v>97</v>
      </c>
      <c r="AW154">
        <v>0.62</v>
      </c>
      <c r="AX154">
        <v>1.74</v>
      </c>
      <c r="AY154">
        <v>0.25</v>
      </c>
      <c r="AZ154">
        <v>3.48</v>
      </c>
      <c r="BA154" t="s">
        <v>97</v>
      </c>
      <c r="BB154" t="s">
        <v>97</v>
      </c>
      <c r="BC154" t="s">
        <v>97</v>
      </c>
      <c r="BD154">
        <v>0</v>
      </c>
      <c r="BE154" t="s">
        <v>97</v>
      </c>
      <c r="BF154" t="s">
        <v>97</v>
      </c>
      <c r="BG154" t="s">
        <v>97</v>
      </c>
      <c r="BH154" t="s">
        <v>97</v>
      </c>
      <c r="BI154">
        <v>666163</v>
      </c>
      <c r="BJ154">
        <v>666163</v>
      </c>
      <c r="BK154" t="s">
        <v>97</v>
      </c>
      <c r="BL154" t="s">
        <v>97</v>
      </c>
      <c r="BM154">
        <v>-6.0175706839999998</v>
      </c>
      <c r="BN154">
        <v>-139.8272431</v>
      </c>
      <c r="BO154">
        <v>-6.6784112420000001</v>
      </c>
      <c r="BP154">
        <v>9.5060770229999996</v>
      </c>
      <c r="BQ154">
        <v>33.013317450000002</v>
      </c>
      <c r="BR154">
        <v>-8.1017885070000002</v>
      </c>
      <c r="BS154">
        <v>3.66</v>
      </c>
      <c r="BT154">
        <v>1.74</v>
      </c>
      <c r="BU154" t="s">
        <v>97</v>
      </c>
      <c r="BV154" t="s">
        <v>97</v>
      </c>
      <c r="BW154" t="s">
        <v>97</v>
      </c>
      <c r="BX154">
        <v>96.5</v>
      </c>
      <c r="BY154">
        <v>2478</v>
      </c>
      <c r="BZ154">
        <v>6.6</v>
      </c>
      <c r="CA154">
        <v>813052</v>
      </c>
      <c r="CB154">
        <v>666163</v>
      </c>
      <c r="CC154">
        <v>666163</v>
      </c>
      <c r="CD154">
        <v>518692</v>
      </c>
      <c r="CE154">
        <v>669242</v>
      </c>
      <c r="CF154">
        <v>500743</v>
      </c>
      <c r="CG154">
        <v>605141</v>
      </c>
      <c r="CH154">
        <v>571771</v>
      </c>
      <c r="CI154">
        <v>681624</v>
      </c>
      <c r="CJ154">
        <v>606192</v>
      </c>
      <c r="CK154">
        <v>53.86</v>
      </c>
      <c r="CL154" t="s">
        <v>97</v>
      </c>
      <c r="CM154" t="s">
        <v>97</v>
      </c>
      <c r="CN154" t="s">
        <v>97</v>
      </c>
      <c r="CO154" t="s">
        <v>97</v>
      </c>
      <c r="CP154" t="s">
        <v>97</v>
      </c>
      <c r="CQ154" t="s">
        <v>97</v>
      </c>
      <c r="CR154" t="s">
        <v>97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 t="s">
        <v>107</v>
      </c>
      <c r="DB154" t="s">
        <v>107</v>
      </c>
      <c r="DC154">
        <v>158</v>
      </c>
      <c r="DD154">
        <v>0</v>
      </c>
      <c r="DE154">
        <v>0</v>
      </c>
      <c r="DF154">
        <v>70.099999999999994</v>
      </c>
      <c r="DG154">
        <v>6.4</v>
      </c>
    </row>
    <row r="155" spans="1:111" x14ac:dyDescent="0.2">
      <c r="A155">
        <v>2025</v>
      </c>
      <c r="B155" s="1">
        <v>45936</v>
      </c>
      <c r="C155" t="s">
        <v>95</v>
      </c>
      <c r="D155">
        <v>605483</v>
      </c>
      <c r="E155">
        <v>592663</v>
      </c>
      <c r="F155">
        <v>2</v>
      </c>
      <c r="G155">
        <v>2</v>
      </c>
      <c r="H155">
        <v>5</v>
      </c>
      <c r="I155" t="s">
        <v>163</v>
      </c>
      <c r="J155">
        <v>32</v>
      </c>
      <c r="K155">
        <v>6</v>
      </c>
      <c r="L155" t="s">
        <v>97</v>
      </c>
      <c r="M155" t="s">
        <v>98</v>
      </c>
      <c r="N155" t="s">
        <v>99</v>
      </c>
      <c r="O155">
        <f t="shared" si="32"/>
        <v>1</v>
      </c>
      <c r="P155">
        <f t="shared" si="33"/>
        <v>0</v>
      </c>
      <c r="Q155">
        <f t="shared" si="34"/>
        <v>0</v>
      </c>
      <c r="R155">
        <f t="shared" si="35"/>
        <v>0</v>
      </c>
      <c r="S155">
        <f t="shared" si="36"/>
        <v>0</v>
      </c>
      <c r="T155">
        <f t="shared" si="37"/>
        <v>0</v>
      </c>
      <c r="U155">
        <f t="shared" si="38"/>
        <v>0</v>
      </c>
      <c r="V155">
        <f t="shared" si="39"/>
        <v>0</v>
      </c>
      <c r="W155">
        <f t="shared" si="40"/>
        <v>0</v>
      </c>
      <c r="X155">
        <f t="shared" si="41"/>
        <v>0</v>
      </c>
      <c r="Y155">
        <f t="shared" si="42"/>
        <v>0</v>
      </c>
      <c r="Z155">
        <f t="shared" si="43"/>
        <v>0</v>
      </c>
      <c r="AA155">
        <f t="shared" si="44"/>
        <v>0</v>
      </c>
      <c r="AB155">
        <f t="shared" si="45"/>
        <v>0</v>
      </c>
      <c r="AC155">
        <f t="shared" si="46"/>
        <v>0</v>
      </c>
      <c r="AD155">
        <f t="shared" si="47"/>
        <v>0</v>
      </c>
      <c r="AE155">
        <v>95.6</v>
      </c>
      <c r="AF155">
        <v>1.78</v>
      </c>
      <c r="AG155">
        <v>6.63</v>
      </c>
      <c r="AH155" t="s">
        <v>100</v>
      </c>
      <c r="AI155" t="s">
        <v>97</v>
      </c>
      <c r="AJ155" t="s">
        <v>97</v>
      </c>
      <c r="AK155" t="s">
        <v>97</v>
      </c>
      <c r="AL155" t="s">
        <v>97</v>
      </c>
      <c r="AM155">
        <v>13</v>
      </c>
      <c r="AN155" t="s">
        <v>101</v>
      </c>
      <c r="AO155" t="s">
        <v>164</v>
      </c>
      <c r="AP155" t="s">
        <v>122</v>
      </c>
      <c r="AQ155" t="s">
        <v>103</v>
      </c>
      <c r="AR155" t="s">
        <v>165</v>
      </c>
      <c r="AS155" t="s">
        <v>104</v>
      </c>
      <c r="AT155" t="s">
        <v>106</v>
      </c>
      <c r="AU155" t="s">
        <v>97</v>
      </c>
      <c r="AV155" t="s">
        <v>97</v>
      </c>
      <c r="AW155">
        <v>0.11</v>
      </c>
      <c r="AX155">
        <v>1.53</v>
      </c>
      <c r="AY155">
        <v>-1.36</v>
      </c>
      <c r="AZ155">
        <v>2.25</v>
      </c>
      <c r="BA155" t="s">
        <v>97</v>
      </c>
      <c r="BB155" t="s">
        <v>97</v>
      </c>
      <c r="BC155" t="s">
        <v>97</v>
      </c>
      <c r="BD155">
        <v>0</v>
      </c>
      <c r="BE155" t="s">
        <v>97</v>
      </c>
      <c r="BF155" t="s">
        <v>97</v>
      </c>
      <c r="BG155" t="s">
        <v>97</v>
      </c>
      <c r="BH155" t="s">
        <v>97</v>
      </c>
      <c r="BI155">
        <v>666163</v>
      </c>
      <c r="BJ155">
        <v>666163</v>
      </c>
      <c r="BK155" t="s">
        <v>97</v>
      </c>
      <c r="BL155" t="s">
        <v>97</v>
      </c>
      <c r="BM155">
        <v>-8.5893565089999999</v>
      </c>
      <c r="BN155">
        <v>-138.7474</v>
      </c>
      <c r="BO155">
        <v>-9.4245916689999998</v>
      </c>
      <c r="BP155">
        <v>3.382448396</v>
      </c>
      <c r="BQ155">
        <v>30.70963647</v>
      </c>
      <c r="BR155">
        <v>-10.407831740000001</v>
      </c>
      <c r="BS155">
        <v>3.56</v>
      </c>
      <c r="BT155">
        <v>1.69</v>
      </c>
      <c r="BU155" t="s">
        <v>97</v>
      </c>
      <c r="BV155" t="s">
        <v>97</v>
      </c>
      <c r="BW155" t="s">
        <v>97</v>
      </c>
      <c r="BX155">
        <v>96.2</v>
      </c>
      <c r="BY155">
        <v>2445</v>
      </c>
      <c r="BZ155">
        <v>6.7</v>
      </c>
      <c r="CA155">
        <v>813052</v>
      </c>
      <c r="CB155">
        <v>666163</v>
      </c>
      <c r="CC155">
        <v>666163</v>
      </c>
      <c r="CD155">
        <v>518692</v>
      </c>
      <c r="CE155">
        <v>669242</v>
      </c>
      <c r="CF155">
        <v>500743</v>
      </c>
      <c r="CG155">
        <v>605141</v>
      </c>
      <c r="CH155">
        <v>571771</v>
      </c>
      <c r="CI155">
        <v>681624</v>
      </c>
      <c r="CJ155">
        <v>606192</v>
      </c>
      <c r="CK155">
        <v>53.76</v>
      </c>
      <c r="CL155" t="s">
        <v>97</v>
      </c>
      <c r="CM155" t="s">
        <v>97</v>
      </c>
      <c r="CN155" t="s">
        <v>97</v>
      </c>
      <c r="CO155" t="s">
        <v>97</v>
      </c>
      <c r="CP155" t="s">
        <v>97</v>
      </c>
      <c r="CQ155" t="s">
        <v>97</v>
      </c>
      <c r="CR155" t="s">
        <v>97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 t="s">
        <v>107</v>
      </c>
      <c r="DB155" t="s">
        <v>107</v>
      </c>
      <c r="DC155">
        <v>166</v>
      </c>
      <c r="DD155">
        <v>0</v>
      </c>
      <c r="DE155">
        <v>0.112</v>
      </c>
      <c r="DF155" t="s">
        <v>97</v>
      </c>
      <c r="DG155" t="s">
        <v>97</v>
      </c>
    </row>
    <row r="156" spans="1:111" x14ac:dyDescent="0.2">
      <c r="A156">
        <v>2025</v>
      </c>
      <c r="B156" s="1">
        <v>45936</v>
      </c>
      <c r="C156" t="s">
        <v>95</v>
      </c>
      <c r="D156">
        <v>605483</v>
      </c>
      <c r="E156">
        <v>592663</v>
      </c>
      <c r="F156">
        <v>3</v>
      </c>
      <c r="G156">
        <v>2</v>
      </c>
      <c r="H156">
        <v>5</v>
      </c>
      <c r="I156" t="s">
        <v>163</v>
      </c>
      <c r="J156">
        <v>32</v>
      </c>
      <c r="K156">
        <v>7</v>
      </c>
      <c r="L156" t="s">
        <v>119</v>
      </c>
      <c r="M156" t="s">
        <v>98</v>
      </c>
      <c r="N156" t="s">
        <v>99</v>
      </c>
      <c r="O156">
        <f t="shared" si="32"/>
        <v>1</v>
      </c>
      <c r="P156">
        <f t="shared" si="33"/>
        <v>0</v>
      </c>
      <c r="Q156">
        <f t="shared" si="34"/>
        <v>0</v>
      </c>
      <c r="R156">
        <f t="shared" si="35"/>
        <v>0</v>
      </c>
      <c r="S156">
        <f t="shared" si="36"/>
        <v>0</v>
      </c>
      <c r="T156">
        <f t="shared" si="37"/>
        <v>0</v>
      </c>
      <c r="U156">
        <f t="shared" si="38"/>
        <v>0</v>
      </c>
      <c r="V156">
        <f t="shared" si="39"/>
        <v>0</v>
      </c>
      <c r="W156">
        <f t="shared" si="40"/>
        <v>0</v>
      </c>
      <c r="X156">
        <f t="shared" si="41"/>
        <v>0</v>
      </c>
      <c r="Y156">
        <f t="shared" si="42"/>
        <v>0</v>
      </c>
      <c r="Z156">
        <f t="shared" si="43"/>
        <v>0</v>
      </c>
      <c r="AA156">
        <f t="shared" si="44"/>
        <v>0</v>
      </c>
      <c r="AB156">
        <f t="shared" si="45"/>
        <v>0</v>
      </c>
      <c r="AC156">
        <f t="shared" si="46"/>
        <v>0</v>
      </c>
      <c r="AD156">
        <f t="shared" si="47"/>
        <v>0</v>
      </c>
      <c r="AE156">
        <v>97.4</v>
      </c>
      <c r="AF156">
        <v>1.9</v>
      </c>
      <c r="AG156">
        <v>6.6</v>
      </c>
      <c r="AH156" t="s">
        <v>120</v>
      </c>
      <c r="AI156" t="s">
        <v>97</v>
      </c>
      <c r="AJ156" t="s">
        <v>97</v>
      </c>
      <c r="AK156" t="s">
        <v>97</v>
      </c>
      <c r="AL156" t="s">
        <v>97</v>
      </c>
      <c r="AM156">
        <v>11</v>
      </c>
      <c r="AN156" t="s">
        <v>181</v>
      </c>
      <c r="AO156" t="s">
        <v>164</v>
      </c>
      <c r="AP156" t="s">
        <v>122</v>
      </c>
      <c r="AQ156" t="s">
        <v>103</v>
      </c>
      <c r="AR156" t="s">
        <v>165</v>
      </c>
      <c r="AS156" t="s">
        <v>104</v>
      </c>
      <c r="AT156" t="s">
        <v>123</v>
      </c>
      <c r="AU156">
        <v>9</v>
      </c>
      <c r="AV156" t="s">
        <v>124</v>
      </c>
      <c r="AW156">
        <v>0.2</v>
      </c>
      <c r="AX156">
        <v>1.54</v>
      </c>
      <c r="AY156">
        <v>0</v>
      </c>
      <c r="AZ156">
        <v>3.98</v>
      </c>
      <c r="BA156" t="s">
        <v>97</v>
      </c>
      <c r="BB156" t="s">
        <v>97</v>
      </c>
      <c r="BC156" t="s">
        <v>97</v>
      </c>
      <c r="BD156">
        <v>0</v>
      </c>
      <c r="BE156">
        <v>186.6</v>
      </c>
      <c r="BF156">
        <v>88.32</v>
      </c>
      <c r="BG156" t="s">
        <v>97</v>
      </c>
      <c r="BH156" t="s">
        <v>97</v>
      </c>
      <c r="BI156">
        <v>666163</v>
      </c>
      <c r="BJ156">
        <v>666163</v>
      </c>
      <c r="BK156" t="s">
        <v>97</v>
      </c>
      <c r="BL156" t="s">
        <v>97</v>
      </c>
      <c r="BM156">
        <v>-5.5952350419999997</v>
      </c>
      <c r="BN156">
        <v>-141.6396895</v>
      </c>
      <c r="BO156">
        <v>-5.0532520999999999</v>
      </c>
      <c r="BP156">
        <v>4.0138715810000001</v>
      </c>
      <c r="BQ156">
        <v>34.084660409999998</v>
      </c>
      <c r="BR156">
        <v>-10.50433818</v>
      </c>
      <c r="BS156">
        <v>3.66</v>
      </c>
      <c r="BT156">
        <v>1.74</v>
      </c>
      <c r="BU156">
        <v>313</v>
      </c>
      <c r="BV156">
        <v>87.5</v>
      </c>
      <c r="BW156">
        <v>38</v>
      </c>
      <c r="BX156">
        <v>97.8</v>
      </c>
      <c r="BY156">
        <v>2445</v>
      </c>
      <c r="BZ156">
        <v>6.7</v>
      </c>
      <c r="CA156">
        <v>813052</v>
      </c>
      <c r="CB156">
        <v>666163</v>
      </c>
      <c r="CC156">
        <v>666163</v>
      </c>
      <c r="CD156">
        <v>518692</v>
      </c>
      <c r="CE156">
        <v>669242</v>
      </c>
      <c r="CF156">
        <v>500743</v>
      </c>
      <c r="CG156">
        <v>605141</v>
      </c>
      <c r="CH156">
        <v>571771</v>
      </c>
      <c r="CI156">
        <v>681624</v>
      </c>
      <c r="CJ156">
        <v>606192</v>
      </c>
      <c r="CK156">
        <v>53.83</v>
      </c>
      <c r="CL156">
        <v>1.7000000000000001E-2</v>
      </c>
      <c r="CM156">
        <v>2.4E-2</v>
      </c>
      <c r="CN156">
        <v>0</v>
      </c>
      <c r="CO156">
        <v>1</v>
      </c>
      <c r="CP156">
        <v>0</v>
      </c>
      <c r="CQ156">
        <v>0</v>
      </c>
      <c r="CR156">
        <v>3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 t="s">
        <v>107</v>
      </c>
      <c r="DB156" t="s">
        <v>107</v>
      </c>
      <c r="DC156">
        <v>159</v>
      </c>
      <c r="DD156">
        <v>-2.9000000000000001E-2</v>
      </c>
      <c r="DE156">
        <v>-0.34499999999999997</v>
      </c>
      <c r="DF156">
        <v>67.7</v>
      </c>
      <c r="DG156">
        <v>6.2</v>
      </c>
    </row>
    <row r="157" spans="1:111" x14ac:dyDescent="0.2">
      <c r="A157">
        <v>2025</v>
      </c>
      <c r="B157" s="1">
        <v>45936</v>
      </c>
      <c r="C157" t="s">
        <v>95</v>
      </c>
      <c r="D157">
        <v>605483</v>
      </c>
      <c r="E157">
        <v>592206</v>
      </c>
      <c r="F157">
        <v>0</v>
      </c>
      <c r="G157">
        <v>0</v>
      </c>
      <c r="H157">
        <v>5</v>
      </c>
      <c r="I157" t="s">
        <v>163</v>
      </c>
      <c r="J157">
        <v>33</v>
      </c>
      <c r="K157">
        <v>1</v>
      </c>
      <c r="L157" t="s">
        <v>97</v>
      </c>
      <c r="M157" t="s">
        <v>98</v>
      </c>
      <c r="N157" t="s">
        <v>99</v>
      </c>
      <c r="O157">
        <f t="shared" si="32"/>
        <v>0</v>
      </c>
      <c r="P157">
        <f t="shared" si="33"/>
        <v>0</v>
      </c>
      <c r="Q157">
        <f t="shared" si="34"/>
        <v>1</v>
      </c>
      <c r="R157">
        <f t="shared" si="35"/>
        <v>0</v>
      </c>
      <c r="S157">
        <f t="shared" si="36"/>
        <v>0</v>
      </c>
      <c r="T157">
        <f t="shared" si="37"/>
        <v>0</v>
      </c>
      <c r="U157">
        <f t="shared" si="38"/>
        <v>0</v>
      </c>
      <c r="V157">
        <f t="shared" si="39"/>
        <v>0</v>
      </c>
      <c r="W157">
        <f t="shared" si="40"/>
        <v>0</v>
      </c>
      <c r="X157">
        <f t="shared" si="41"/>
        <v>0</v>
      </c>
      <c r="Y157">
        <f t="shared" si="42"/>
        <v>0</v>
      </c>
      <c r="Z157">
        <f t="shared" si="43"/>
        <v>0</v>
      </c>
      <c r="AA157">
        <f t="shared" si="44"/>
        <v>0</v>
      </c>
      <c r="AB157">
        <f t="shared" si="45"/>
        <v>0</v>
      </c>
      <c r="AC157">
        <f t="shared" si="46"/>
        <v>0</v>
      </c>
      <c r="AD157">
        <f t="shared" si="47"/>
        <v>0</v>
      </c>
      <c r="AE157">
        <v>96.6</v>
      </c>
      <c r="AF157">
        <v>2.0099999999999998</v>
      </c>
      <c r="AG157">
        <v>6.58</v>
      </c>
      <c r="AH157" t="s">
        <v>108</v>
      </c>
      <c r="AI157" t="s">
        <v>97</v>
      </c>
      <c r="AJ157" t="s">
        <v>97</v>
      </c>
      <c r="AK157" t="s">
        <v>97</v>
      </c>
      <c r="AL157" t="s">
        <v>97</v>
      </c>
      <c r="AM157">
        <v>9</v>
      </c>
      <c r="AN157" t="s">
        <v>109</v>
      </c>
      <c r="AO157" t="s">
        <v>164</v>
      </c>
      <c r="AP157" t="s">
        <v>122</v>
      </c>
      <c r="AQ157" t="s">
        <v>103</v>
      </c>
      <c r="AR157" t="s">
        <v>165</v>
      </c>
      <c r="AS157" t="s">
        <v>104</v>
      </c>
      <c r="AT157" t="s">
        <v>110</v>
      </c>
      <c r="AU157" t="s">
        <v>97</v>
      </c>
      <c r="AV157" t="s">
        <v>97</v>
      </c>
      <c r="AW157">
        <v>0.39</v>
      </c>
      <c r="AX157">
        <v>1.46</v>
      </c>
      <c r="AY157">
        <v>0.59</v>
      </c>
      <c r="AZ157">
        <v>1.87</v>
      </c>
      <c r="BA157" t="s">
        <v>97</v>
      </c>
      <c r="BB157" t="s">
        <v>97</v>
      </c>
      <c r="BC157" t="s">
        <v>97</v>
      </c>
      <c r="BD157">
        <v>1</v>
      </c>
      <c r="BE157" t="s">
        <v>97</v>
      </c>
      <c r="BF157" t="s">
        <v>97</v>
      </c>
      <c r="BG157" t="s">
        <v>97</v>
      </c>
      <c r="BH157" t="s">
        <v>97</v>
      </c>
      <c r="BI157">
        <v>666163</v>
      </c>
      <c r="BJ157">
        <v>666163</v>
      </c>
      <c r="BK157" t="s">
        <v>97</v>
      </c>
      <c r="BL157" t="s">
        <v>97</v>
      </c>
      <c r="BM157">
        <v>-4.7015138680000002</v>
      </c>
      <c r="BN157">
        <v>-140.36873439999999</v>
      </c>
      <c r="BO157">
        <v>-10.38113154</v>
      </c>
      <c r="BP157">
        <v>6.1760543749999997</v>
      </c>
      <c r="BQ157">
        <v>31.858408449999999</v>
      </c>
      <c r="BR157">
        <v>-10.71445509</v>
      </c>
      <c r="BS157">
        <v>3.79</v>
      </c>
      <c r="BT157">
        <v>1.79</v>
      </c>
      <c r="BU157" t="s">
        <v>97</v>
      </c>
      <c r="BV157" t="s">
        <v>97</v>
      </c>
      <c r="BW157" t="s">
        <v>97</v>
      </c>
      <c r="BX157">
        <v>97.4</v>
      </c>
      <c r="BY157">
        <v>2430</v>
      </c>
      <c r="BZ157">
        <v>6.8</v>
      </c>
      <c r="CA157">
        <v>813052</v>
      </c>
      <c r="CB157">
        <v>666163</v>
      </c>
      <c r="CC157">
        <v>666163</v>
      </c>
      <c r="CD157">
        <v>518692</v>
      </c>
      <c r="CE157">
        <v>669242</v>
      </c>
      <c r="CF157">
        <v>500743</v>
      </c>
      <c r="CG157">
        <v>605141</v>
      </c>
      <c r="CH157">
        <v>571771</v>
      </c>
      <c r="CI157">
        <v>681624</v>
      </c>
      <c r="CJ157">
        <v>606192</v>
      </c>
      <c r="CK157">
        <v>53.66</v>
      </c>
      <c r="CL157" t="s">
        <v>97</v>
      </c>
      <c r="CM157" t="s">
        <v>97</v>
      </c>
      <c r="CN157" t="s">
        <v>97</v>
      </c>
      <c r="CO157" t="s">
        <v>97</v>
      </c>
      <c r="CP157" t="s">
        <v>97</v>
      </c>
      <c r="CQ157" t="s">
        <v>97</v>
      </c>
      <c r="CR157" t="s">
        <v>97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 t="s">
        <v>107</v>
      </c>
      <c r="DB157" t="s">
        <v>107</v>
      </c>
      <c r="DC157">
        <v>159</v>
      </c>
      <c r="DD157">
        <v>0</v>
      </c>
      <c r="DE157">
        <v>-3.9E-2</v>
      </c>
      <c r="DF157" t="s">
        <v>97</v>
      </c>
      <c r="DG157" t="s">
        <v>97</v>
      </c>
    </row>
    <row r="158" spans="1:111" x14ac:dyDescent="0.2">
      <c r="A158">
        <v>2025</v>
      </c>
      <c r="B158" s="1">
        <v>45936</v>
      </c>
      <c r="C158" t="s">
        <v>95</v>
      </c>
      <c r="D158">
        <v>605483</v>
      </c>
      <c r="E158">
        <v>592206</v>
      </c>
      <c r="F158">
        <v>0</v>
      </c>
      <c r="G158">
        <v>1</v>
      </c>
      <c r="H158">
        <v>5</v>
      </c>
      <c r="I158" t="s">
        <v>163</v>
      </c>
      <c r="J158">
        <v>33</v>
      </c>
      <c r="K158">
        <v>2</v>
      </c>
      <c r="L158" t="s">
        <v>97</v>
      </c>
      <c r="M158" t="s">
        <v>132</v>
      </c>
      <c r="N158" t="s">
        <v>133</v>
      </c>
      <c r="O158">
        <f t="shared" si="32"/>
        <v>0</v>
      </c>
      <c r="P158">
        <f t="shared" si="33"/>
        <v>0</v>
      </c>
      <c r="Q158">
        <f t="shared" si="34"/>
        <v>0</v>
      </c>
      <c r="R158">
        <f t="shared" si="35"/>
        <v>0</v>
      </c>
      <c r="S158">
        <f t="shared" si="36"/>
        <v>0</v>
      </c>
      <c r="T158">
        <f t="shared" si="37"/>
        <v>0</v>
      </c>
      <c r="U158">
        <f t="shared" si="38"/>
        <v>0</v>
      </c>
      <c r="V158">
        <f t="shared" si="39"/>
        <v>0</v>
      </c>
      <c r="W158">
        <f t="shared" si="40"/>
        <v>1</v>
      </c>
      <c r="X158">
        <f t="shared" si="41"/>
        <v>0</v>
      </c>
      <c r="Y158">
        <f t="shared" si="42"/>
        <v>0</v>
      </c>
      <c r="Z158">
        <f t="shared" si="43"/>
        <v>0</v>
      </c>
      <c r="AA158">
        <f t="shared" si="44"/>
        <v>0</v>
      </c>
      <c r="AB158">
        <f t="shared" si="45"/>
        <v>0</v>
      </c>
      <c r="AC158">
        <f t="shared" si="46"/>
        <v>0</v>
      </c>
      <c r="AD158">
        <f t="shared" si="47"/>
        <v>0</v>
      </c>
      <c r="AE158">
        <v>87.3</v>
      </c>
      <c r="AF158">
        <v>2.2799999999999998</v>
      </c>
      <c r="AG158">
        <v>6.37</v>
      </c>
      <c r="AH158" t="s">
        <v>100</v>
      </c>
      <c r="AI158" t="s">
        <v>97</v>
      </c>
      <c r="AJ158" t="s">
        <v>97</v>
      </c>
      <c r="AK158" t="s">
        <v>97</v>
      </c>
      <c r="AL158" t="s">
        <v>97</v>
      </c>
      <c r="AM158">
        <v>14</v>
      </c>
      <c r="AN158" t="s">
        <v>101</v>
      </c>
      <c r="AO158" t="s">
        <v>164</v>
      </c>
      <c r="AP158" t="s">
        <v>122</v>
      </c>
      <c r="AQ158" t="s">
        <v>103</v>
      </c>
      <c r="AR158" t="s">
        <v>165</v>
      </c>
      <c r="AS158" t="s">
        <v>104</v>
      </c>
      <c r="AT158" t="s">
        <v>106</v>
      </c>
      <c r="AU158" t="s">
        <v>97</v>
      </c>
      <c r="AV158" t="s">
        <v>97</v>
      </c>
      <c r="AW158">
        <v>1.32</v>
      </c>
      <c r="AX158">
        <v>0.43</v>
      </c>
      <c r="AY158">
        <v>1.74</v>
      </c>
      <c r="AZ158">
        <v>0.7</v>
      </c>
      <c r="BA158" t="s">
        <v>97</v>
      </c>
      <c r="BB158" t="s">
        <v>97</v>
      </c>
      <c r="BC158" t="s">
        <v>97</v>
      </c>
      <c r="BD158">
        <v>1</v>
      </c>
      <c r="BE158" t="s">
        <v>97</v>
      </c>
      <c r="BF158" t="s">
        <v>97</v>
      </c>
      <c r="BG158" t="s">
        <v>97</v>
      </c>
      <c r="BH158" t="s">
        <v>97</v>
      </c>
      <c r="BI158">
        <v>666163</v>
      </c>
      <c r="BJ158">
        <v>666163</v>
      </c>
      <c r="BK158" t="s">
        <v>97</v>
      </c>
      <c r="BL158" t="s">
        <v>97</v>
      </c>
      <c r="BM158">
        <v>-4.0627034579999997</v>
      </c>
      <c r="BN158">
        <v>-126.90241949999999</v>
      </c>
      <c r="BO158">
        <v>-8.4533440730000002</v>
      </c>
      <c r="BP158">
        <v>15.064314810000001</v>
      </c>
      <c r="BQ158">
        <v>26.81573946</v>
      </c>
      <c r="BR158">
        <v>-25.90064757</v>
      </c>
      <c r="BS158">
        <v>3.74</v>
      </c>
      <c r="BT158">
        <v>1.74</v>
      </c>
      <c r="BU158" t="s">
        <v>97</v>
      </c>
      <c r="BV158" t="s">
        <v>97</v>
      </c>
      <c r="BW158" t="s">
        <v>97</v>
      </c>
      <c r="BX158">
        <v>88.2</v>
      </c>
      <c r="BY158">
        <v>1788</v>
      </c>
      <c r="BZ158">
        <v>7</v>
      </c>
      <c r="CA158">
        <v>813052</v>
      </c>
      <c r="CB158">
        <v>666163</v>
      </c>
      <c r="CC158">
        <v>666163</v>
      </c>
      <c r="CD158">
        <v>518692</v>
      </c>
      <c r="CE158">
        <v>669242</v>
      </c>
      <c r="CF158">
        <v>500743</v>
      </c>
      <c r="CG158">
        <v>605141</v>
      </c>
      <c r="CH158">
        <v>571771</v>
      </c>
      <c r="CI158">
        <v>681624</v>
      </c>
      <c r="CJ158">
        <v>606192</v>
      </c>
      <c r="CK158">
        <v>53.54</v>
      </c>
      <c r="CL158" t="s">
        <v>97</v>
      </c>
      <c r="CM158" t="s">
        <v>97</v>
      </c>
      <c r="CN158" t="s">
        <v>97</v>
      </c>
      <c r="CO158" t="s">
        <v>97</v>
      </c>
      <c r="CP158" t="s">
        <v>97</v>
      </c>
      <c r="CQ158" t="s">
        <v>97</v>
      </c>
      <c r="CR158" t="s">
        <v>97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 t="s">
        <v>107</v>
      </c>
      <c r="DB158" t="s">
        <v>107</v>
      </c>
      <c r="DC158">
        <v>124</v>
      </c>
      <c r="DD158">
        <v>0</v>
      </c>
      <c r="DE158">
        <v>2.8000000000000001E-2</v>
      </c>
      <c r="DF158" t="s">
        <v>97</v>
      </c>
      <c r="DG158" t="s">
        <v>97</v>
      </c>
    </row>
    <row r="159" spans="1:111" x14ac:dyDescent="0.2">
      <c r="A159">
        <v>2025</v>
      </c>
      <c r="B159" s="1">
        <v>45936</v>
      </c>
      <c r="C159" t="s">
        <v>95</v>
      </c>
      <c r="D159">
        <v>605483</v>
      </c>
      <c r="E159">
        <v>592206</v>
      </c>
      <c r="F159">
        <v>1</v>
      </c>
      <c r="G159">
        <v>1</v>
      </c>
      <c r="H159">
        <v>5</v>
      </c>
      <c r="I159" t="s">
        <v>163</v>
      </c>
      <c r="J159">
        <v>33</v>
      </c>
      <c r="K159">
        <v>3</v>
      </c>
      <c r="L159" t="s">
        <v>97</v>
      </c>
      <c r="M159" t="s">
        <v>132</v>
      </c>
      <c r="N159" t="s">
        <v>133</v>
      </c>
      <c r="O159">
        <f t="shared" si="32"/>
        <v>0</v>
      </c>
      <c r="P159">
        <f t="shared" si="33"/>
        <v>0</v>
      </c>
      <c r="Q159">
        <f t="shared" si="34"/>
        <v>0</v>
      </c>
      <c r="R159">
        <f t="shared" si="35"/>
        <v>0</v>
      </c>
      <c r="S159">
        <f t="shared" si="36"/>
        <v>0</v>
      </c>
      <c r="T159">
        <f t="shared" si="37"/>
        <v>0</v>
      </c>
      <c r="U159">
        <f t="shared" si="38"/>
        <v>0</v>
      </c>
      <c r="V159">
        <f t="shared" si="39"/>
        <v>0</v>
      </c>
      <c r="W159">
        <f t="shared" si="40"/>
        <v>0</v>
      </c>
      <c r="X159">
        <f t="shared" si="41"/>
        <v>1</v>
      </c>
      <c r="Y159">
        <f t="shared" si="42"/>
        <v>0</v>
      </c>
      <c r="Z159">
        <f t="shared" si="43"/>
        <v>0</v>
      </c>
      <c r="AA159">
        <f t="shared" si="44"/>
        <v>0</v>
      </c>
      <c r="AB159">
        <f t="shared" si="45"/>
        <v>0</v>
      </c>
      <c r="AC159">
        <f t="shared" si="46"/>
        <v>0</v>
      </c>
      <c r="AD159">
        <f t="shared" si="47"/>
        <v>0</v>
      </c>
      <c r="AE159">
        <v>86.4</v>
      </c>
      <c r="AF159">
        <v>2.2000000000000002</v>
      </c>
      <c r="AG159">
        <v>6.41</v>
      </c>
      <c r="AH159" t="s">
        <v>129</v>
      </c>
      <c r="AI159" t="s">
        <v>97</v>
      </c>
      <c r="AJ159" t="s">
        <v>97</v>
      </c>
      <c r="AK159" t="s">
        <v>97</v>
      </c>
      <c r="AL159" t="s">
        <v>97</v>
      </c>
      <c r="AM159">
        <v>14</v>
      </c>
      <c r="AN159" t="s">
        <v>130</v>
      </c>
      <c r="AO159" t="s">
        <v>164</v>
      </c>
      <c r="AP159" t="s">
        <v>122</v>
      </c>
      <c r="AQ159" t="s">
        <v>103</v>
      </c>
      <c r="AR159" t="s">
        <v>165</v>
      </c>
      <c r="AS159" t="s">
        <v>104</v>
      </c>
      <c r="AT159" t="s">
        <v>110</v>
      </c>
      <c r="AU159" t="s">
        <v>97</v>
      </c>
      <c r="AV159" t="s">
        <v>97</v>
      </c>
      <c r="AW159">
        <v>1.28</v>
      </c>
      <c r="AX159">
        <v>1.04</v>
      </c>
      <c r="AY159">
        <v>0.87</v>
      </c>
      <c r="AZ159">
        <v>2.4</v>
      </c>
      <c r="BA159" t="s">
        <v>97</v>
      </c>
      <c r="BB159" t="s">
        <v>97</v>
      </c>
      <c r="BC159" t="s">
        <v>97</v>
      </c>
      <c r="BD159">
        <v>1</v>
      </c>
      <c r="BE159" t="s">
        <v>97</v>
      </c>
      <c r="BF159" t="s">
        <v>97</v>
      </c>
      <c r="BG159" t="s">
        <v>97</v>
      </c>
      <c r="BH159" t="s">
        <v>97</v>
      </c>
      <c r="BI159">
        <v>666163</v>
      </c>
      <c r="BJ159">
        <v>666163</v>
      </c>
      <c r="BK159" t="s">
        <v>97</v>
      </c>
      <c r="BL159" t="s">
        <v>97</v>
      </c>
      <c r="BM159">
        <v>-5.8085274370000004</v>
      </c>
      <c r="BN159">
        <v>-125.6638523</v>
      </c>
      <c r="BO159">
        <v>-5.476337419</v>
      </c>
      <c r="BP159">
        <v>14.71106872</v>
      </c>
      <c r="BQ159">
        <v>26.39586491</v>
      </c>
      <c r="BR159">
        <v>-20.213301649999998</v>
      </c>
      <c r="BS159">
        <v>3.94</v>
      </c>
      <c r="BT159">
        <v>1.89</v>
      </c>
      <c r="BU159">
        <v>3</v>
      </c>
      <c r="BV159">
        <v>55.2</v>
      </c>
      <c r="BW159">
        <v>-38</v>
      </c>
      <c r="BX159">
        <v>86.9</v>
      </c>
      <c r="BY159">
        <v>2024</v>
      </c>
      <c r="BZ159">
        <v>6.7</v>
      </c>
      <c r="CA159">
        <v>813052</v>
      </c>
      <c r="CB159">
        <v>666163</v>
      </c>
      <c r="CC159">
        <v>666163</v>
      </c>
      <c r="CD159">
        <v>518692</v>
      </c>
      <c r="CE159">
        <v>669242</v>
      </c>
      <c r="CF159">
        <v>500743</v>
      </c>
      <c r="CG159">
        <v>605141</v>
      </c>
      <c r="CH159">
        <v>571771</v>
      </c>
      <c r="CI159">
        <v>681624</v>
      </c>
      <c r="CJ159">
        <v>606192</v>
      </c>
      <c r="CK159">
        <v>53.76</v>
      </c>
      <c r="CL159" t="s">
        <v>97</v>
      </c>
      <c r="CM159" t="s">
        <v>97</v>
      </c>
      <c r="CN159" t="s">
        <v>97</v>
      </c>
      <c r="CO159" t="s">
        <v>97</v>
      </c>
      <c r="CP159" t="s">
        <v>97</v>
      </c>
      <c r="CQ159" t="s">
        <v>97</v>
      </c>
      <c r="CR159" t="s">
        <v>97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 t="s">
        <v>107</v>
      </c>
      <c r="DB159" t="s">
        <v>107</v>
      </c>
      <c r="DC159">
        <v>129</v>
      </c>
      <c r="DD159">
        <v>0</v>
      </c>
      <c r="DE159">
        <v>-6.4000000000000001E-2</v>
      </c>
      <c r="DF159">
        <v>68.900000000000006</v>
      </c>
      <c r="DG159">
        <v>8.3000000000000007</v>
      </c>
    </row>
    <row r="160" spans="1:111" x14ac:dyDescent="0.2">
      <c r="A160">
        <v>2025</v>
      </c>
      <c r="B160" s="1">
        <v>45936</v>
      </c>
      <c r="C160" t="s">
        <v>95</v>
      </c>
      <c r="D160">
        <v>605483</v>
      </c>
      <c r="E160">
        <v>592206</v>
      </c>
      <c r="F160">
        <v>1</v>
      </c>
      <c r="G160">
        <v>2</v>
      </c>
      <c r="H160">
        <v>5</v>
      </c>
      <c r="I160" t="s">
        <v>163</v>
      </c>
      <c r="J160">
        <v>33</v>
      </c>
      <c r="K160">
        <v>4</v>
      </c>
      <c r="L160" t="s">
        <v>97</v>
      </c>
      <c r="M160" t="s">
        <v>98</v>
      </c>
      <c r="N160" t="s">
        <v>99</v>
      </c>
      <c r="O160">
        <f t="shared" si="32"/>
        <v>0</v>
      </c>
      <c r="P160">
        <f t="shared" si="33"/>
        <v>1</v>
      </c>
      <c r="Q160">
        <f t="shared" si="34"/>
        <v>0</v>
      </c>
      <c r="R160">
        <f t="shared" si="35"/>
        <v>0</v>
      </c>
      <c r="S160">
        <f t="shared" si="36"/>
        <v>0</v>
      </c>
      <c r="T160">
        <f t="shared" si="37"/>
        <v>0</v>
      </c>
      <c r="U160">
        <f t="shared" si="38"/>
        <v>0</v>
      </c>
      <c r="V160">
        <f t="shared" si="39"/>
        <v>0</v>
      </c>
      <c r="W160">
        <f t="shared" si="40"/>
        <v>0</v>
      </c>
      <c r="X160">
        <f t="shared" si="41"/>
        <v>0</v>
      </c>
      <c r="Y160">
        <f t="shared" si="42"/>
        <v>0</v>
      </c>
      <c r="Z160">
        <f t="shared" si="43"/>
        <v>0</v>
      </c>
      <c r="AA160">
        <f t="shared" si="44"/>
        <v>0</v>
      </c>
      <c r="AB160">
        <f t="shared" si="45"/>
        <v>0</v>
      </c>
      <c r="AC160">
        <f t="shared" si="46"/>
        <v>0</v>
      </c>
      <c r="AD160">
        <f t="shared" si="47"/>
        <v>0</v>
      </c>
      <c r="AE160">
        <v>96.6</v>
      </c>
      <c r="AF160">
        <v>1.85</v>
      </c>
      <c r="AG160">
        <v>6.59</v>
      </c>
      <c r="AH160" t="s">
        <v>129</v>
      </c>
      <c r="AI160" t="s">
        <v>97</v>
      </c>
      <c r="AJ160" t="s">
        <v>97</v>
      </c>
      <c r="AK160" t="s">
        <v>97</v>
      </c>
      <c r="AL160" t="s">
        <v>97</v>
      </c>
      <c r="AM160">
        <v>13</v>
      </c>
      <c r="AN160" t="s">
        <v>130</v>
      </c>
      <c r="AO160" t="s">
        <v>164</v>
      </c>
      <c r="AP160" t="s">
        <v>122</v>
      </c>
      <c r="AQ160" t="s">
        <v>103</v>
      </c>
      <c r="AR160" t="s">
        <v>165</v>
      </c>
      <c r="AS160" t="s">
        <v>104</v>
      </c>
      <c r="AT160" t="s">
        <v>110</v>
      </c>
      <c r="AU160" t="s">
        <v>97</v>
      </c>
      <c r="AV160" t="s">
        <v>97</v>
      </c>
      <c r="AW160">
        <v>0.21</v>
      </c>
      <c r="AX160">
        <v>1.45</v>
      </c>
      <c r="AY160">
        <v>-1.02</v>
      </c>
      <c r="AZ160">
        <v>2.8</v>
      </c>
      <c r="BA160" t="s">
        <v>97</v>
      </c>
      <c r="BB160" t="s">
        <v>97</v>
      </c>
      <c r="BC160" t="s">
        <v>97</v>
      </c>
      <c r="BD160">
        <v>1</v>
      </c>
      <c r="BE160" t="s">
        <v>97</v>
      </c>
      <c r="BF160" t="s">
        <v>97</v>
      </c>
      <c r="BG160" t="s">
        <v>97</v>
      </c>
      <c r="BH160" t="s">
        <v>97</v>
      </c>
      <c r="BI160">
        <v>666163</v>
      </c>
      <c r="BJ160">
        <v>666163</v>
      </c>
      <c r="BK160" t="s">
        <v>97</v>
      </c>
      <c r="BL160" t="s">
        <v>97</v>
      </c>
      <c r="BM160">
        <v>-8.1976927859999993</v>
      </c>
      <c r="BN160">
        <v>-140.31158049999999</v>
      </c>
      <c r="BO160">
        <v>-7.9090149439999999</v>
      </c>
      <c r="BP160">
        <v>4.5786517020000002</v>
      </c>
      <c r="BQ160">
        <v>31.235433090000001</v>
      </c>
      <c r="BR160">
        <v>-11.416675059999999</v>
      </c>
      <c r="BS160">
        <v>3.94</v>
      </c>
      <c r="BT160">
        <v>1.89</v>
      </c>
      <c r="BU160">
        <v>7</v>
      </c>
      <c r="BV160">
        <v>56</v>
      </c>
      <c r="BW160">
        <v>-20</v>
      </c>
      <c r="BX160">
        <v>97.5</v>
      </c>
      <c r="BY160">
        <v>2435</v>
      </c>
      <c r="BZ160">
        <v>6.8</v>
      </c>
      <c r="CA160">
        <v>813052</v>
      </c>
      <c r="CB160">
        <v>666163</v>
      </c>
      <c r="CC160">
        <v>666163</v>
      </c>
      <c r="CD160">
        <v>518692</v>
      </c>
      <c r="CE160">
        <v>669242</v>
      </c>
      <c r="CF160">
        <v>500743</v>
      </c>
      <c r="CG160">
        <v>605141</v>
      </c>
      <c r="CH160">
        <v>571771</v>
      </c>
      <c r="CI160">
        <v>681624</v>
      </c>
      <c r="CJ160">
        <v>606192</v>
      </c>
      <c r="CK160">
        <v>53.66</v>
      </c>
      <c r="CL160" t="s">
        <v>97</v>
      </c>
      <c r="CM160" t="s">
        <v>97</v>
      </c>
      <c r="CN160" t="s">
        <v>97</v>
      </c>
      <c r="CO160" t="s">
        <v>97</v>
      </c>
      <c r="CP160" t="s">
        <v>97</v>
      </c>
      <c r="CQ160" t="s">
        <v>97</v>
      </c>
      <c r="CR160" t="s">
        <v>97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 t="s">
        <v>107</v>
      </c>
      <c r="DB160" t="s">
        <v>107</v>
      </c>
      <c r="DC160">
        <v>160</v>
      </c>
      <c r="DD160">
        <v>0</v>
      </c>
      <c r="DE160">
        <v>0</v>
      </c>
      <c r="DF160">
        <v>70.2</v>
      </c>
      <c r="DG160">
        <v>6.7</v>
      </c>
    </row>
    <row r="161" spans="1:111" x14ac:dyDescent="0.2">
      <c r="A161">
        <v>2025</v>
      </c>
      <c r="B161" s="1">
        <v>45936</v>
      </c>
      <c r="C161" t="s">
        <v>95</v>
      </c>
      <c r="D161">
        <v>605483</v>
      </c>
      <c r="E161">
        <v>592206</v>
      </c>
      <c r="F161">
        <v>1</v>
      </c>
      <c r="G161">
        <v>2</v>
      </c>
      <c r="H161">
        <v>5</v>
      </c>
      <c r="I161" t="s">
        <v>163</v>
      </c>
      <c r="J161">
        <v>33</v>
      </c>
      <c r="K161">
        <v>5</v>
      </c>
      <c r="L161" t="s">
        <v>97</v>
      </c>
      <c r="M161" t="s">
        <v>111</v>
      </c>
      <c r="N161" t="s">
        <v>112</v>
      </c>
      <c r="O161">
        <f t="shared" si="32"/>
        <v>0</v>
      </c>
      <c r="P161">
        <f t="shared" si="33"/>
        <v>0</v>
      </c>
      <c r="Q161">
        <f t="shared" si="34"/>
        <v>0</v>
      </c>
      <c r="R161">
        <f t="shared" si="35"/>
        <v>0</v>
      </c>
      <c r="S161">
        <f t="shared" si="36"/>
        <v>1</v>
      </c>
      <c r="T161">
        <f t="shared" si="37"/>
        <v>0</v>
      </c>
      <c r="U161">
        <f t="shared" si="38"/>
        <v>0</v>
      </c>
      <c r="V161">
        <f t="shared" si="39"/>
        <v>0</v>
      </c>
      <c r="W161">
        <f t="shared" si="40"/>
        <v>0</v>
      </c>
      <c r="X161">
        <f t="shared" si="41"/>
        <v>0</v>
      </c>
      <c r="Y161">
        <f t="shared" si="42"/>
        <v>0</v>
      </c>
      <c r="Z161">
        <f t="shared" si="43"/>
        <v>0</v>
      </c>
      <c r="AA161">
        <f t="shared" si="44"/>
        <v>0</v>
      </c>
      <c r="AB161">
        <f t="shared" si="45"/>
        <v>0</v>
      </c>
      <c r="AC161">
        <f t="shared" si="46"/>
        <v>0</v>
      </c>
      <c r="AD161">
        <f t="shared" si="47"/>
        <v>0</v>
      </c>
      <c r="AE161">
        <v>82.9</v>
      </c>
      <c r="AF161">
        <v>1.86</v>
      </c>
      <c r="AG161">
        <v>6.54</v>
      </c>
      <c r="AH161" t="s">
        <v>100</v>
      </c>
      <c r="AI161" t="s">
        <v>97</v>
      </c>
      <c r="AJ161" t="s">
        <v>97</v>
      </c>
      <c r="AK161" t="s">
        <v>97</v>
      </c>
      <c r="AL161" t="s">
        <v>97</v>
      </c>
      <c r="AM161">
        <v>13</v>
      </c>
      <c r="AN161" t="s">
        <v>101</v>
      </c>
      <c r="AO161" t="s">
        <v>164</v>
      </c>
      <c r="AP161" t="s">
        <v>122</v>
      </c>
      <c r="AQ161" t="s">
        <v>103</v>
      </c>
      <c r="AR161" t="s">
        <v>165</v>
      </c>
      <c r="AS161" t="s">
        <v>104</v>
      </c>
      <c r="AT161" t="s">
        <v>106</v>
      </c>
      <c r="AU161" t="s">
        <v>97</v>
      </c>
      <c r="AV161" t="s">
        <v>97</v>
      </c>
      <c r="AW161">
        <v>-1.46</v>
      </c>
      <c r="AX161">
        <v>-0.69</v>
      </c>
      <c r="AY161">
        <v>-1.49</v>
      </c>
      <c r="AZ161">
        <v>0.15</v>
      </c>
      <c r="BA161" t="s">
        <v>97</v>
      </c>
      <c r="BB161" t="s">
        <v>97</v>
      </c>
      <c r="BC161" t="s">
        <v>97</v>
      </c>
      <c r="BD161">
        <v>1</v>
      </c>
      <c r="BE161" t="s">
        <v>97</v>
      </c>
      <c r="BF161" t="s">
        <v>97</v>
      </c>
      <c r="BG161" t="s">
        <v>97</v>
      </c>
      <c r="BH161" t="s">
        <v>97</v>
      </c>
      <c r="BI161">
        <v>666163</v>
      </c>
      <c r="BJ161">
        <v>666163</v>
      </c>
      <c r="BK161" t="s">
        <v>97</v>
      </c>
      <c r="BL161" t="s">
        <v>97</v>
      </c>
      <c r="BM161">
        <v>-4.8194885369999998</v>
      </c>
      <c r="BN161">
        <v>-120.4876883</v>
      </c>
      <c r="BO161">
        <v>-6.7790027740000003</v>
      </c>
      <c r="BP161">
        <v>-13.202606210000001</v>
      </c>
      <c r="BQ161">
        <v>24.74650969</v>
      </c>
      <c r="BR161">
        <v>-37.65513292</v>
      </c>
      <c r="BS161">
        <v>3.64</v>
      </c>
      <c r="BT161">
        <v>1.74</v>
      </c>
      <c r="BU161" t="s">
        <v>97</v>
      </c>
      <c r="BV161" t="s">
        <v>97</v>
      </c>
      <c r="BW161" t="s">
        <v>97</v>
      </c>
      <c r="BX161">
        <v>83.4</v>
      </c>
      <c r="BY161">
        <v>2657</v>
      </c>
      <c r="BZ161">
        <v>6.8</v>
      </c>
      <c r="CA161">
        <v>813052</v>
      </c>
      <c r="CB161">
        <v>666163</v>
      </c>
      <c r="CC161">
        <v>666163</v>
      </c>
      <c r="CD161">
        <v>518692</v>
      </c>
      <c r="CE161">
        <v>669242</v>
      </c>
      <c r="CF161">
        <v>500743</v>
      </c>
      <c r="CG161">
        <v>605141</v>
      </c>
      <c r="CH161">
        <v>571771</v>
      </c>
      <c r="CI161">
        <v>681624</v>
      </c>
      <c r="CJ161">
        <v>606192</v>
      </c>
      <c r="CK161">
        <v>53.68</v>
      </c>
      <c r="CL161" t="s">
        <v>97</v>
      </c>
      <c r="CM161" t="s">
        <v>97</v>
      </c>
      <c r="CN161" t="s">
        <v>97</v>
      </c>
      <c r="CO161" t="s">
        <v>97</v>
      </c>
      <c r="CP161" t="s">
        <v>97</v>
      </c>
      <c r="CQ161" t="s">
        <v>97</v>
      </c>
      <c r="CR161" t="s">
        <v>97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 t="s">
        <v>107</v>
      </c>
      <c r="DB161" t="s">
        <v>107</v>
      </c>
      <c r="DC161">
        <v>320</v>
      </c>
      <c r="DD161">
        <v>0</v>
      </c>
      <c r="DE161">
        <v>4.8000000000000001E-2</v>
      </c>
      <c r="DF161" t="s">
        <v>97</v>
      </c>
      <c r="DG161" t="s">
        <v>97</v>
      </c>
    </row>
    <row r="162" spans="1:111" x14ac:dyDescent="0.2">
      <c r="A162">
        <v>2025</v>
      </c>
      <c r="B162" s="1">
        <v>45936</v>
      </c>
      <c r="C162" t="s">
        <v>95</v>
      </c>
      <c r="D162">
        <v>605483</v>
      </c>
      <c r="E162">
        <v>592206</v>
      </c>
      <c r="F162">
        <v>2</v>
      </c>
      <c r="G162">
        <v>2</v>
      </c>
      <c r="H162">
        <v>5</v>
      </c>
      <c r="I162" t="s">
        <v>163</v>
      </c>
      <c r="J162">
        <v>33</v>
      </c>
      <c r="K162">
        <v>6</v>
      </c>
      <c r="L162" t="s">
        <v>97</v>
      </c>
      <c r="M162" t="s">
        <v>111</v>
      </c>
      <c r="N162" t="s">
        <v>112</v>
      </c>
      <c r="O162">
        <f t="shared" si="32"/>
        <v>0</v>
      </c>
      <c r="P162">
        <f t="shared" si="33"/>
        <v>0</v>
      </c>
      <c r="Q162">
        <f t="shared" si="34"/>
        <v>0</v>
      </c>
      <c r="R162">
        <f t="shared" si="35"/>
        <v>0</v>
      </c>
      <c r="S162">
        <f t="shared" si="36"/>
        <v>0</v>
      </c>
      <c r="T162">
        <f t="shared" si="37"/>
        <v>1</v>
      </c>
      <c r="U162">
        <f t="shared" si="38"/>
        <v>0</v>
      </c>
      <c r="V162">
        <f t="shared" si="39"/>
        <v>0</v>
      </c>
      <c r="W162">
        <f t="shared" si="40"/>
        <v>0</v>
      </c>
      <c r="X162">
        <f t="shared" si="41"/>
        <v>0</v>
      </c>
      <c r="Y162">
        <f t="shared" si="42"/>
        <v>0</v>
      </c>
      <c r="Z162">
        <f t="shared" si="43"/>
        <v>0</v>
      </c>
      <c r="AA162">
        <f t="shared" si="44"/>
        <v>0</v>
      </c>
      <c r="AB162">
        <f t="shared" si="45"/>
        <v>0</v>
      </c>
      <c r="AC162">
        <f t="shared" si="46"/>
        <v>0</v>
      </c>
      <c r="AD162">
        <f t="shared" si="47"/>
        <v>0</v>
      </c>
      <c r="AE162">
        <v>81</v>
      </c>
      <c r="AF162">
        <v>1.83</v>
      </c>
      <c r="AG162">
        <v>6.57</v>
      </c>
      <c r="AH162" t="s">
        <v>100</v>
      </c>
      <c r="AI162" t="s">
        <v>97</v>
      </c>
      <c r="AJ162" t="s">
        <v>97</v>
      </c>
      <c r="AK162" t="s">
        <v>97</v>
      </c>
      <c r="AL162" t="s">
        <v>97</v>
      </c>
      <c r="AM162">
        <v>13</v>
      </c>
      <c r="AN162" t="s">
        <v>101</v>
      </c>
      <c r="AO162" t="s">
        <v>164</v>
      </c>
      <c r="AP162" t="s">
        <v>122</v>
      </c>
      <c r="AQ162" t="s">
        <v>103</v>
      </c>
      <c r="AR162" t="s">
        <v>165</v>
      </c>
      <c r="AS162" t="s">
        <v>104</v>
      </c>
      <c r="AT162" t="s">
        <v>106</v>
      </c>
      <c r="AU162" t="s">
        <v>97</v>
      </c>
      <c r="AV162" t="s">
        <v>97</v>
      </c>
      <c r="AW162">
        <v>-0.95</v>
      </c>
      <c r="AX162">
        <v>-0.66</v>
      </c>
      <c r="AY162">
        <v>-0.77</v>
      </c>
      <c r="AZ162">
        <v>0.1</v>
      </c>
      <c r="BA162" t="s">
        <v>97</v>
      </c>
      <c r="BB162" t="s">
        <v>97</v>
      </c>
      <c r="BC162" t="s">
        <v>97</v>
      </c>
      <c r="BD162">
        <v>1</v>
      </c>
      <c r="BE162" t="s">
        <v>97</v>
      </c>
      <c r="BF162" t="s">
        <v>97</v>
      </c>
      <c r="BG162" t="s">
        <v>97</v>
      </c>
      <c r="BH162" t="s">
        <v>97</v>
      </c>
      <c r="BI162">
        <v>666163</v>
      </c>
      <c r="BJ162">
        <v>666163</v>
      </c>
      <c r="BK162" t="s">
        <v>97</v>
      </c>
      <c r="BL162" t="s">
        <v>97</v>
      </c>
      <c r="BM162">
        <v>-4.0233652160000002</v>
      </c>
      <c r="BN162">
        <v>-117.78060979999999</v>
      </c>
      <c r="BO162">
        <v>-6.5351445750000003</v>
      </c>
      <c r="BP162">
        <v>-7.9086194430000001</v>
      </c>
      <c r="BQ162">
        <v>24.500499340000001</v>
      </c>
      <c r="BR162">
        <v>-37.13768512</v>
      </c>
      <c r="BS162">
        <v>3.63</v>
      </c>
      <c r="BT162">
        <v>1.74</v>
      </c>
      <c r="BU162" t="s">
        <v>97</v>
      </c>
      <c r="BV162" t="s">
        <v>97</v>
      </c>
      <c r="BW162" t="s">
        <v>97</v>
      </c>
      <c r="BX162">
        <v>81.400000000000006</v>
      </c>
      <c r="BY162">
        <v>2586</v>
      </c>
      <c r="BZ162">
        <v>6.8</v>
      </c>
      <c r="CA162">
        <v>813052</v>
      </c>
      <c r="CB162">
        <v>666163</v>
      </c>
      <c r="CC162">
        <v>666163</v>
      </c>
      <c r="CD162">
        <v>518692</v>
      </c>
      <c r="CE162">
        <v>669242</v>
      </c>
      <c r="CF162">
        <v>500743</v>
      </c>
      <c r="CG162">
        <v>605141</v>
      </c>
      <c r="CH162">
        <v>571771</v>
      </c>
      <c r="CI162">
        <v>681624</v>
      </c>
      <c r="CJ162">
        <v>606192</v>
      </c>
      <c r="CK162">
        <v>53.72</v>
      </c>
      <c r="CL162" t="s">
        <v>97</v>
      </c>
      <c r="CM162" t="s">
        <v>97</v>
      </c>
      <c r="CN162" t="s">
        <v>97</v>
      </c>
      <c r="CO162" t="s">
        <v>97</v>
      </c>
      <c r="CP162" t="s">
        <v>97</v>
      </c>
      <c r="CQ162" t="s">
        <v>97</v>
      </c>
      <c r="CR162" t="s">
        <v>97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 t="s">
        <v>107</v>
      </c>
      <c r="DB162" t="s">
        <v>107</v>
      </c>
      <c r="DC162">
        <v>324</v>
      </c>
      <c r="DD162">
        <v>0</v>
      </c>
      <c r="DE162">
        <v>0.104</v>
      </c>
      <c r="DF162" t="s">
        <v>97</v>
      </c>
      <c r="DG162" t="s">
        <v>97</v>
      </c>
    </row>
    <row r="163" spans="1:111" x14ac:dyDescent="0.2">
      <c r="A163">
        <v>2025</v>
      </c>
      <c r="B163" s="1">
        <v>45936</v>
      </c>
      <c r="C163" t="s">
        <v>95</v>
      </c>
      <c r="D163">
        <v>605483</v>
      </c>
      <c r="E163">
        <v>592206</v>
      </c>
      <c r="F163">
        <v>3</v>
      </c>
      <c r="G163">
        <v>2</v>
      </c>
      <c r="H163">
        <v>5</v>
      </c>
      <c r="I163" t="s">
        <v>163</v>
      </c>
      <c r="J163">
        <v>33</v>
      </c>
      <c r="K163">
        <v>7</v>
      </c>
      <c r="L163" t="s">
        <v>119</v>
      </c>
      <c r="M163" t="s">
        <v>98</v>
      </c>
      <c r="N163" t="s">
        <v>99</v>
      </c>
      <c r="O163">
        <f t="shared" si="32"/>
        <v>0</v>
      </c>
      <c r="P163">
        <f t="shared" si="33"/>
        <v>0</v>
      </c>
      <c r="Q163">
        <f t="shared" si="34"/>
        <v>1</v>
      </c>
      <c r="R163">
        <f t="shared" si="35"/>
        <v>0</v>
      </c>
      <c r="S163">
        <f t="shared" si="36"/>
        <v>0</v>
      </c>
      <c r="T163">
        <f t="shared" si="37"/>
        <v>0</v>
      </c>
      <c r="U163">
        <f t="shared" si="38"/>
        <v>0</v>
      </c>
      <c r="V163">
        <f t="shared" si="39"/>
        <v>0</v>
      </c>
      <c r="W163">
        <f t="shared" si="40"/>
        <v>0</v>
      </c>
      <c r="X163">
        <f t="shared" si="41"/>
        <v>0</v>
      </c>
      <c r="Y163">
        <f t="shared" si="42"/>
        <v>0</v>
      </c>
      <c r="Z163">
        <f t="shared" si="43"/>
        <v>0</v>
      </c>
      <c r="AA163">
        <f t="shared" si="44"/>
        <v>0</v>
      </c>
      <c r="AB163">
        <f t="shared" si="45"/>
        <v>0</v>
      </c>
      <c r="AC163">
        <f t="shared" si="46"/>
        <v>0</v>
      </c>
      <c r="AD163">
        <f t="shared" si="47"/>
        <v>0</v>
      </c>
      <c r="AE163">
        <v>97.9</v>
      </c>
      <c r="AF163">
        <v>1.97</v>
      </c>
      <c r="AG163">
        <v>6.61</v>
      </c>
      <c r="AH163" t="s">
        <v>120</v>
      </c>
      <c r="AI163" t="s">
        <v>97</v>
      </c>
      <c r="AJ163" t="s">
        <v>97</v>
      </c>
      <c r="AK163" t="s">
        <v>97</v>
      </c>
      <c r="AL163" t="s">
        <v>97</v>
      </c>
      <c r="AM163">
        <v>5</v>
      </c>
      <c r="AN163" t="s">
        <v>182</v>
      </c>
      <c r="AO163" t="s">
        <v>164</v>
      </c>
      <c r="AP163" t="s">
        <v>122</v>
      </c>
      <c r="AQ163" t="s">
        <v>103</v>
      </c>
      <c r="AR163" t="s">
        <v>165</v>
      </c>
      <c r="AS163" t="s">
        <v>104</v>
      </c>
      <c r="AT163" t="s">
        <v>123</v>
      </c>
      <c r="AU163">
        <v>5</v>
      </c>
      <c r="AV163" t="s">
        <v>127</v>
      </c>
      <c r="AW163">
        <v>0.34</v>
      </c>
      <c r="AX163">
        <v>1.33</v>
      </c>
      <c r="AY163">
        <v>0</v>
      </c>
      <c r="AZ163">
        <v>3.08</v>
      </c>
      <c r="BA163" t="s">
        <v>97</v>
      </c>
      <c r="BB163" t="s">
        <v>97</v>
      </c>
      <c r="BC163" t="s">
        <v>97</v>
      </c>
      <c r="BD163">
        <v>1</v>
      </c>
      <c r="BE163">
        <v>101.61</v>
      </c>
      <c r="BF163">
        <v>160.22</v>
      </c>
      <c r="BG163" t="s">
        <v>97</v>
      </c>
      <c r="BH163" t="s">
        <v>97</v>
      </c>
      <c r="BI163">
        <v>666163</v>
      </c>
      <c r="BJ163">
        <v>666163</v>
      </c>
      <c r="BK163" t="s">
        <v>97</v>
      </c>
      <c r="BL163" t="s">
        <v>97</v>
      </c>
      <c r="BM163">
        <v>-6.1401424670000004</v>
      </c>
      <c r="BN163">
        <v>-142.24038530000001</v>
      </c>
      <c r="BO163">
        <v>-7.0961715180000002</v>
      </c>
      <c r="BP163">
        <v>6.0504400550000002</v>
      </c>
      <c r="BQ163">
        <v>33.99520304</v>
      </c>
      <c r="BR163">
        <v>-12.685049319999999</v>
      </c>
      <c r="BS163">
        <v>3.94</v>
      </c>
      <c r="BT163">
        <v>1.89</v>
      </c>
      <c r="BU163">
        <v>14</v>
      </c>
      <c r="BV163">
        <v>87.4</v>
      </c>
      <c r="BW163">
        <v>-11</v>
      </c>
      <c r="BX163">
        <v>98.3</v>
      </c>
      <c r="BY163">
        <v>2522</v>
      </c>
      <c r="BZ163">
        <v>6.7</v>
      </c>
      <c r="CA163">
        <v>813052</v>
      </c>
      <c r="CB163">
        <v>666163</v>
      </c>
      <c r="CC163">
        <v>666163</v>
      </c>
      <c r="CD163">
        <v>518692</v>
      </c>
      <c r="CE163">
        <v>669242</v>
      </c>
      <c r="CF163">
        <v>500743</v>
      </c>
      <c r="CG163">
        <v>605141</v>
      </c>
      <c r="CH163">
        <v>571771</v>
      </c>
      <c r="CI163">
        <v>681624</v>
      </c>
      <c r="CJ163">
        <v>606192</v>
      </c>
      <c r="CK163">
        <v>53.79</v>
      </c>
      <c r="CL163">
        <v>0.14899999999999999</v>
      </c>
      <c r="CM163">
        <v>0.14699999999999999</v>
      </c>
      <c r="CN163">
        <v>0</v>
      </c>
      <c r="CO163">
        <v>1</v>
      </c>
      <c r="CP163">
        <v>0</v>
      </c>
      <c r="CQ163">
        <v>0</v>
      </c>
      <c r="CR163">
        <v>2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 t="s">
        <v>107</v>
      </c>
      <c r="DB163" t="s">
        <v>107</v>
      </c>
      <c r="DC163">
        <v>162</v>
      </c>
      <c r="DD163">
        <v>-2.1999999999999999E-2</v>
      </c>
      <c r="DE163">
        <v>-0.33200000000000002</v>
      </c>
      <c r="DF163" t="s">
        <v>97</v>
      </c>
      <c r="DG163" t="s">
        <v>97</v>
      </c>
    </row>
    <row r="164" spans="1:111" x14ac:dyDescent="0.2">
      <c r="A164">
        <v>2025</v>
      </c>
      <c r="B164" s="1">
        <v>45936</v>
      </c>
      <c r="C164" t="s">
        <v>95</v>
      </c>
      <c r="D164">
        <v>605483</v>
      </c>
      <c r="E164">
        <v>624641</v>
      </c>
      <c r="F164">
        <v>0</v>
      </c>
      <c r="G164">
        <v>0</v>
      </c>
      <c r="H164">
        <v>5</v>
      </c>
      <c r="I164" t="s">
        <v>163</v>
      </c>
      <c r="J164">
        <v>34</v>
      </c>
      <c r="K164">
        <v>1</v>
      </c>
      <c r="L164" t="s">
        <v>155</v>
      </c>
      <c r="M164" t="s">
        <v>132</v>
      </c>
      <c r="N164" t="s">
        <v>133</v>
      </c>
      <c r="O164">
        <f t="shared" si="32"/>
        <v>0</v>
      </c>
      <c r="P164">
        <f t="shared" si="33"/>
        <v>0</v>
      </c>
      <c r="Q164">
        <f t="shared" si="34"/>
        <v>0</v>
      </c>
      <c r="R164">
        <f t="shared" si="35"/>
        <v>0</v>
      </c>
      <c r="S164">
        <f t="shared" si="36"/>
        <v>0</v>
      </c>
      <c r="T164">
        <f t="shared" si="37"/>
        <v>0</v>
      </c>
      <c r="U164">
        <f t="shared" si="38"/>
        <v>0</v>
      </c>
      <c r="V164">
        <f t="shared" si="39"/>
        <v>0</v>
      </c>
      <c r="W164">
        <f t="shared" si="40"/>
        <v>0</v>
      </c>
      <c r="X164">
        <f t="shared" si="41"/>
        <v>0</v>
      </c>
      <c r="Y164">
        <f t="shared" si="42"/>
        <v>1</v>
      </c>
      <c r="Z164">
        <f t="shared" si="43"/>
        <v>0</v>
      </c>
      <c r="AA164">
        <f t="shared" si="44"/>
        <v>0</v>
      </c>
      <c r="AB164">
        <f t="shared" si="45"/>
        <v>0</v>
      </c>
      <c r="AC164">
        <f t="shared" si="46"/>
        <v>0</v>
      </c>
      <c r="AD164">
        <f t="shared" si="47"/>
        <v>0</v>
      </c>
      <c r="AE164">
        <v>86.5</v>
      </c>
      <c r="AF164">
        <v>2.2799999999999998</v>
      </c>
      <c r="AG164">
        <v>6.45</v>
      </c>
      <c r="AH164" t="s">
        <v>120</v>
      </c>
      <c r="AI164" t="s">
        <v>97</v>
      </c>
      <c r="AJ164" t="s">
        <v>97</v>
      </c>
      <c r="AK164" t="s">
        <v>97</v>
      </c>
      <c r="AL164" t="s">
        <v>97</v>
      </c>
      <c r="AM164">
        <v>12</v>
      </c>
      <c r="AN164" t="s">
        <v>183</v>
      </c>
      <c r="AO164" t="s">
        <v>164</v>
      </c>
      <c r="AP164" t="s">
        <v>122</v>
      </c>
      <c r="AQ164" t="s">
        <v>103</v>
      </c>
      <c r="AR164" t="s">
        <v>165</v>
      </c>
      <c r="AS164" t="s">
        <v>104</v>
      </c>
      <c r="AT164" t="s">
        <v>123</v>
      </c>
      <c r="AU164">
        <v>8</v>
      </c>
      <c r="AV164" t="s">
        <v>158</v>
      </c>
      <c r="AW164">
        <v>1.17</v>
      </c>
      <c r="AX164">
        <v>0.96</v>
      </c>
      <c r="AY164">
        <v>1.31</v>
      </c>
      <c r="AZ164">
        <v>3.21</v>
      </c>
      <c r="BA164" t="s">
        <v>97</v>
      </c>
      <c r="BB164" t="s">
        <v>97</v>
      </c>
      <c r="BC164" t="s">
        <v>97</v>
      </c>
      <c r="BD164">
        <v>2</v>
      </c>
      <c r="BE164">
        <v>146.94999999999999</v>
      </c>
      <c r="BF164">
        <v>91.19</v>
      </c>
      <c r="BG164" t="s">
        <v>97</v>
      </c>
      <c r="BH164" t="s">
        <v>97</v>
      </c>
      <c r="BI164">
        <v>666163</v>
      </c>
      <c r="BJ164">
        <v>666163</v>
      </c>
      <c r="BK164" t="s">
        <v>97</v>
      </c>
      <c r="BL164" t="s">
        <v>97</v>
      </c>
      <c r="BM164">
        <v>-4.7855786819999997</v>
      </c>
      <c r="BN164">
        <v>-125.9312973</v>
      </c>
      <c r="BO164">
        <v>-3.4831188910000002</v>
      </c>
      <c r="BP164">
        <v>13.473560969999999</v>
      </c>
      <c r="BQ164">
        <v>26.51624039</v>
      </c>
      <c r="BR164">
        <v>-21.515586729999999</v>
      </c>
      <c r="BS164">
        <v>3.3</v>
      </c>
      <c r="BT164">
        <v>1.55</v>
      </c>
      <c r="BU164">
        <v>227</v>
      </c>
      <c r="BV164">
        <v>76.099999999999994</v>
      </c>
      <c r="BW164">
        <v>22</v>
      </c>
      <c r="BX164">
        <v>87.5</v>
      </c>
      <c r="BY164">
        <v>1920</v>
      </c>
      <c r="BZ164">
        <v>7</v>
      </c>
      <c r="CA164">
        <v>813052</v>
      </c>
      <c r="CB164">
        <v>666163</v>
      </c>
      <c r="CC164">
        <v>666163</v>
      </c>
      <c r="CD164">
        <v>518692</v>
      </c>
      <c r="CE164">
        <v>669242</v>
      </c>
      <c r="CF164">
        <v>500743</v>
      </c>
      <c r="CG164">
        <v>605141</v>
      </c>
      <c r="CH164">
        <v>571771</v>
      </c>
      <c r="CI164">
        <v>681624</v>
      </c>
      <c r="CJ164">
        <v>606192</v>
      </c>
      <c r="CK164">
        <v>53.54</v>
      </c>
      <c r="CL164">
        <v>0.96</v>
      </c>
      <c r="CM164">
        <v>0.877</v>
      </c>
      <c r="CN164">
        <v>0.9</v>
      </c>
      <c r="CO164">
        <v>1</v>
      </c>
      <c r="CP164">
        <v>1</v>
      </c>
      <c r="CQ164">
        <v>0</v>
      </c>
      <c r="CR164">
        <v>4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 t="s">
        <v>107</v>
      </c>
      <c r="DB164" t="s">
        <v>107</v>
      </c>
      <c r="DC164">
        <v>136</v>
      </c>
      <c r="DD164">
        <v>1.7000000000000001E-2</v>
      </c>
      <c r="DE164">
        <v>0.32600000000000001</v>
      </c>
      <c r="DF164">
        <v>73</v>
      </c>
      <c r="DG164">
        <v>8.5</v>
      </c>
    </row>
    <row r="165" spans="1:111" x14ac:dyDescent="0.2">
      <c r="A165">
        <v>2025</v>
      </c>
      <c r="B165" s="1">
        <v>45936</v>
      </c>
      <c r="C165" t="s">
        <v>95</v>
      </c>
      <c r="D165">
        <v>605483</v>
      </c>
      <c r="E165">
        <v>669016</v>
      </c>
      <c r="F165">
        <v>0</v>
      </c>
      <c r="G165">
        <v>0</v>
      </c>
      <c r="H165">
        <v>5</v>
      </c>
      <c r="I165" t="s">
        <v>163</v>
      </c>
      <c r="J165">
        <v>35</v>
      </c>
      <c r="K165">
        <v>1</v>
      </c>
      <c r="L165" t="s">
        <v>97</v>
      </c>
      <c r="M165" t="s">
        <v>111</v>
      </c>
      <c r="N165" t="s">
        <v>112</v>
      </c>
      <c r="O165">
        <f t="shared" si="32"/>
        <v>0</v>
      </c>
      <c r="P165">
        <f t="shared" si="33"/>
        <v>0</v>
      </c>
      <c r="Q165">
        <f t="shared" si="34"/>
        <v>0</v>
      </c>
      <c r="R165">
        <f t="shared" si="35"/>
        <v>0</v>
      </c>
      <c r="S165">
        <f t="shared" si="36"/>
        <v>0</v>
      </c>
      <c r="T165">
        <f t="shared" si="37"/>
        <v>0</v>
      </c>
      <c r="U165">
        <f t="shared" si="38"/>
        <v>0</v>
      </c>
      <c r="V165">
        <f t="shared" si="39"/>
        <v>1</v>
      </c>
      <c r="W165">
        <f t="shared" si="40"/>
        <v>0</v>
      </c>
      <c r="X165">
        <f t="shared" si="41"/>
        <v>0</v>
      </c>
      <c r="Y165">
        <f t="shared" si="42"/>
        <v>0</v>
      </c>
      <c r="Z165">
        <f t="shared" si="43"/>
        <v>0</v>
      </c>
      <c r="AA165">
        <f t="shared" si="44"/>
        <v>0</v>
      </c>
      <c r="AB165">
        <f t="shared" si="45"/>
        <v>0</v>
      </c>
      <c r="AC165">
        <f t="shared" si="46"/>
        <v>0</v>
      </c>
      <c r="AD165">
        <f t="shared" si="47"/>
        <v>0</v>
      </c>
      <c r="AE165">
        <v>81.5</v>
      </c>
      <c r="AF165">
        <v>1.93</v>
      </c>
      <c r="AG165">
        <v>6.58</v>
      </c>
      <c r="AH165" t="s">
        <v>113</v>
      </c>
      <c r="AI165" t="s">
        <v>97</v>
      </c>
      <c r="AJ165" t="s">
        <v>97</v>
      </c>
      <c r="AK165" t="s">
        <v>97</v>
      </c>
      <c r="AL165" t="s">
        <v>97</v>
      </c>
      <c r="AM165">
        <v>13</v>
      </c>
      <c r="AN165" t="s">
        <v>114</v>
      </c>
      <c r="AO165" t="s">
        <v>164</v>
      </c>
      <c r="AP165" t="s">
        <v>103</v>
      </c>
      <c r="AQ165" t="s">
        <v>103</v>
      </c>
      <c r="AR165" t="s">
        <v>165</v>
      </c>
      <c r="AS165" t="s">
        <v>104</v>
      </c>
      <c r="AT165" t="s">
        <v>110</v>
      </c>
      <c r="AU165" t="s">
        <v>97</v>
      </c>
      <c r="AV165" t="s">
        <v>97</v>
      </c>
      <c r="AW165">
        <v>-1.05</v>
      </c>
      <c r="AX165">
        <v>-0.7</v>
      </c>
      <c r="AY165">
        <v>-0.84</v>
      </c>
      <c r="AZ165">
        <v>1.6</v>
      </c>
      <c r="BA165" t="s">
        <v>97</v>
      </c>
      <c r="BB165" t="s">
        <v>97</v>
      </c>
      <c r="BC165">
        <v>624641</v>
      </c>
      <c r="BD165">
        <v>2</v>
      </c>
      <c r="BE165" t="s">
        <v>97</v>
      </c>
      <c r="BF165" t="s">
        <v>97</v>
      </c>
      <c r="BG165" t="s">
        <v>97</v>
      </c>
      <c r="BH165" t="s">
        <v>97</v>
      </c>
      <c r="BI165">
        <v>666163</v>
      </c>
      <c r="BJ165">
        <v>666163</v>
      </c>
      <c r="BK165" t="s">
        <v>97</v>
      </c>
      <c r="BL165" t="s">
        <v>97</v>
      </c>
      <c r="BM165">
        <v>-4.2304811080000002</v>
      </c>
      <c r="BN165">
        <v>-118.62097369999999</v>
      </c>
      <c r="BO165">
        <v>-3.228197121</v>
      </c>
      <c r="BP165">
        <v>-9.0160299580000007</v>
      </c>
      <c r="BQ165">
        <v>24.299284350000001</v>
      </c>
      <c r="BR165">
        <v>-38.290391329999999</v>
      </c>
      <c r="BS165">
        <v>3.2</v>
      </c>
      <c r="BT165">
        <v>1.53</v>
      </c>
      <c r="BU165" t="s">
        <v>97</v>
      </c>
      <c r="BV165" t="s">
        <v>97</v>
      </c>
      <c r="BW165" t="s">
        <v>97</v>
      </c>
      <c r="BX165">
        <v>81.8</v>
      </c>
      <c r="BY165">
        <v>2600</v>
      </c>
      <c r="BZ165">
        <v>6.6</v>
      </c>
      <c r="CA165">
        <v>813052</v>
      </c>
      <c r="CB165">
        <v>666163</v>
      </c>
      <c r="CC165">
        <v>666163</v>
      </c>
      <c r="CD165">
        <v>518692</v>
      </c>
      <c r="CE165">
        <v>669242</v>
      </c>
      <c r="CF165">
        <v>500743</v>
      </c>
      <c r="CG165">
        <v>605141</v>
      </c>
      <c r="CH165">
        <v>571771</v>
      </c>
      <c r="CI165">
        <v>681624</v>
      </c>
      <c r="CJ165">
        <v>606192</v>
      </c>
      <c r="CK165">
        <v>53.86</v>
      </c>
      <c r="CL165" t="s">
        <v>97</v>
      </c>
      <c r="CM165" t="s">
        <v>97</v>
      </c>
      <c r="CN165" t="s">
        <v>97</v>
      </c>
      <c r="CO165" t="s">
        <v>97</v>
      </c>
      <c r="CP165" t="s">
        <v>97</v>
      </c>
      <c r="CQ165" t="s">
        <v>97</v>
      </c>
      <c r="CR165" t="s">
        <v>97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 t="s">
        <v>107</v>
      </c>
      <c r="DB165" t="s">
        <v>107</v>
      </c>
      <c r="DC165">
        <v>332</v>
      </c>
      <c r="DD165">
        <v>0</v>
      </c>
      <c r="DE165">
        <v>-4.2000000000000003E-2</v>
      </c>
      <c r="DF165">
        <v>60.4</v>
      </c>
      <c r="DG165">
        <v>8.4</v>
      </c>
    </row>
    <row r="166" spans="1:111" x14ac:dyDescent="0.2">
      <c r="A166">
        <v>2025</v>
      </c>
      <c r="B166" s="1">
        <v>45936</v>
      </c>
      <c r="C166" t="s">
        <v>95</v>
      </c>
      <c r="D166">
        <v>605483</v>
      </c>
      <c r="E166">
        <v>669016</v>
      </c>
      <c r="F166">
        <v>0</v>
      </c>
      <c r="G166">
        <v>1</v>
      </c>
      <c r="H166">
        <v>5</v>
      </c>
      <c r="I166" t="s">
        <v>163</v>
      </c>
      <c r="J166">
        <v>35</v>
      </c>
      <c r="K166">
        <v>2</v>
      </c>
      <c r="L166" t="s">
        <v>97</v>
      </c>
      <c r="M166" t="s">
        <v>138</v>
      </c>
      <c r="N166" t="s">
        <v>139</v>
      </c>
      <c r="O166">
        <f t="shared" si="32"/>
        <v>0</v>
      </c>
      <c r="P166">
        <f t="shared" si="33"/>
        <v>0</v>
      </c>
      <c r="Q166">
        <f t="shared" si="34"/>
        <v>0</v>
      </c>
      <c r="R166">
        <f t="shared" si="35"/>
        <v>0</v>
      </c>
      <c r="S166">
        <f t="shared" si="36"/>
        <v>0</v>
      </c>
      <c r="T166">
        <f t="shared" si="37"/>
        <v>0</v>
      </c>
      <c r="U166">
        <f t="shared" si="38"/>
        <v>0</v>
      </c>
      <c r="V166">
        <f t="shared" si="39"/>
        <v>0</v>
      </c>
      <c r="W166">
        <f t="shared" si="40"/>
        <v>0</v>
      </c>
      <c r="X166">
        <f t="shared" si="41"/>
        <v>0</v>
      </c>
      <c r="Y166">
        <f t="shared" si="42"/>
        <v>0</v>
      </c>
      <c r="Z166">
        <f t="shared" si="43"/>
        <v>0</v>
      </c>
      <c r="AA166">
        <f t="shared" si="44"/>
        <v>1</v>
      </c>
      <c r="AB166">
        <f t="shared" si="45"/>
        <v>0</v>
      </c>
      <c r="AC166">
        <f t="shared" si="46"/>
        <v>0</v>
      </c>
      <c r="AD166">
        <f t="shared" si="47"/>
        <v>0</v>
      </c>
      <c r="AE166">
        <v>91.6</v>
      </c>
      <c r="AF166">
        <v>2.0699999999999998</v>
      </c>
      <c r="AG166">
        <v>6.56</v>
      </c>
      <c r="AH166" t="s">
        <v>140</v>
      </c>
      <c r="AI166" t="s">
        <v>97</v>
      </c>
      <c r="AJ166" t="s">
        <v>97</v>
      </c>
      <c r="AK166" t="s">
        <v>97</v>
      </c>
      <c r="AL166" t="s">
        <v>97</v>
      </c>
      <c r="AM166">
        <v>13</v>
      </c>
      <c r="AN166" t="s">
        <v>141</v>
      </c>
      <c r="AO166" t="s">
        <v>164</v>
      </c>
      <c r="AP166" t="s">
        <v>103</v>
      </c>
      <c r="AQ166" t="s">
        <v>103</v>
      </c>
      <c r="AR166" t="s">
        <v>165</v>
      </c>
      <c r="AS166" t="s">
        <v>104</v>
      </c>
      <c r="AT166" t="s">
        <v>106</v>
      </c>
      <c r="AU166" t="s">
        <v>97</v>
      </c>
      <c r="AV166" t="s">
        <v>97</v>
      </c>
      <c r="AW166">
        <v>0.09</v>
      </c>
      <c r="AX166">
        <v>1.02</v>
      </c>
      <c r="AY166">
        <v>-0.71</v>
      </c>
      <c r="AZ166">
        <v>1.03</v>
      </c>
      <c r="BA166" t="s">
        <v>97</v>
      </c>
      <c r="BB166" t="s">
        <v>97</v>
      </c>
      <c r="BC166">
        <v>624641</v>
      </c>
      <c r="BD166">
        <v>2</v>
      </c>
      <c r="BE166" t="s">
        <v>97</v>
      </c>
      <c r="BF166" t="s">
        <v>97</v>
      </c>
      <c r="BG166" t="s">
        <v>97</v>
      </c>
      <c r="BH166" t="s">
        <v>97</v>
      </c>
      <c r="BI166">
        <v>666163</v>
      </c>
      <c r="BJ166">
        <v>666163</v>
      </c>
      <c r="BK166" t="s">
        <v>97</v>
      </c>
      <c r="BL166" t="s">
        <v>97</v>
      </c>
      <c r="BM166">
        <v>-7.2186150629999997</v>
      </c>
      <c r="BN166">
        <v>-132.89542019999999</v>
      </c>
      <c r="BO166">
        <v>-10.337134969999999</v>
      </c>
      <c r="BP166">
        <v>2.5054880119999998</v>
      </c>
      <c r="BQ166">
        <v>27.459288990000001</v>
      </c>
      <c r="BR166">
        <v>-18.026027370000001</v>
      </c>
      <c r="BS166">
        <v>3.2</v>
      </c>
      <c r="BT166">
        <v>1.48</v>
      </c>
      <c r="BU166" t="s">
        <v>97</v>
      </c>
      <c r="BV166" t="s">
        <v>97</v>
      </c>
      <c r="BW166" t="s">
        <v>97</v>
      </c>
      <c r="BX166">
        <v>92.1</v>
      </c>
      <c r="BY166">
        <v>2397</v>
      </c>
      <c r="BZ166">
        <v>6.7</v>
      </c>
      <c r="CA166">
        <v>813052</v>
      </c>
      <c r="CB166">
        <v>666163</v>
      </c>
      <c r="CC166">
        <v>666163</v>
      </c>
      <c r="CD166">
        <v>518692</v>
      </c>
      <c r="CE166">
        <v>669242</v>
      </c>
      <c r="CF166">
        <v>500743</v>
      </c>
      <c r="CG166">
        <v>605141</v>
      </c>
      <c r="CH166">
        <v>571771</v>
      </c>
      <c r="CI166">
        <v>681624</v>
      </c>
      <c r="CJ166">
        <v>606192</v>
      </c>
      <c r="CK166">
        <v>53.82</v>
      </c>
      <c r="CL166" t="s">
        <v>97</v>
      </c>
      <c r="CM166" t="s">
        <v>97</v>
      </c>
      <c r="CN166" t="s">
        <v>97</v>
      </c>
      <c r="CO166" t="s">
        <v>97</v>
      </c>
      <c r="CP166" t="s">
        <v>97</v>
      </c>
      <c r="CQ166" t="s">
        <v>97</v>
      </c>
      <c r="CR166" t="s">
        <v>97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 t="s">
        <v>107</v>
      </c>
      <c r="DB166" t="s">
        <v>107</v>
      </c>
      <c r="DC166">
        <v>159</v>
      </c>
      <c r="DD166">
        <v>0</v>
      </c>
      <c r="DE166">
        <v>2.7E-2</v>
      </c>
      <c r="DF166" t="s">
        <v>97</v>
      </c>
      <c r="DG166" t="s">
        <v>97</v>
      </c>
    </row>
    <row r="167" spans="1:111" x14ac:dyDescent="0.2">
      <c r="A167">
        <v>2025</v>
      </c>
      <c r="B167" s="1">
        <v>45936</v>
      </c>
      <c r="C167" t="s">
        <v>95</v>
      </c>
      <c r="D167">
        <v>605483</v>
      </c>
      <c r="E167">
        <v>669016</v>
      </c>
      <c r="F167">
        <v>1</v>
      </c>
      <c r="G167">
        <v>1</v>
      </c>
      <c r="H167">
        <v>5</v>
      </c>
      <c r="I167" t="s">
        <v>163</v>
      </c>
      <c r="J167">
        <v>35</v>
      </c>
      <c r="K167">
        <v>3</v>
      </c>
      <c r="L167" t="s">
        <v>119</v>
      </c>
      <c r="M167" t="s">
        <v>138</v>
      </c>
      <c r="N167" t="s">
        <v>139</v>
      </c>
      <c r="O167">
        <f t="shared" si="32"/>
        <v>0</v>
      </c>
      <c r="P167">
        <f t="shared" si="33"/>
        <v>0</v>
      </c>
      <c r="Q167">
        <f t="shared" si="34"/>
        <v>0</v>
      </c>
      <c r="R167">
        <f t="shared" si="35"/>
        <v>0</v>
      </c>
      <c r="S167">
        <f t="shared" si="36"/>
        <v>0</v>
      </c>
      <c r="T167">
        <f t="shared" si="37"/>
        <v>0</v>
      </c>
      <c r="U167">
        <f t="shared" si="38"/>
        <v>0</v>
      </c>
      <c r="V167">
        <f t="shared" si="39"/>
        <v>0</v>
      </c>
      <c r="W167">
        <f t="shared" si="40"/>
        <v>0</v>
      </c>
      <c r="X167">
        <f t="shared" si="41"/>
        <v>0</v>
      </c>
      <c r="Y167">
        <f t="shared" si="42"/>
        <v>0</v>
      </c>
      <c r="Z167">
        <f t="shared" si="43"/>
        <v>0</v>
      </c>
      <c r="AA167">
        <f t="shared" si="44"/>
        <v>0</v>
      </c>
      <c r="AB167">
        <f t="shared" si="45"/>
        <v>0</v>
      </c>
      <c r="AC167">
        <f t="shared" si="46"/>
        <v>1</v>
      </c>
      <c r="AD167">
        <f t="shared" si="47"/>
        <v>0</v>
      </c>
      <c r="AE167">
        <v>90.4</v>
      </c>
      <c r="AF167">
        <v>1.91</v>
      </c>
      <c r="AG167">
        <v>6.56</v>
      </c>
      <c r="AH167" t="s">
        <v>120</v>
      </c>
      <c r="AI167" t="s">
        <v>97</v>
      </c>
      <c r="AJ167" t="s">
        <v>97</v>
      </c>
      <c r="AK167" t="s">
        <v>97</v>
      </c>
      <c r="AL167" t="s">
        <v>97</v>
      </c>
      <c r="AM167">
        <v>4</v>
      </c>
      <c r="AN167" t="s">
        <v>184</v>
      </c>
      <c r="AO167" t="s">
        <v>164</v>
      </c>
      <c r="AP167" t="s">
        <v>103</v>
      </c>
      <c r="AQ167" t="s">
        <v>103</v>
      </c>
      <c r="AR167" t="s">
        <v>165</v>
      </c>
      <c r="AS167" t="s">
        <v>104</v>
      </c>
      <c r="AT167" t="s">
        <v>123</v>
      </c>
      <c r="AU167">
        <v>3</v>
      </c>
      <c r="AV167" t="s">
        <v>127</v>
      </c>
      <c r="AW167">
        <v>-0.18</v>
      </c>
      <c r="AX167">
        <v>0.85</v>
      </c>
      <c r="AY167">
        <v>-0.74</v>
      </c>
      <c r="AZ167">
        <v>2.4500000000000002</v>
      </c>
      <c r="BA167" t="s">
        <v>97</v>
      </c>
      <c r="BB167" t="s">
        <v>97</v>
      </c>
      <c r="BC167">
        <v>624641</v>
      </c>
      <c r="BD167">
        <v>2</v>
      </c>
      <c r="BE167">
        <v>125.58</v>
      </c>
      <c r="BF167">
        <v>185.84</v>
      </c>
      <c r="BG167" t="s">
        <v>97</v>
      </c>
      <c r="BH167" t="s">
        <v>97</v>
      </c>
      <c r="BI167">
        <v>666163</v>
      </c>
      <c r="BJ167">
        <v>666163</v>
      </c>
      <c r="BK167" t="s">
        <v>97</v>
      </c>
      <c r="BL167" t="s">
        <v>97</v>
      </c>
      <c r="BM167">
        <v>-6.2674355259999999</v>
      </c>
      <c r="BN167">
        <v>-131.41880710000001</v>
      </c>
      <c r="BO167">
        <v>-6.1003307400000004</v>
      </c>
      <c r="BP167">
        <v>-0.68619431799999997</v>
      </c>
      <c r="BQ167">
        <v>28.914092790000002</v>
      </c>
      <c r="BR167">
        <v>-21.152164240000001</v>
      </c>
      <c r="BS167">
        <v>3.2</v>
      </c>
      <c r="BT167">
        <v>1.53</v>
      </c>
      <c r="BU167">
        <v>2</v>
      </c>
      <c r="BV167">
        <v>57.4</v>
      </c>
      <c r="BW167">
        <v>-56</v>
      </c>
      <c r="BX167">
        <v>90.6</v>
      </c>
      <c r="BY167">
        <v>2326</v>
      </c>
      <c r="BZ167">
        <v>6.5</v>
      </c>
      <c r="CA167">
        <v>813052</v>
      </c>
      <c r="CB167">
        <v>666163</v>
      </c>
      <c r="CC167">
        <v>666163</v>
      </c>
      <c r="CD167">
        <v>518692</v>
      </c>
      <c r="CE167">
        <v>669242</v>
      </c>
      <c r="CF167">
        <v>500743</v>
      </c>
      <c r="CG167">
        <v>605141</v>
      </c>
      <c r="CH167">
        <v>571771</v>
      </c>
      <c r="CI167">
        <v>681624</v>
      </c>
      <c r="CJ167">
        <v>606192</v>
      </c>
      <c r="CK167">
        <v>53.95</v>
      </c>
      <c r="CL167">
        <v>0.22900000000000001</v>
      </c>
      <c r="CM167">
        <v>0.24299999999999999</v>
      </c>
      <c r="CN167">
        <v>0</v>
      </c>
      <c r="CO167">
        <v>1</v>
      </c>
      <c r="CP167">
        <v>0</v>
      </c>
      <c r="CQ167">
        <v>0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 t="s">
        <v>107</v>
      </c>
      <c r="DB167" t="s">
        <v>107</v>
      </c>
      <c r="DC167">
        <v>166</v>
      </c>
      <c r="DD167">
        <v>-3.1E-2</v>
      </c>
      <c r="DE167">
        <v>-0.25600000000000001</v>
      </c>
      <c r="DF167">
        <v>73.599999999999994</v>
      </c>
      <c r="DG167">
        <v>7.4</v>
      </c>
    </row>
    <row r="168" spans="1:111" x14ac:dyDescent="0.2">
      <c r="A168">
        <v>2025</v>
      </c>
      <c r="B168" s="1">
        <v>45936</v>
      </c>
      <c r="C168" t="s">
        <v>95</v>
      </c>
      <c r="D168">
        <v>605483</v>
      </c>
      <c r="E168">
        <v>805249</v>
      </c>
      <c r="F168">
        <v>0</v>
      </c>
      <c r="G168">
        <v>0</v>
      </c>
      <c r="H168">
        <v>6</v>
      </c>
      <c r="I168" t="s">
        <v>163</v>
      </c>
      <c r="J168">
        <v>39</v>
      </c>
      <c r="K168">
        <v>1</v>
      </c>
      <c r="L168" t="s">
        <v>97</v>
      </c>
      <c r="M168" t="s">
        <v>111</v>
      </c>
      <c r="N168" t="s">
        <v>112</v>
      </c>
      <c r="O168">
        <f t="shared" si="32"/>
        <v>0</v>
      </c>
      <c r="P168">
        <f t="shared" si="33"/>
        <v>0</v>
      </c>
      <c r="Q168">
        <f t="shared" si="34"/>
        <v>0</v>
      </c>
      <c r="R168">
        <f t="shared" si="35"/>
        <v>0</v>
      </c>
      <c r="S168">
        <f t="shared" si="36"/>
        <v>0</v>
      </c>
      <c r="T168">
        <f t="shared" si="37"/>
        <v>0</v>
      </c>
      <c r="U168">
        <f t="shared" si="38"/>
        <v>1</v>
      </c>
      <c r="V168">
        <f t="shared" si="39"/>
        <v>0</v>
      </c>
      <c r="W168">
        <f t="shared" si="40"/>
        <v>0</v>
      </c>
      <c r="X168">
        <f t="shared" si="41"/>
        <v>0</v>
      </c>
      <c r="Y168">
        <f t="shared" si="42"/>
        <v>0</v>
      </c>
      <c r="Z168">
        <f t="shared" si="43"/>
        <v>0</v>
      </c>
      <c r="AA168">
        <f t="shared" si="44"/>
        <v>0</v>
      </c>
      <c r="AB168">
        <f t="shared" si="45"/>
        <v>0</v>
      </c>
      <c r="AC168">
        <f t="shared" si="46"/>
        <v>0</v>
      </c>
      <c r="AD168">
        <f t="shared" si="47"/>
        <v>0</v>
      </c>
      <c r="AE168">
        <v>81.2</v>
      </c>
      <c r="AF168">
        <v>1.99</v>
      </c>
      <c r="AG168">
        <v>6.67</v>
      </c>
      <c r="AH168" t="s">
        <v>108</v>
      </c>
      <c r="AI168" t="s">
        <v>97</v>
      </c>
      <c r="AJ168" t="s">
        <v>97</v>
      </c>
      <c r="AK168" t="s">
        <v>97</v>
      </c>
      <c r="AL168" t="s">
        <v>97</v>
      </c>
      <c r="AM168">
        <v>5</v>
      </c>
      <c r="AN168" t="s">
        <v>109</v>
      </c>
      <c r="AO168" t="s">
        <v>164</v>
      </c>
      <c r="AP168" t="s">
        <v>122</v>
      </c>
      <c r="AQ168" t="s">
        <v>103</v>
      </c>
      <c r="AR168" t="s">
        <v>165</v>
      </c>
      <c r="AS168" t="s">
        <v>104</v>
      </c>
      <c r="AT168" t="s">
        <v>110</v>
      </c>
      <c r="AU168" t="s">
        <v>97</v>
      </c>
      <c r="AV168" t="s">
        <v>97</v>
      </c>
      <c r="AW168">
        <v>-1.01</v>
      </c>
      <c r="AX168">
        <v>-0.14000000000000001</v>
      </c>
      <c r="AY168">
        <v>-0.17</v>
      </c>
      <c r="AZ168">
        <v>2.23</v>
      </c>
      <c r="BA168" t="s">
        <v>97</v>
      </c>
      <c r="BB168" t="s">
        <v>97</v>
      </c>
      <c r="BC168" t="s">
        <v>97</v>
      </c>
      <c r="BD168">
        <v>0</v>
      </c>
      <c r="BE168" t="s">
        <v>97</v>
      </c>
      <c r="BF168" t="s">
        <v>97</v>
      </c>
      <c r="BG168" t="s">
        <v>97</v>
      </c>
      <c r="BH168" t="s">
        <v>97</v>
      </c>
      <c r="BI168">
        <v>669257</v>
      </c>
      <c r="BJ168">
        <v>669257</v>
      </c>
      <c r="BK168" t="s">
        <v>97</v>
      </c>
      <c r="BL168" t="s">
        <v>97</v>
      </c>
      <c r="BM168">
        <v>-2.9062641220000001</v>
      </c>
      <c r="BN168">
        <v>-118.2173868</v>
      </c>
      <c r="BO168">
        <v>-3.0321676769999999</v>
      </c>
      <c r="BP168">
        <v>-8.8681741229999993</v>
      </c>
      <c r="BQ168">
        <v>23.755098360000002</v>
      </c>
      <c r="BR168">
        <v>-33.063889570000001</v>
      </c>
      <c r="BS168">
        <v>3.47</v>
      </c>
      <c r="BT168">
        <v>1.53</v>
      </c>
      <c r="BU168" t="s">
        <v>97</v>
      </c>
      <c r="BV168" t="s">
        <v>97</v>
      </c>
      <c r="BW168" t="s">
        <v>97</v>
      </c>
      <c r="BX168">
        <v>81.3</v>
      </c>
      <c r="BY168">
        <v>2639</v>
      </c>
      <c r="BZ168">
        <v>6.5</v>
      </c>
      <c r="CA168">
        <v>813052</v>
      </c>
      <c r="CB168">
        <v>669257</v>
      </c>
      <c r="CC168">
        <v>669257</v>
      </c>
      <c r="CD168">
        <v>518692</v>
      </c>
      <c r="CE168">
        <v>669242</v>
      </c>
      <c r="CF168">
        <v>500743</v>
      </c>
      <c r="CG168">
        <v>605141</v>
      </c>
      <c r="CH168">
        <v>571771</v>
      </c>
      <c r="CI168">
        <v>681624</v>
      </c>
      <c r="CJ168">
        <v>606192</v>
      </c>
      <c r="CK168">
        <v>54.02</v>
      </c>
      <c r="CL168" t="s">
        <v>97</v>
      </c>
      <c r="CM168" t="s">
        <v>97</v>
      </c>
      <c r="CN168" t="s">
        <v>97</v>
      </c>
      <c r="CO168" t="s">
        <v>97</v>
      </c>
      <c r="CP168" t="s">
        <v>97</v>
      </c>
      <c r="CQ168" t="s">
        <v>97</v>
      </c>
      <c r="CR168" t="s">
        <v>97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 t="s">
        <v>107</v>
      </c>
      <c r="DB168" t="s">
        <v>107</v>
      </c>
      <c r="DC168">
        <v>323</v>
      </c>
      <c r="DD168">
        <v>0</v>
      </c>
      <c r="DE168">
        <v>-3.9E-2</v>
      </c>
      <c r="DF168" t="s">
        <v>97</v>
      </c>
      <c r="DG168" t="s">
        <v>97</v>
      </c>
    </row>
    <row r="169" spans="1:111" x14ac:dyDescent="0.2">
      <c r="A169">
        <v>2025</v>
      </c>
      <c r="B169" s="1">
        <v>45936</v>
      </c>
      <c r="C169" t="s">
        <v>95</v>
      </c>
      <c r="D169">
        <v>605483</v>
      </c>
      <c r="E169">
        <v>805249</v>
      </c>
      <c r="F169">
        <v>0</v>
      </c>
      <c r="G169">
        <v>1</v>
      </c>
      <c r="H169">
        <v>6</v>
      </c>
      <c r="I169" t="s">
        <v>163</v>
      </c>
      <c r="J169">
        <v>39</v>
      </c>
      <c r="K169">
        <v>2</v>
      </c>
      <c r="L169" t="s">
        <v>97</v>
      </c>
      <c r="M169" t="s">
        <v>132</v>
      </c>
      <c r="N169" t="s">
        <v>133</v>
      </c>
      <c r="O169">
        <f t="shared" si="32"/>
        <v>0</v>
      </c>
      <c r="P169">
        <f t="shared" si="33"/>
        <v>0</v>
      </c>
      <c r="Q169">
        <f t="shared" si="34"/>
        <v>0</v>
      </c>
      <c r="R169">
        <f t="shared" si="35"/>
        <v>0</v>
      </c>
      <c r="S169">
        <f t="shared" si="36"/>
        <v>0</v>
      </c>
      <c r="T169">
        <f t="shared" si="37"/>
        <v>0</v>
      </c>
      <c r="U169">
        <f t="shared" si="38"/>
        <v>0</v>
      </c>
      <c r="V169">
        <f t="shared" si="39"/>
        <v>0</v>
      </c>
      <c r="W169">
        <f t="shared" si="40"/>
        <v>1</v>
      </c>
      <c r="X169">
        <f t="shared" si="41"/>
        <v>0</v>
      </c>
      <c r="Y169">
        <f t="shared" si="42"/>
        <v>0</v>
      </c>
      <c r="Z169">
        <f t="shared" si="43"/>
        <v>0</v>
      </c>
      <c r="AA169">
        <f t="shared" si="44"/>
        <v>0</v>
      </c>
      <c r="AB169">
        <f t="shared" si="45"/>
        <v>0</v>
      </c>
      <c r="AC169">
        <f t="shared" si="46"/>
        <v>0</v>
      </c>
      <c r="AD169">
        <f t="shared" si="47"/>
        <v>0</v>
      </c>
      <c r="AE169">
        <v>85.7</v>
      </c>
      <c r="AF169">
        <v>2.29</v>
      </c>
      <c r="AG169">
        <v>6.42</v>
      </c>
      <c r="AH169" t="s">
        <v>113</v>
      </c>
      <c r="AI169" t="s">
        <v>97</v>
      </c>
      <c r="AJ169" t="s">
        <v>97</v>
      </c>
      <c r="AK169" t="s">
        <v>97</v>
      </c>
      <c r="AL169" t="s">
        <v>97</v>
      </c>
      <c r="AM169">
        <v>14</v>
      </c>
      <c r="AN169" t="s">
        <v>114</v>
      </c>
      <c r="AO169" t="s">
        <v>164</v>
      </c>
      <c r="AP169" t="s">
        <v>122</v>
      </c>
      <c r="AQ169" t="s">
        <v>103</v>
      </c>
      <c r="AR169" t="s">
        <v>165</v>
      </c>
      <c r="AS169" t="s">
        <v>104</v>
      </c>
      <c r="AT169" t="s">
        <v>110</v>
      </c>
      <c r="AU169" t="s">
        <v>97</v>
      </c>
      <c r="AV169" t="s">
        <v>97</v>
      </c>
      <c r="AW169">
        <v>1.07</v>
      </c>
      <c r="AX169">
        <v>0.55000000000000004</v>
      </c>
      <c r="AY169">
        <v>0.83</v>
      </c>
      <c r="AZ169">
        <v>0.98</v>
      </c>
      <c r="BA169" t="s">
        <v>97</v>
      </c>
      <c r="BB169" t="s">
        <v>97</v>
      </c>
      <c r="BC169" t="s">
        <v>97</v>
      </c>
      <c r="BD169">
        <v>0</v>
      </c>
      <c r="BE169" t="s">
        <v>97</v>
      </c>
      <c r="BF169" t="s">
        <v>97</v>
      </c>
      <c r="BG169" t="s">
        <v>97</v>
      </c>
      <c r="BH169" t="s">
        <v>97</v>
      </c>
      <c r="BI169">
        <v>669257</v>
      </c>
      <c r="BJ169">
        <v>669257</v>
      </c>
      <c r="BK169" t="s">
        <v>97</v>
      </c>
      <c r="BL169" t="s">
        <v>97</v>
      </c>
      <c r="BM169">
        <v>-5.6982965720000003</v>
      </c>
      <c r="BN169">
        <v>-124.5699414</v>
      </c>
      <c r="BO169">
        <v>-7.7663835519999997</v>
      </c>
      <c r="BP169">
        <v>12.31364396</v>
      </c>
      <c r="BQ169">
        <v>24.820968019999999</v>
      </c>
      <c r="BR169">
        <v>-25.07415499</v>
      </c>
      <c r="BS169">
        <v>3.47</v>
      </c>
      <c r="BT169">
        <v>1.58</v>
      </c>
      <c r="BU169" t="s">
        <v>97</v>
      </c>
      <c r="BV169" t="s">
        <v>97</v>
      </c>
      <c r="BW169" t="s">
        <v>97</v>
      </c>
      <c r="BX169">
        <v>86.6</v>
      </c>
      <c r="BY169">
        <v>1706</v>
      </c>
      <c r="BZ169">
        <v>6.9</v>
      </c>
      <c r="CA169">
        <v>813052</v>
      </c>
      <c r="CB169">
        <v>669257</v>
      </c>
      <c r="CC169">
        <v>669257</v>
      </c>
      <c r="CD169">
        <v>518692</v>
      </c>
      <c r="CE169">
        <v>669242</v>
      </c>
      <c r="CF169">
        <v>500743</v>
      </c>
      <c r="CG169">
        <v>605141</v>
      </c>
      <c r="CH169">
        <v>571771</v>
      </c>
      <c r="CI169">
        <v>681624</v>
      </c>
      <c r="CJ169">
        <v>606192</v>
      </c>
      <c r="CK169">
        <v>53.58</v>
      </c>
      <c r="CL169" t="s">
        <v>97</v>
      </c>
      <c r="CM169" t="s">
        <v>97</v>
      </c>
      <c r="CN169" t="s">
        <v>97</v>
      </c>
      <c r="CO169" t="s">
        <v>97</v>
      </c>
      <c r="CP169" t="s">
        <v>97</v>
      </c>
      <c r="CQ169" t="s">
        <v>97</v>
      </c>
      <c r="CR169" t="s">
        <v>97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 t="s">
        <v>107</v>
      </c>
      <c r="DB169" t="s">
        <v>107</v>
      </c>
      <c r="DC169">
        <v>130</v>
      </c>
      <c r="DD169">
        <v>0</v>
      </c>
      <c r="DE169">
        <v>-5.5E-2</v>
      </c>
      <c r="DF169">
        <v>76.900000000000006</v>
      </c>
      <c r="DG169">
        <v>8.4</v>
      </c>
    </row>
    <row r="170" spans="1:111" x14ac:dyDescent="0.2">
      <c r="A170">
        <v>2025</v>
      </c>
      <c r="B170" s="1">
        <v>45936</v>
      </c>
      <c r="C170" t="s">
        <v>95</v>
      </c>
      <c r="D170">
        <v>605483</v>
      </c>
      <c r="E170">
        <v>805249</v>
      </c>
      <c r="F170">
        <v>0</v>
      </c>
      <c r="G170">
        <v>2</v>
      </c>
      <c r="H170">
        <v>6</v>
      </c>
      <c r="I170" t="s">
        <v>163</v>
      </c>
      <c r="J170">
        <v>39</v>
      </c>
      <c r="K170">
        <v>3</v>
      </c>
      <c r="L170" t="s">
        <v>97</v>
      </c>
      <c r="M170" t="s">
        <v>132</v>
      </c>
      <c r="N170" t="s">
        <v>133</v>
      </c>
      <c r="O170">
        <f t="shared" si="32"/>
        <v>0</v>
      </c>
      <c r="P170">
        <f t="shared" si="33"/>
        <v>0</v>
      </c>
      <c r="Q170">
        <f t="shared" si="34"/>
        <v>0</v>
      </c>
      <c r="R170">
        <f t="shared" si="35"/>
        <v>0</v>
      </c>
      <c r="S170">
        <f t="shared" si="36"/>
        <v>0</v>
      </c>
      <c r="T170">
        <f t="shared" si="37"/>
        <v>0</v>
      </c>
      <c r="U170">
        <f t="shared" si="38"/>
        <v>0</v>
      </c>
      <c r="V170">
        <f t="shared" si="39"/>
        <v>0</v>
      </c>
      <c r="W170">
        <f t="shared" si="40"/>
        <v>1</v>
      </c>
      <c r="X170">
        <f t="shared" si="41"/>
        <v>0</v>
      </c>
      <c r="Y170">
        <f t="shared" si="42"/>
        <v>0</v>
      </c>
      <c r="Z170">
        <f t="shared" si="43"/>
        <v>0</v>
      </c>
      <c r="AA170">
        <f t="shared" si="44"/>
        <v>0</v>
      </c>
      <c r="AB170">
        <f t="shared" si="45"/>
        <v>0</v>
      </c>
      <c r="AC170">
        <f t="shared" si="46"/>
        <v>0</v>
      </c>
      <c r="AD170">
        <f t="shared" si="47"/>
        <v>0</v>
      </c>
      <c r="AE170">
        <v>83.9</v>
      </c>
      <c r="AF170">
        <v>2.2200000000000002</v>
      </c>
      <c r="AG170">
        <v>6.36</v>
      </c>
      <c r="AH170" t="s">
        <v>100</v>
      </c>
      <c r="AI170" t="s">
        <v>97</v>
      </c>
      <c r="AJ170" t="s">
        <v>97</v>
      </c>
      <c r="AK170" t="s">
        <v>97</v>
      </c>
      <c r="AL170" t="s">
        <v>97</v>
      </c>
      <c r="AM170">
        <v>14</v>
      </c>
      <c r="AN170" t="s">
        <v>101</v>
      </c>
      <c r="AO170" t="s">
        <v>164</v>
      </c>
      <c r="AP170" t="s">
        <v>122</v>
      </c>
      <c r="AQ170" t="s">
        <v>103</v>
      </c>
      <c r="AR170" t="s">
        <v>165</v>
      </c>
      <c r="AS170" t="s">
        <v>104</v>
      </c>
      <c r="AT170" t="s">
        <v>106</v>
      </c>
      <c r="AU170" t="s">
        <v>97</v>
      </c>
      <c r="AV170" t="s">
        <v>97</v>
      </c>
      <c r="AW170">
        <v>1.03</v>
      </c>
      <c r="AX170">
        <v>0.5</v>
      </c>
      <c r="AY170">
        <v>0.95</v>
      </c>
      <c r="AZ170">
        <v>-0.19</v>
      </c>
      <c r="BA170" t="s">
        <v>97</v>
      </c>
      <c r="BB170" t="s">
        <v>97</v>
      </c>
      <c r="BC170" t="s">
        <v>97</v>
      </c>
      <c r="BD170">
        <v>0</v>
      </c>
      <c r="BE170" t="s">
        <v>97</v>
      </c>
      <c r="BF170" t="s">
        <v>97</v>
      </c>
      <c r="BG170" t="s">
        <v>97</v>
      </c>
      <c r="BH170" t="s">
        <v>97</v>
      </c>
      <c r="BI170">
        <v>669257</v>
      </c>
      <c r="BJ170">
        <v>669257</v>
      </c>
      <c r="BK170" t="s">
        <v>97</v>
      </c>
      <c r="BL170" t="s">
        <v>97</v>
      </c>
      <c r="BM170">
        <v>-5.0340950099999997</v>
      </c>
      <c r="BN170">
        <v>-121.7246396</v>
      </c>
      <c r="BO170">
        <v>-9.7496823629999998</v>
      </c>
      <c r="BP170">
        <v>11.28102004</v>
      </c>
      <c r="BQ170">
        <v>24.813224829999999</v>
      </c>
      <c r="BR170">
        <v>-25.40025571</v>
      </c>
      <c r="BS170">
        <v>3.26</v>
      </c>
      <c r="BT170">
        <v>1.48</v>
      </c>
      <c r="BU170" t="s">
        <v>97</v>
      </c>
      <c r="BV170" t="s">
        <v>97</v>
      </c>
      <c r="BW170" t="s">
        <v>97</v>
      </c>
      <c r="BX170">
        <v>84.4</v>
      </c>
      <c r="BY170">
        <v>1770</v>
      </c>
      <c r="BZ170">
        <v>6.9</v>
      </c>
      <c r="CA170">
        <v>813052</v>
      </c>
      <c r="CB170">
        <v>669257</v>
      </c>
      <c r="CC170">
        <v>669257</v>
      </c>
      <c r="CD170">
        <v>518692</v>
      </c>
      <c r="CE170">
        <v>669242</v>
      </c>
      <c r="CF170">
        <v>500743</v>
      </c>
      <c r="CG170">
        <v>605141</v>
      </c>
      <c r="CH170">
        <v>571771</v>
      </c>
      <c r="CI170">
        <v>681624</v>
      </c>
      <c r="CJ170">
        <v>606192</v>
      </c>
      <c r="CK170">
        <v>53.65</v>
      </c>
      <c r="CL170" t="s">
        <v>97</v>
      </c>
      <c r="CM170" t="s">
        <v>97</v>
      </c>
      <c r="CN170" t="s">
        <v>97</v>
      </c>
      <c r="CO170" t="s">
        <v>97</v>
      </c>
      <c r="CP170" t="s">
        <v>97</v>
      </c>
      <c r="CQ170" t="s">
        <v>97</v>
      </c>
      <c r="CR170" t="s">
        <v>97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 t="s">
        <v>107</v>
      </c>
      <c r="DB170" t="s">
        <v>107</v>
      </c>
      <c r="DC170">
        <v>126</v>
      </c>
      <c r="DD170">
        <v>0</v>
      </c>
      <c r="DE170">
        <v>2.4E-2</v>
      </c>
      <c r="DF170" t="s">
        <v>97</v>
      </c>
      <c r="DG170" t="s">
        <v>97</v>
      </c>
    </row>
    <row r="171" spans="1:111" x14ac:dyDescent="0.2">
      <c r="A171">
        <v>2025</v>
      </c>
      <c r="B171" s="1">
        <v>45936</v>
      </c>
      <c r="C171" t="s">
        <v>95</v>
      </c>
      <c r="D171">
        <v>605483</v>
      </c>
      <c r="E171">
        <v>805249</v>
      </c>
      <c r="F171">
        <v>1</v>
      </c>
      <c r="G171">
        <v>2</v>
      </c>
      <c r="H171">
        <v>6</v>
      </c>
      <c r="I171" t="s">
        <v>163</v>
      </c>
      <c r="J171">
        <v>39</v>
      </c>
      <c r="K171">
        <v>4</v>
      </c>
      <c r="L171" t="s">
        <v>116</v>
      </c>
      <c r="M171" t="s">
        <v>132</v>
      </c>
      <c r="N171" t="s">
        <v>133</v>
      </c>
      <c r="O171">
        <f t="shared" si="32"/>
        <v>0</v>
      </c>
      <c r="P171">
        <f t="shared" si="33"/>
        <v>0</v>
      </c>
      <c r="Q171">
        <f t="shared" si="34"/>
        <v>0</v>
      </c>
      <c r="R171">
        <f t="shared" si="35"/>
        <v>0</v>
      </c>
      <c r="S171">
        <f t="shared" si="36"/>
        <v>0</v>
      </c>
      <c r="T171">
        <f t="shared" si="37"/>
        <v>0</v>
      </c>
      <c r="U171">
        <f t="shared" si="38"/>
        <v>0</v>
      </c>
      <c r="V171">
        <f t="shared" si="39"/>
        <v>0</v>
      </c>
      <c r="W171">
        <f t="shared" si="40"/>
        <v>0</v>
      </c>
      <c r="X171">
        <f t="shared" si="41"/>
        <v>1</v>
      </c>
      <c r="Y171">
        <f t="shared" si="42"/>
        <v>0</v>
      </c>
      <c r="Z171">
        <f t="shared" si="43"/>
        <v>0</v>
      </c>
      <c r="AA171">
        <f t="shared" si="44"/>
        <v>0</v>
      </c>
      <c r="AB171">
        <f t="shared" si="45"/>
        <v>0</v>
      </c>
      <c r="AC171">
        <f t="shared" si="46"/>
        <v>0</v>
      </c>
      <c r="AD171">
        <f t="shared" si="47"/>
        <v>0</v>
      </c>
      <c r="AE171">
        <v>84.1</v>
      </c>
      <c r="AF171">
        <v>2.23</v>
      </c>
      <c r="AG171">
        <v>6.36</v>
      </c>
      <c r="AH171" t="s">
        <v>113</v>
      </c>
      <c r="AI171" t="s">
        <v>97</v>
      </c>
      <c r="AJ171" t="s">
        <v>97</v>
      </c>
      <c r="AK171" t="s">
        <v>97</v>
      </c>
      <c r="AL171" t="s">
        <v>97</v>
      </c>
      <c r="AM171">
        <v>9</v>
      </c>
      <c r="AN171" t="s">
        <v>185</v>
      </c>
      <c r="AO171" t="s">
        <v>164</v>
      </c>
      <c r="AP171" t="s">
        <v>122</v>
      </c>
      <c r="AQ171" t="s">
        <v>103</v>
      </c>
      <c r="AR171" t="s">
        <v>165</v>
      </c>
      <c r="AS171" t="s">
        <v>104</v>
      </c>
      <c r="AT171" t="s">
        <v>110</v>
      </c>
      <c r="AU171">
        <v>2</v>
      </c>
      <c r="AV171" t="s">
        <v>97</v>
      </c>
      <c r="AW171">
        <v>1.04</v>
      </c>
      <c r="AX171">
        <v>1.2</v>
      </c>
      <c r="AY171">
        <v>0.32</v>
      </c>
      <c r="AZ171">
        <v>2.06</v>
      </c>
      <c r="BA171" t="s">
        <v>97</v>
      </c>
      <c r="BB171" t="s">
        <v>97</v>
      </c>
      <c r="BC171" t="s">
        <v>97</v>
      </c>
      <c r="BD171">
        <v>0</v>
      </c>
      <c r="BE171" t="s">
        <v>97</v>
      </c>
      <c r="BF171" t="s">
        <v>97</v>
      </c>
      <c r="BG171" t="s">
        <v>97</v>
      </c>
      <c r="BH171" t="s">
        <v>97</v>
      </c>
      <c r="BI171">
        <v>669257</v>
      </c>
      <c r="BJ171">
        <v>669257</v>
      </c>
      <c r="BK171" t="s">
        <v>97</v>
      </c>
      <c r="BL171" t="s">
        <v>97</v>
      </c>
      <c r="BM171">
        <v>-6.5868512389999996</v>
      </c>
      <c r="BN171">
        <v>-122.1672657</v>
      </c>
      <c r="BO171">
        <v>-6.0173189049999998</v>
      </c>
      <c r="BP171">
        <v>11.685746760000001</v>
      </c>
      <c r="BQ171">
        <v>23.887642209999999</v>
      </c>
      <c r="BR171">
        <v>-19.158480690000001</v>
      </c>
      <c r="BS171">
        <v>3.47</v>
      </c>
      <c r="BT171">
        <v>1.58</v>
      </c>
      <c r="BU171" t="s">
        <v>97</v>
      </c>
      <c r="BV171" t="s">
        <v>97</v>
      </c>
      <c r="BW171" t="s">
        <v>97</v>
      </c>
      <c r="BX171">
        <v>85.1</v>
      </c>
      <c r="BY171">
        <v>1958</v>
      </c>
      <c r="BZ171">
        <v>7</v>
      </c>
      <c r="CA171">
        <v>813052</v>
      </c>
      <c r="CB171">
        <v>669257</v>
      </c>
      <c r="CC171">
        <v>669257</v>
      </c>
      <c r="CD171">
        <v>518692</v>
      </c>
      <c r="CE171">
        <v>669242</v>
      </c>
      <c r="CF171">
        <v>500743</v>
      </c>
      <c r="CG171">
        <v>605141</v>
      </c>
      <c r="CH171">
        <v>571771</v>
      </c>
      <c r="CI171">
        <v>681624</v>
      </c>
      <c r="CJ171">
        <v>606192</v>
      </c>
      <c r="CK171">
        <v>53.47</v>
      </c>
      <c r="CL171" t="s">
        <v>97</v>
      </c>
      <c r="CM171">
        <v>0</v>
      </c>
      <c r="CN171">
        <v>0</v>
      </c>
      <c r="CO171">
        <v>1</v>
      </c>
      <c r="CP171">
        <v>0</v>
      </c>
      <c r="CQ171">
        <v>0</v>
      </c>
      <c r="CR171" t="s">
        <v>97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 t="s">
        <v>107</v>
      </c>
      <c r="DB171" t="s">
        <v>107</v>
      </c>
      <c r="DC171">
        <v>131</v>
      </c>
      <c r="DD171">
        <v>-3.3000000000000002E-2</v>
      </c>
      <c r="DE171">
        <v>-0.189</v>
      </c>
      <c r="DF171">
        <v>74.900000000000006</v>
      </c>
      <c r="DG171">
        <v>8.3000000000000007</v>
      </c>
    </row>
    <row r="172" spans="1:111" x14ac:dyDescent="0.2">
      <c r="A172">
        <v>2025</v>
      </c>
      <c r="B172" s="1">
        <v>45936</v>
      </c>
      <c r="C172" t="s">
        <v>95</v>
      </c>
      <c r="D172">
        <v>605483</v>
      </c>
      <c r="E172">
        <v>607208</v>
      </c>
      <c r="F172">
        <v>0</v>
      </c>
      <c r="G172">
        <v>0</v>
      </c>
      <c r="H172">
        <v>6</v>
      </c>
      <c r="I172" t="s">
        <v>163</v>
      </c>
      <c r="J172">
        <v>40</v>
      </c>
      <c r="K172">
        <v>1</v>
      </c>
      <c r="L172" t="s">
        <v>97</v>
      </c>
      <c r="M172" t="s">
        <v>98</v>
      </c>
      <c r="N172" t="s">
        <v>99</v>
      </c>
      <c r="O172">
        <f t="shared" si="32"/>
        <v>0</v>
      </c>
      <c r="P172">
        <f t="shared" si="33"/>
        <v>0</v>
      </c>
      <c r="Q172">
        <f t="shared" si="34"/>
        <v>1</v>
      </c>
      <c r="R172">
        <f t="shared" si="35"/>
        <v>0</v>
      </c>
      <c r="S172">
        <f t="shared" si="36"/>
        <v>0</v>
      </c>
      <c r="T172">
        <f t="shared" si="37"/>
        <v>0</v>
      </c>
      <c r="U172">
        <f t="shared" si="38"/>
        <v>0</v>
      </c>
      <c r="V172">
        <f t="shared" si="39"/>
        <v>0</v>
      </c>
      <c r="W172">
        <f t="shared" si="40"/>
        <v>0</v>
      </c>
      <c r="X172">
        <f t="shared" si="41"/>
        <v>0</v>
      </c>
      <c r="Y172">
        <f t="shared" si="42"/>
        <v>0</v>
      </c>
      <c r="Z172">
        <f t="shared" si="43"/>
        <v>0</v>
      </c>
      <c r="AA172">
        <f t="shared" si="44"/>
        <v>0</v>
      </c>
      <c r="AB172">
        <f t="shared" si="45"/>
        <v>0</v>
      </c>
      <c r="AC172">
        <f t="shared" si="46"/>
        <v>0</v>
      </c>
      <c r="AD172">
        <f t="shared" si="47"/>
        <v>0</v>
      </c>
      <c r="AE172">
        <v>95.2</v>
      </c>
      <c r="AF172">
        <v>1.84</v>
      </c>
      <c r="AG172">
        <v>6.61</v>
      </c>
      <c r="AH172" t="s">
        <v>113</v>
      </c>
      <c r="AI172" t="s">
        <v>97</v>
      </c>
      <c r="AJ172" t="s">
        <v>97</v>
      </c>
      <c r="AK172" t="s">
        <v>97</v>
      </c>
      <c r="AL172" t="s">
        <v>97</v>
      </c>
      <c r="AM172">
        <v>13</v>
      </c>
      <c r="AN172" t="s">
        <v>114</v>
      </c>
      <c r="AO172" t="s">
        <v>164</v>
      </c>
      <c r="AP172" t="s">
        <v>122</v>
      </c>
      <c r="AQ172" t="s">
        <v>103</v>
      </c>
      <c r="AR172" t="s">
        <v>165</v>
      </c>
      <c r="AS172" t="s">
        <v>104</v>
      </c>
      <c r="AT172" t="s">
        <v>110</v>
      </c>
      <c r="AU172" t="s">
        <v>97</v>
      </c>
      <c r="AV172" t="s">
        <v>97</v>
      </c>
      <c r="AW172">
        <v>0.18</v>
      </c>
      <c r="AX172">
        <v>1.25</v>
      </c>
      <c r="AY172">
        <v>-1.29</v>
      </c>
      <c r="AZ172">
        <v>1.95</v>
      </c>
      <c r="BA172" t="s">
        <v>97</v>
      </c>
      <c r="BB172" t="s">
        <v>97</v>
      </c>
      <c r="BC172" t="s">
        <v>97</v>
      </c>
      <c r="BD172">
        <v>1</v>
      </c>
      <c r="BE172" t="s">
        <v>97</v>
      </c>
      <c r="BF172" t="s">
        <v>97</v>
      </c>
      <c r="BG172" t="s">
        <v>97</v>
      </c>
      <c r="BH172" t="s">
        <v>97</v>
      </c>
      <c r="BI172">
        <v>669257</v>
      </c>
      <c r="BJ172">
        <v>669257</v>
      </c>
      <c r="BK172" t="s">
        <v>97</v>
      </c>
      <c r="BL172" t="s">
        <v>97</v>
      </c>
      <c r="BM172">
        <v>-8.6734964590000008</v>
      </c>
      <c r="BN172">
        <v>-138.17472409999999</v>
      </c>
      <c r="BO172">
        <v>-9.4588263700000006</v>
      </c>
      <c r="BP172">
        <v>4.1692608370000004</v>
      </c>
      <c r="BQ172">
        <v>29.09503243</v>
      </c>
      <c r="BR172">
        <v>-14.153583060000001</v>
      </c>
      <c r="BS172">
        <v>3.49</v>
      </c>
      <c r="BT172">
        <v>1.69</v>
      </c>
      <c r="BU172" t="s">
        <v>97</v>
      </c>
      <c r="BV172" t="s">
        <v>97</v>
      </c>
      <c r="BW172" t="s">
        <v>97</v>
      </c>
      <c r="BX172">
        <v>96</v>
      </c>
      <c r="BY172">
        <v>2445</v>
      </c>
      <c r="BZ172">
        <v>6.8</v>
      </c>
      <c r="CA172">
        <v>813052</v>
      </c>
      <c r="CB172">
        <v>669257</v>
      </c>
      <c r="CC172">
        <v>669257</v>
      </c>
      <c r="CD172">
        <v>518692</v>
      </c>
      <c r="CE172">
        <v>669242</v>
      </c>
      <c r="CF172">
        <v>500743</v>
      </c>
      <c r="CG172">
        <v>605141</v>
      </c>
      <c r="CH172">
        <v>571771</v>
      </c>
      <c r="CI172">
        <v>681624</v>
      </c>
      <c r="CJ172">
        <v>606192</v>
      </c>
      <c r="CK172">
        <v>53.74</v>
      </c>
      <c r="CL172" t="s">
        <v>97</v>
      </c>
      <c r="CM172" t="s">
        <v>97</v>
      </c>
      <c r="CN172" t="s">
        <v>97</v>
      </c>
      <c r="CO172" t="s">
        <v>97</v>
      </c>
      <c r="CP172" t="s">
        <v>97</v>
      </c>
      <c r="CQ172" t="s">
        <v>97</v>
      </c>
      <c r="CR172" t="s">
        <v>97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 t="s">
        <v>107</v>
      </c>
      <c r="DB172" t="s">
        <v>107</v>
      </c>
      <c r="DC172">
        <v>159</v>
      </c>
      <c r="DD172">
        <v>0</v>
      </c>
      <c r="DE172">
        <v>-3.9E-2</v>
      </c>
      <c r="DF172">
        <v>76.400000000000006</v>
      </c>
      <c r="DG172">
        <v>8.1999999999999993</v>
      </c>
    </row>
    <row r="173" spans="1:111" x14ac:dyDescent="0.2">
      <c r="A173">
        <v>2025</v>
      </c>
      <c r="B173" s="1">
        <v>45936</v>
      </c>
      <c r="C173" t="s">
        <v>95</v>
      </c>
      <c r="D173">
        <v>605483</v>
      </c>
      <c r="E173">
        <v>607208</v>
      </c>
      <c r="F173">
        <v>0</v>
      </c>
      <c r="G173">
        <v>1</v>
      </c>
      <c r="H173">
        <v>6</v>
      </c>
      <c r="I173" t="s">
        <v>163</v>
      </c>
      <c r="J173">
        <v>40</v>
      </c>
      <c r="K173">
        <v>2</v>
      </c>
      <c r="L173" t="s">
        <v>97</v>
      </c>
      <c r="M173" t="s">
        <v>132</v>
      </c>
      <c r="N173" t="s">
        <v>133</v>
      </c>
      <c r="O173">
        <f t="shared" si="32"/>
        <v>0</v>
      </c>
      <c r="P173">
        <f t="shared" si="33"/>
        <v>0</v>
      </c>
      <c r="Q173">
        <f t="shared" si="34"/>
        <v>0</v>
      </c>
      <c r="R173">
        <f t="shared" si="35"/>
        <v>0</v>
      </c>
      <c r="S173">
        <f t="shared" si="36"/>
        <v>0</v>
      </c>
      <c r="T173">
        <f t="shared" si="37"/>
        <v>0</v>
      </c>
      <c r="U173">
        <f t="shared" si="38"/>
        <v>0</v>
      </c>
      <c r="V173">
        <f t="shared" si="39"/>
        <v>0</v>
      </c>
      <c r="W173">
        <f t="shared" si="40"/>
        <v>0</v>
      </c>
      <c r="X173">
        <f t="shared" si="41"/>
        <v>0</v>
      </c>
      <c r="Y173">
        <f t="shared" si="42"/>
        <v>0</v>
      </c>
      <c r="Z173">
        <f t="shared" si="43"/>
        <v>1</v>
      </c>
      <c r="AA173">
        <f t="shared" si="44"/>
        <v>0</v>
      </c>
      <c r="AB173">
        <f t="shared" si="45"/>
        <v>0</v>
      </c>
      <c r="AC173">
        <f t="shared" si="46"/>
        <v>0</v>
      </c>
      <c r="AD173">
        <f t="shared" si="47"/>
        <v>0</v>
      </c>
      <c r="AE173">
        <v>85</v>
      </c>
      <c r="AF173">
        <v>2.2400000000000002</v>
      </c>
      <c r="AG173">
        <v>6.38</v>
      </c>
      <c r="AH173" t="s">
        <v>100</v>
      </c>
      <c r="AI173" t="s">
        <v>97</v>
      </c>
      <c r="AJ173" t="s">
        <v>97</v>
      </c>
      <c r="AK173" t="s">
        <v>97</v>
      </c>
      <c r="AL173" t="s">
        <v>97</v>
      </c>
      <c r="AM173">
        <v>13</v>
      </c>
      <c r="AN173" t="s">
        <v>101</v>
      </c>
      <c r="AO173" t="s">
        <v>164</v>
      </c>
      <c r="AP173" t="s">
        <v>122</v>
      </c>
      <c r="AQ173" t="s">
        <v>103</v>
      </c>
      <c r="AR173" t="s">
        <v>165</v>
      </c>
      <c r="AS173" t="s">
        <v>104</v>
      </c>
      <c r="AT173" t="s">
        <v>106</v>
      </c>
      <c r="AU173" t="s">
        <v>97</v>
      </c>
      <c r="AV173" t="s">
        <v>97</v>
      </c>
      <c r="AW173">
        <v>1.27</v>
      </c>
      <c r="AX173">
        <v>0.86</v>
      </c>
      <c r="AY173">
        <v>-0.22</v>
      </c>
      <c r="AZ173">
        <v>1.45</v>
      </c>
      <c r="BA173" t="s">
        <v>97</v>
      </c>
      <c r="BB173" t="s">
        <v>97</v>
      </c>
      <c r="BC173" t="s">
        <v>97</v>
      </c>
      <c r="BD173">
        <v>1</v>
      </c>
      <c r="BE173" t="s">
        <v>97</v>
      </c>
      <c r="BF173" t="s">
        <v>97</v>
      </c>
      <c r="BG173" t="s">
        <v>97</v>
      </c>
      <c r="BH173" t="s">
        <v>97</v>
      </c>
      <c r="BI173">
        <v>669257</v>
      </c>
      <c r="BJ173">
        <v>669257</v>
      </c>
      <c r="BK173" t="s">
        <v>97</v>
      </c>
      <c r="BL173" t="s">
        <v>97</v>
      </c>
      <c r="BM173">
        <v>-8.3765210089999993</v>
      </c>
      <c r="BN173">
        <v>-123.4296346</v>
      </c>
      <c r="BO173">
        <v>-6.9820205470000003</v>
      </c>
      <c r="BP173">
        <v>14.67967271</v>
      </c>
      <c r="BQ173">
        <v>24.37167586</v>
      </c>
      <c r="BR173">
        <v>-22.190020650000001</v>
      </c>
      <c r="BS173">
        <v>3.44</v>
      </c>
      <c r="BT173">
        <v>1.64</v>
      </c>
      <c r="BU173" t="s">
        <v>97</v>
      </c>
      <c r="BV173" t="s">
        <v>97</v>
      </c>
      <c r="BW173" t="s">
        <v>97</v>
      </c>
      <c r="BX173">
        <v>85.7</v>
      </c>
      <c r="BY173">
        <v>1848</v>
      </c>
      <c r="BZ173">
        <v>6.8</v>
      </c>
      <c r="CA173">
        <v>813052</v>
      </c>
      <c r="CB173">
        <v>669257</v>
      </c>
      <c r="CC173">
        <v>669257</v>
      </c>
      <c r="CD173">
        <v>518692</v>
      </c>
      <c r="CE173">
        <v>669242</v>
      </c>
      <c r="CF173">
        <v>500743</v>
      </c>
      <c r="CG173">
        <v>605141</v>
      </c>
      <c r="CH173">
        <v>571771</v>
      </c>
      <c r="CI173">
        <v>681624</v>
      </c>
      <c r="CJ173">
        <v>606192</v>
      </c>
      <c r="CK173">
        <v>53.69</v>
      </c>
      <c r="CL173" t="s">
        <v>97</v>
      </c>
      <c r="CM173" t="s">
        <v>97</v>
      </c>
      <c r="CN173" t="s">
        <v>97</v>
      </c>
      <c r="CO173" t="s">
        <v>97</v>
      </c>
      <c r="CP173" t="s">
        <v>97</v>
      </c>
      <c r="CQ173" t="s">
        <v>97</v>
      </c>
      <c r="CR173" t="s">
        <v>97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 t="s">
        <v>107</v>
      </c>
      <c r="DB173" t="s">
        <v>107</v>
      </c>
      <c r="DC173">
        <v>128</v>
      </c>
      <c r="DD173">
        <v>0</v>
      </c>
      <c r="DE173">
        <v>2.8000000000000001E-2</v>
      </c>
      <c r="DF173" t="s">
        <v>97</v>
      </c>
      <c r="DG173" t="s">
        <v>97</v>
      </c>
    </row>
    <row r="174" spans="1:111" x14ac:dyDescent="0.2">
      <c r="A174">
        <v>2025</v>
      </c>
      <c r="B174" s="1">
        <v>45936</v>
      </c>
      <c r="C174" t="s">
        <v>95</v>
      </c>
      <c r="D174">
        <v>605483</v>
      </c>
      <c r="E174">
        <v>607208</v>
      </c>
      <c r="F174">
        <v>1</v>
      </c>
      <c r="G174">
        <v>1</v>
      </c>
      <c r="H174">
        <v>6</v>
      </c>
      <c r="I174" t="s">
        <v>163</v>
      </c>
      <c r="J174">
        <v>40</v>
      </c>
      <c r="K174">
        <v>3</v>
      </c>
      <c r="L174" t="s">
        <v>97</v>
      </c>
      <c r="M174" t="s">
        <v>138</v>
      </c>
      <c r="N174" t="s">
        <v>139</v>
      </c>
      <c r="O174">
        <f t="shared" si="32"/>
        <v>0</v>
      </c>
      <c r="P174">
        <f t="shared" si="33"/>
        <v>0</v>
      </c>
      <c r="Q174">
        <f t="shared" si="34"/>
        <v>0</v>
      </c>
      <c r="R174">
        <f t="shared" si="35"/>
        <v>0</v>
      </c>
      <c r="S174">
        <f t="shared" si="36"/>
        <v>0</v>
      </c>
      <c r="T174">
        <f t="shared" si="37"/>
        <v>0</v>
      </c>
      <c r="U174">
        <f t="shared" si="38"/>
        <v>0</v>
      </c>
      <c r="V174">
        <f t="shared" si="39"/>
        <v>0</v>
      </c>
      <c r="W174">
        <f t="shared" si="40"/>
        <v>0</v>
      </c>
      <c r="X174">
        <f t="shared" si="41"/>
        <v>0</v>
      </c>
      <c r="Y174">
        <f t="shared" si="42"/>
        <v>0</v>
      </c>
      <c r="Z174">
        <f t="shared" si="43"/>
        <v>0</v>
      </c>
      <c r="AA174">
        <f t="shared" si="44"/>
        <v>0</v>
      </c>
      <c r="AB174">
        <f t="shared" si="45"/>
        <v>0</v>
      </c>
      <c r="AC174">
        <f t="shared" si="46"/>
        <v>1</v>
      </c>
      <c r="AD174">
        <f t="shared" si="47"/>
        <v>0</v>
      </c>
      <c r="AE174">
        <v>89.2</v>
      </c>
      <c r="AF174">
        <v>1.99</v>
      </c>
      <c r="AG174">
        <v>6.6</v>
      </c>
      <c r="AH174" t="s">
        <v>113</v>
      </c>
      <c r="AI174" t="s">
        <v>97</v>
      </c>
      <c r="AJ174" t="s">
        <v>97</v>
      </c>
      <c r="AK174" t="s">
        <v>97</v>
      </c>
      <c r="AL174" t="s">
        <v>97</v>
      </c>
      <c r="AM174">
        <v>13</v>
      </c>
      <c r="AN174" t="s">
        <v>114</v>
      </c>
      <c r="AO174" t="s">
        <v>164</v>
      </c>
      <c r="AP174" t="s">
        <v>122</v>
      </c>
      <c r="AQ174" t="s">
        <v>103</v>
      </c>
      <c r="AR174" t="s">
        <v>165</v>
      </c>
      <c r="AS174" t="s">
        <v>104</v>
      </c>
      <c r="AT174" t="s">
        <v>110</v>
      </c>
      <c r="AU174" t="s">
        <v>97</v>
      </c>
      <c r="AV174" t="s">
        <v>97</v>
      </c>
      <c r="AW174">
        <v>-0.28999999999999998</v>
      </c>
      <c r="AX174">
        <v>0.82</v>
      </c>
      <c r="AY174">
        <v>-0.08</v>
      </c>
      <c r="AZ174">
        <v>1.51</v>
      </c>
      <c r="BA174" t="s">
        <v>97</v>
      </c>
      <c r="BB174" t="s">
        <v>97</v>
      </c>
      <c r="BC174" t="s">
        <v>97</v>
      </c>
      <c r="BD174">
        <v>1</v>
      </c>
      <c r="BE174" t="s">
        <v>97</v>
      </c>
      <c r="BF174" t="s">
        <v>97</v>
      </c>
      <c r="BG174" t="s">
        <v>97</v>
      </c>
      <c r="BH174" t="s">
        <v>97</v>
      </c>
      <c r="BI174">
        <v>669257</v>
      </c>
      <c r="BJ174">
        <v>669257</v>
      </c>
      <c r="BK174" t="s">
        <v>97</v>
      </c>
      <c r="BL174" t="s">
        <v>97</v>
      </c>
      <c r="BM174">
        <v>-4.5092424400000004</v>
      </c>
      <c r="BN174">
        <v>-129.73391799999999</v>
      </c>
      <c r="BO174">
        <v>-8.3253118740000005</v>
      </c>
      <c r="BP174">
        <v>-2.4661501480000001</v>
      </c>
      <c r="BQ174">
        <v>24.583853139999999</v>
      </c>
      <c r="BR174">
        <v>-21.405842660000001</v>
      </c>
      <c r="BS174">
        <v>3.49</v>
      </c>
      <c r="BT174">
        <v>1.69</v>
      </c>
      <c r="BU174" t="s">
        <v>97</v>
      </c>
      <c r="BV174" t="s">
        <v>97</v>
      </c>
      <c r="BW174" t="s">
        <v>97</v>
      </c>
      <c r="BX174">
        <v>90.1</v>
      </c>
      <c r="BY174">
        <v>2369</v>
      </c>
      <c r="BZ174">
        <v>6.6</v>
      </c>
      <c r="CA174">
        <v>813052</v>
      </c>
      <c r="CB174">
        <v>669257</v>
      </c>
      <c r="CC174">
        <v>669257</v>
      </c>
      <c r="CD174">
        <v>518692</v>
      </c>
      <c r="CE174">
        <v>669242</v>
      </c>
      <c r="CF174">
        <v>500743</v>
      </c>
      <c r="CG174">
        <v>605141</v>
      </c>
      <c r="CH174">
        <v>571771</v>
      </c>
      <c r="CI174">
        <v>681624</v>
      </c>
      <c r="CJ174">
        <v>606192</v>
      </c>
      <c r="CK174">
        <v>53.86</v>
      </c>
      <c r="CL174" t="s">
        <v>97</v>
      </c>
      <c r="CM174" t="s">
        <v>97</v>
      </c>
      <c r="CN174" t="s">
        <v>97</v>
      </c>
      <c r="CO174" t="s">
        <v>97</v>
      </c>
      <c r="CP174" t="s">
        <v>97</v>
      </c>
      <c r="CQ174" t="s">
        <v>97</v>
      </c>
      <c r="CR174" t="s">
        <v>97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t="s">
        <v>107</v>
      </c>
      <c r="DB174" t="s">
        <v>107</v>
      </c>
      <c r="DC174">
        <v>165</v>
      </c>
      <c r="DD174">
        <v>0</v>
      </c>
      <c r="DE174">
        <v>-6.4000000000000001E-2</v>
      </c>
      <c r="DF174">
        <v>73.7</v>
      </c>
      <c r="DG174">
        <v>7.7</v>
      </c>
    </row>
    <row r="175" spans="1:111" x14ac:dyDescent="0.2">
      <c r="A175">
        <v>2025</v>
      </c>
      <c r="B175" s="1">
        <v>45936</v>
      </c>
      <c r="C175" t="s">
        <v>95</v>
      </c>
      <c r="D175">
        <v>605483</v>
      </c>
      <c r="E175">
        <v>607208</v>
      </c>
      <c r="F175">
        <v>1</v>
      </c>
      <c r="G175">
        <v>2</v>
      </c>
      <c r="H175">
        <v>6</v>
      </c>
      <c r="I175" t="s">
        <v>163</v>
      </c>
      <c r="J175">
        <v>40</v>
      </c>
      <c r="K175">
        <v>4</v>
      </c>
      <c r="L175" t="s">
        <v>97</v>
      </c>
      <c r="M175" t="s">
        <v>111</v>
      </c>
      <c r="N175" t="s">
        <v>112</v>
      </c>
      <c r="O175">
        <f t="shared" si="32"/>
        <v>0</v>
      </c>
      <c r="P175">
        <f t="shared" si="33"/>
        <v>0</v>
      </c>
      <c r="Q175">
        <f t="shared" si="34"/>
        <v>0</v>
      </c>
      <c r="R175">
        <f t="shared" si="35"/>
        <v>0</v>
      </c>
      <c r="S175">
        <f t="shared" si="36"/>
        <v>0</v>
      </c>
      <c r="T175">
        <f t="shared" si="37"/>
        <v>0</v>
      </c>
      <c r="U175">
        <f t="shared" si="38"/>
        <v>1</v>
      </c>
      <c r="V175">
        <f t="shared" si="39"/>
        <v>0</v>
      </c>
      <c r="W175">
        <f t="shared" si="40"/>
        <v>0</v>
      </c>
      <c r="X175">
        <f t="shared" si="41"/>
        <v>0</v>
      </c>
      <c r="Y175">
        <f t="shared" si="42"/>
        <v>0</v>
      </c>
      <c r="Z175">
        <f t="shared" si="43"/>
        <v>0</v>
      </c>
      <c r="AA175">
        <f t="shared" si="44"/>
        <v>0</v>
      </c>
      <c r="AB175">
        <f t="shared" si="45"/>
        <v>0</v>
      </c>
      <c r="AC175">
        <f t="shared" si="46"/>
        <v>0</v>
      </c>
      <c r="AD175">
        <f t="shared" si="47"/>
        <v>0</v>
      </c>
      <c r="AE175">
        <v>81.099999999999994</v>
      </c>
      <c r="AF175">
        <v>1.9</v>
      </c>
      <c r="AG175">
        <v>6.56</v>
      </c>
      <c r="AH175" t="s">
        <v>100</v>
      </c>
      <c r="AI175" t="s">
        <v>97</v>
      </c>
      <c r="AJ175" t="s">
        <v>97</v>
      </c>
      <c r="AK175" t="s">
        <v>97</v>
      </c>
      <c r="AL175" t="s">
        <v>97</v>
      </c>
      <c r="AM175">
        <v>13</v>
      </c>
      <c r="AN175" t="s">
        <v>101</v>
      </c>
      <c r="AO175" t="s">
        <v>164</v>
      </c>
      <c r="AP175" t="s">
        <v>122</v>
      </c>
      <c r="AQ175" t="s">
        <v>103</v>
      </c>
      <c r="AR175" t="s">
        <v>165</v>
      </c>
      <c r="AS175" t="s">
        <v>104</v>
      </c>
      <c r="AT175" t="s">
        <v>106</v>
      </c>
      <c r="AU175" t="s">
        <v>97</v>
      </c>
      <c r="AV175" t="s">
        <v>97</v>
      </c>
      <c r="AW175">
        <v>-1.18</v>
      </c>
      <c r="AX175">
        <v>-0.72</v>
      </c>
      <c r="AY175">
        <v>-0.62</v>
      </c>
      <c r="AZ175">
        <v>0.74</v>
      </c>
      <c r="BA175" t="s">
        <v>97</v>
      </c>
      <c r="BB175" t="s">
        <v>97</v>
      </c>
      <c r="BC175" t="s">
        <v>97</v>
      </c>
      <c r="BD175">
        <v>1</v>
      </c>
      <c r="BE175" t="s">
        <v>97</v>
      </c>
      <c r="BF175" t="s">
        <v>97</v>
      </c>
      <c r="BG175" t="s">
        <v>97</v>
      </c>
      <c r="BH175" t="s">
        <v>97</v>
      </c>
      <c r="BI175">
        <v>669257</v>
      </c>
      <c r="BJ175">
        <v>669257</v>
      </c>
      <c r="BK175" t="s">
        <v>97</v>
      </c>
      <c r="BL175" t="s">
        <v>97</v>
      </c>
      <c r="BM175">
        <v>-3.4081894180000001</v>
      </c>
      <c r="BN175">
        <v>-117.9938113</v>
      </c>
      <c r="BO175">
        <v>-4.9704656719999996</v>
      </c>
      <c r="BP175">
        <v>-10.29784587</v>
      </c>
      <c r="BQ175">
        <v>24.28244188</v>
      </c>
      <c r="BR175">
        <v>-38.072857640000002</v>
      </c>
      <c r="BS175">
        <v>3.39</v>
      </c>
      <c r="BT175">
        <v>1.64</v>
      </c>
      <c r="BU175" t="s">
        <v>97</v>
      </c>
      <c r="BV175" t="s">
        <v>97</v>
      </c>
      <c r="BW175" t="s">
        <v>97</v>
      </c>
      <c r="BX175">
        <v>81.400000000000006</v>
      </c>
      <c r="BY175">
        <v>2604</v>
      </c>
      <c r="BZ175">
        <v>6.7</v>
      </c>
      <c r="CA175">
        <v>813052</v>
      </c>
      <c r="CB175">
        <v>669257</v>
      </c>
      <c r="CC175">
        <v>669257</v>
      </c>
      <c r="CD175">
        <v>518692</v>
      </c>
      <c r="CE175">
        <v>669242</v>
      </c>
      <c r="CF175">
        <v>500743</v>
      </c>
      <c r="CG175">
        <v>605141</v>
      </c>
      <c r="CH175">
        <v>571771</v>
      </c>
      <c r="CI175">
        <v>681624</v>
      </c>
      <c r="CJ175">
        <v>606192</v>
      </c>
      <c r="CK175">
        <v>53.79</v>
      </c>
      <c r="CL175" t="s">
        <v>97</v>
      </c>
      <c r="CM175" t="s">
        <v>97</v>
      </c>
      <c r="CN175" t="s">
        <v>97</v>
      </c>
      <c r="CO175" t="s">
        <v>97</v>
      </c>
      <c r="CP175" t="s">
        <v>97</v>
      </c>
      <c r="CQ175" t="s">
        <v>97</v>
      </c>
      <c r="CR175" t="s">
        <v>97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 t="s">
        <v>107</v>
      </c>
      <c r="DB175" t="s">
        <v>107</v>
      </c>
      <c r="DC175">
        <v>328</v>
      </c>
      <c r="DD175">
        <v>0</v>
      </c>
      <c r="DE175">
        <v>4.8000000000000001E-2</v>
      </c>
      <c r="DF175" t="s">
        <v>97</v>
      </c>
      <c r="DG175" t="s">
        <v>97</v>
      </c>
    </row>
    <row r="176" spans="1:111" x14ac:dyDescent="0.2">
      <c r="A176">
        <v>2025</v>
      </c>
      <c r="B176" s="1">
        <v>45936</v>
      </c>
      <c r="C176" t="s">
        <v>95</v>
      </c>
      <c r="D176">
        <v>605483</v>
      </c>
      <c r="E176">
        <v>607208</v>
      </c>
      <c r="F176">
        <v>2</v>
      </c>
      <c r="G176">
        <v>2</v>
      </c>
      <c r="H176">
        <v>6</v>
      </c>
      <c r="I176" t="s">
        <v>163</v>
      </c>
      <c r="J176">
        <v>40</v>
      </c>
      <c r="K176">
        <v>5</v>
      </c>
      <c r="L176" t="s">
        <v>97</v>
      </c>
      <c r="M176" t="s">
        <v>132</v>
      </c>
      <c r="N176" t="s">
        <v>133</v>
      </c>
      <c r="O176">
        <f t="shared" si="32"/>
        <v>0</v>
      </c>
      <c r="P176">
        <f t="shared" si="33"/>
        <v>0</v>
      </c>
      <c r="Q176">
        <f t="shared" si="34"/>
        <v>0</v>
      </c>
      <c r="R176">
        <f t="shared" si="35"/>
        <v>0</v>
      </c>
      <c r="S176">
        <f t="shared" si="36"/>
        <v>0</v>
      </c>
      <c r="T176">
        <f t="shared" si="37"/>
        <v>0</v>
      </c>
      <c r="U176">
        <f t="shared" si="38"/>
        <v>0</v>
      </c>
      <c r="V176">
        <f t="shared" si="39"/>
        <v>0</v>
      </c>
      <c r="W176">
        <f t="shared" si="40"/>
        <v>0</v>
      </c>
      <c r="X176">
        <f t="shared" si="41"/>
        <v>0</v>
      </c>
      <c r="Y176">
        <f t="shared" si="42"/>
        <v>0</v>
      </c>
      <c r="Z176">
        <f t="shared" si="43"/>
        <v>1</v>
      </c>
      <c r="AA176">
        <f t="shared" si="44"/>
        <v>0</v>
      </c>
      <c r="AB176">
        <f t="shared" si="45"/>
        <v>0</v>
      </c>
      <c r="AC176">
        <f t="shared" si="46"/>
        <v>0</v>
      </c>
      <c r="AD176">
        <f t="shared" si="47"/>
        <v>0</v>
      </c>
      <c r="AE176">
        <v>80.400000000000006</v>
      </c>
      <c r="AF176">
        <v>2.25</v>
      </c>
      <c r="AG176">
        <v>6.43</v>
      </c>
      <c r="AH176" t="s">
        <v>100</v>
      </c>
      <c r="AI176" t="s">
        <v>97</v>
      </c>
      <c r="AJ176" t="s">
        <v>97</v>
      </c>
      <c r="AK176" t="s">
        <v>97</v>
      </c>
      <c r="AL176" t="s">
        <v>97</v>
      </c>
      <c r="AM176">
        <v>12</v>
      </c>
      <c r="AN176" t="s">
        <v>101</v>
      </c>
      <c r="AO176" t="s">
        <v>164</v>
      </c>
      <c r="AP176" t="s">
        <v>122</v>
      </c>
      <c r="AQ176" t="s">
        <v>103</v>
      </c>
      <c r="AR176" t="s">
        <v>165</v>
      </c>
      <c r="AS176" t="s">
        <v>104</v>
      </c>
      <c r="AT176" t="s">
        <v>106</v>
      </c>
      <c r="AU176" t="s">
        <v>97</v>
      </c>
      <c r="AV176" t="s">
        <v>97</v>
      </c>
      <c r="AW176">
        <v>1.08</v>
      </c>
      <c r="AX176">
        <v>0.92</v>
      </c>
      <c r="AY176">
        <v>1.22</v>
      </c>
      <c r="AZ176">
        <v>3</v>
      </c>
      <c r="BA176" t="s">
        <v>97</v>
      </c>
      <c r="BB176" t="s">
        <v>97</v>
      </c>
      <c r="BC176" t="s">
        <v>97</v>
      </c>
      <c r="BD176">
        <v>1</v>
      </c>
      <c r="BE176" t="s">
        <v>97</v>
      </c>
      <c r="BF176" t="s">
        <v>97</v>
      </c>
      <c r="BG176" t="s">
        <v>97</v>
      </c>
      <c r="BH176" t="s">
        <v>97</v>
      </c>
      <c r="BI176">
        <v>669257</v>
      </c>
      <c r="BJ176">
        <v>669257</v>
      </c>
      <c r="BK176" t="s">
        <v>97</v>
      </c>
      <c r="BL176" t="s">
        <v>97</v>
      </c>
      <c r="BM176">
        <v>-4.3814424379999997</v>
      </c>
      <c r="BN176">
        <v>-117.0565941</v>
      </c>
      <c r="BO176">
        <v>-2.6815985790000001</v>
      </c>
      <c r="BP176">
        <v>10.751750250000001</v>
      </c>
      <c r="BQ176">
        <v>22.782391390000001</v>
      </c>
      <c r="BR176">
        <v>-23.430299739999999</v>
      </c>
      <c r="BS176">
        <v>3.33</v>
      </c>
      <c r="BT176">
        <v>1.59</v>
      </c>
      <c r="BU176" t="s">
        <v>97</v>
      </c>
      <c r="BV176" t="s">
        <v>97</v>
      </c>
      <c r="BW176" t="s">
        <v>97</v>
      </c>
      <c r="BX176">
        <v>81</v>
      </c>
      <c r="BY176">
        <v>1681</v>
      </c>
      <c r="BZ176">
        <v>6.8</v>
      </c>
      <c r="CA176">
        <v>813052</v>
      </c>
      <c r="CB176">
        <v>669257</v>
      </c>
      <c r="CC176">
        <v>669257</v>
      </c>
      <c r="CD176">
        <v>518692</v>
      </c>
      <c r="CE176">
        <v>669242</v>
      </c>
      <c r="CF176">
        <v>500743</v>
      </c>
      <c r="CG176">
        <v>605141</v>
      </c>
      <c r="CH176">
        <v>571771</v>
      </c>
      <c r="CI176">
        <v>681624</v>
      </c>
      <c r="CJ176">
        <v>606192</v>
      </c>
      <c r="CK176">
        <v>53.74</v>
      </c>
      <c r="CL176" t="s">
        <v>97</v>
      </c>
      <c r="CM176" t="s">
        <v>97</v>
      </c>
      <c r="CN176" t="s">
        <v>97</v>
      </c>
      <c r="CO176" t="s">
        <v>97</v>
      </c>
      <c r="CP176" t="s">
        <v>97</v>
      </c>
      <c r="CQ176" t="s">
        <v>97</v>
      </c>
      <c r="CR176" t="s">
        <v>97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t="s">
        <v>107</v>
      </c>
      <c r="DB176" t="s">
        <v>107</v>
      </c>
      <c r="DC176">
        <v>128</v>
      </c>
      <c r="DD176">
        <v>0</v>
      </c>
      <c r="DE176">
        <v>0.104</v>
      </c>
      <c r="DF176" t="s">
        <v>97</v>
      </c>
      <c r="DG176" t="s">
        <v>97</v>
      </c>
    </row>
    <row r="177" spans="1:111" x14ac:dyDescent="0.2">
      <c r="A177">
        <v>2025</v>
      </c>
      <c r="B177" s="1">
        <v>45936</v>
      </c>
      <c r="C177" t="s">
        <v>95</v>
      </c>
      <c r="D177">
        <v>605483</v>
      </c>
      <c r="E177">
        <v>607208</v>
      </c>
      <c r="F177">
        <v>3</v>
      </c>
      <c r="G177">
        <v>2</v>
      </c>
      <c r="H177">
        <v>6</v>
      </c>
      <c r="I177" t="s">
        <v>163</v>
      </c>
      <c r="J177">
        <v>40</v>
      </c>
      <c r="K177">
        <v>6</v>
      </c>
      <c r="L177" t="s">
        <v>142</v>
      </c>
      <c r="M177" t="s">
        <v>138</v>
      </c>
      <c r="N177" t="s">
        <v>139</v>
      </c>
      <c r="O177">
        <f t="shared" si="32"/>
        <v>0</v>
      </c>
      <c r="P177">
        <f t="shared" si="33"/>
        <v>0</v>
      </c>
      <c r="Q177">
        <f t="shared" si="34"/>
        <v>0</v>
      </c>
      <c r="R177">
        <f t="shared" si="35"/>
        <v>0</v>
      </c>
      <c r="S177">
        <f t="shared" si="36"/>
        <v>0</v>
      </c>
      <c r="T177">
        <f t="shared" si="37"/>
        <v>0</v>
      </c>
      <c r="U177">
        <f t="shared" si="38"/>
        <v>0</v>
      </c>
      <c r="V177">
        <f t="shared" si="39"/>
        <v>0</v>
      </c>
      <c r="W177">
        <f t="shared" si="40"/>
        <v>0</v>
      </c>
      <c r="X177">
        <f t="shared" si="41"/>
        <v>0</v>
      </c>
      <c r="Y177">
        <f t="shared" si="42"/>
        <v>0</v>
      </c>
      <c r="Z177">
        <f t="shared" si="43"/>
        <v>0</v>
      </c>
      <c r="AA177">
        <f t="shared" si="44"/>
        <v>0</v>
      </c>
      <c r="AB177">
        <f t="shared" si="45"/>
        <v>0</v>
      </c>
      <c r="AC177">
        <f t="shared" si="46"/>
        <v>0</v>
      </c>
      <c r="AD177">
        <f t="shared" si="47"/>
        <v>1</v>
      </c>
      <c r="AE177">
        <v>89.3</v>
      </c>
      <c r="AF177">
        <v>1.93</v>
      </c>
      <c r="AG177">
        <v>6.66</v>
      </c>
      <c r="AH177" t="s">
        <v>140</v>
      </c>
      <c r="AI177" t="s">
        <v>97</v>
      </c>
      <c r="AJ177" t="s">
        <v>97</v>
      </c>
      <c r="AK177" t="s">
        <v>97</v>
      </c>
      <c r="AL177" t="s">
        <v>97</v>
      </c>
      <c r="AM177">
        <v>13</v>
      </c>
      <c r="AN177" t="s">
        <v>186</v>
      </c>
      <c r="AO177" t="s">
        <v>164</v>
      </c>
      <c r="AP177" t="s">
        <v>122</v>
      </c>
      <c r="AQ177" t="s">
        <v>103</v>
      </c>
      <c r="AR177" t="s">
        <v>165</v>
      </c>
      <c r="AS177" t="s">
        <v>104</v>
      </c>
      <c r="AT177" t="s">
        <v>106</v>
      </c>
      <c r="AU177" t="s">
        <v>97</v>
      </c>
      <c r="AV177" t="s">
        <v>97</v>
      </c>
      <c r="AW177">
        <v>-0.28000000000000003</v>
      </c>
      <c r="AX177">
        <v>0.56000000000000005</v>
      </c>
      <c r="AY177">
        <v>-0.97</v>
      </c>
      <c r="AZ177">
        <v>0.77</v>
      </c>
      <c r="BA177" t="s">
        <v>97</v>
      </c>
      <c r="BB177" t="s">
        <v>97</v>
      </c>
      <c r="BC177" t="s">
        <v>97</v>
      </c>
      <c r="BD177">
        <v>1</v>
      </c>
      <c r="BE177" t="s">
        <v>97</v>
      </c>
      <c r="BF177" t="s">
        <v>97</v>
      </c>
      <c r="BG177" t="s">
        <v>97</v>
      </c>
      <c r="BH177" t="s">
        <v>97</v>
      </c>
      <c r="BI177">
        <v>669257</v>
      </c>
      <c r="BJ177">
        <v>669257</v>
      </c>
      <c r="BK177" t="s">
        <v>97</v>
      </c>
      <c r="BL177" t="s">
        <v>97</v>
      </c>
      <c r="BM177">
        <v>-6.5769620619999998</v>
      </c>
      <c r="BN177">
        <v>-129.7045583</v>
      </c>
      <c r="BO177">
        <v>-9.6987192530000002</v>
      </c>
      <c r="BP177">
        <v>-1.9090790989999999</v>
      </c>
      <c r="BQ177">
        <v>25.638519120000002</v>
      </c>
      <c r="BR177">
        <v>-24.06010843</v>
      </c>
      <c r="BS177">
        <v>3.34</v>
      </c>
      <c r="BT177">
        <v>1.59</v>
      </c>
      <c r="BU177" t="s">
        <v>97</v>
      </c>
      <c r="BV177" t="s">
        <v>97</v>
      </c>
      <c r="BW177" t="s">
        <v>97</v>
      </c>
      <c r="BX177">
        <v>89.9</v>
      </c>
      <c r="BY177">
        <v>2388</v>
      </c>
      <c r="BZ177">
        <v>6.6</v>
      </c>
      <c r="CA177">
        <v>813052</v>
      </c>
      <c r="CB177">
        <v>669257</v>
      </c>
      <c r="CC177">
        <v>669257</v>
      </c>
      <c r="CD177">
        <v>518692</v>
      </c>
      <c r="CE177">
        <v>669242</v>
      </c>
      <c r="CF177">
        <v>500743</v>
      </c>
      <c r="CG177">
        <v>605141</v>
      </c>
      <c r="CH177">
        <v>571771</v>
      </c>
      <c r="CI177">
        <v>681624</v>
      </c>
      <c r="CJ177">
        <v>606192</v>
      </c>
      <c r="CK177">
        <v>53.89</v>
      </c>
      <c r="CL177" t="s">
        <v>97</v>
      </c>
      <c r="CM177">
        <v>0.69149700000000003</v>
      </c>
      <c r="CN177">
        <v>0.7</v>
      </c>
      <c r="CO177">
        <v>1</v>
      </c>
      <c r="CP177">
        <v>0</v>
      </c>
      <c r="CQ177">
        <v>0</v>
      </c>
      <c r="CR177" t="s">
        <v>97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 t="s">
        <v>107</v>
      </c>
      <c r="DB177" t="s">
        <v>107</v>
      </c>
      <c r="DC177">
        <v>176</v>
      </c>
      <c r="DD177">
        <v>3.5999999999999997E-2</v>
      </c>
      <c r="DE177">
        <v>0.34</v>
      </c>
      <c r="DF177" t="s">
        <v>97</v>
      </c>
      <c r="DG177" t="s">
        <v>97</v>
      </c>
    </row>
    <row r="178" spans="1:111" x14ac:dyDescent="0.2">
      <c r="A178">
        <v>2025</v>
      </c>
      <c r="B178" s="1">
        <v>45936</v>
      </c>
      <c r="C178" t="s">
        <v>95</v>
      </c>
      <c r="D178">
        <v>605483</v>
      </c>
      <c r="E178">
        <v>656941</v>
      </c>
      <c r="F178">
        <v>0</v>
      </c>
      <c r="G178">
        <v>0</v>
      </c>
      <c r="H178">
        <v>6</v>
      </c>
      <c r="I178" t="s">
        <v>163</v>
      </c>
      <c r="J178">
        <v>41</v>
      </c>
      <c r="K178">
        <v>1</v>
      </c>
      <c r="L178" t="s">
        <v>97</v>
      </c>
      <c r="M178" t="s">
        <v>132</v>
      </c>
      <c r="N178" t="s">
        <v>133</v>
      </c>
      <c r="O178">
        <f t="shared" si="32"/>
        <v>0</v>
      </c>
      <c r="P178">
        <f t="shared" si="33"/>
        <v>0</v>
      </c>
      <c r="Q178">
        <f t="shared" si="34"/>
        <v>0</v>
      </c>
      <c r="R178">
        <f t="shared" si="35"/>
        <v>0</v>
      </c>
      <c r="S178">
        <f t="shared" si="36"/>
        <v>0</v>
      </c>
      <c r="T178">
        <f t="shared" si="37"/>
        <v>0</v>
      </c>
      <c r="U178">
        <f t="shared" si="38"/>
        <v>0</v>
      </c>
      <c r="V178">
        <f t="shared" si="39"/>
        <v>0</v>
      </c>
      <c r="W178">
        <f t="shared" si="40"/>
        <v>0</v>
      </c>
      <c r="X178">
        <f t="shared" si="41"/>
        <v>0</v>
      </c>
      <c r="Y178">
        <f t="shared" si="42"/>
        <v>0</v>
      </c>
      <c r="Z178">
        <f t="shared" si="43"/>
        <v>1</v>
      </c>
      <c r="AA178">
        <f t="shared" si="44"/>
        <v>0</v>
      </c>
      <c r="AB178">
        <f t="shared" si="45"/>
        <v>0</v>
      </c>
      <c r="AC178">
        <f t="shared" si="46"/>
        <v>0</v>
      </c>
      <c r="AD178">
        <f t="shared" si="47"/>
        <v>0</v>
      </c>
      <c r="AE178">
        <v>85.7</v>
      </c>
      <c r="AF178">
        <v>2.34</v>
      </c>
      <c r="AG178">
        <v>6.42</v>
      </c>
      <c r="AH178" t="s">
        <v>100</v>
      </c>
      <c r="AI178" t="s">
        <v>97</v>
      </c>
      <c r="AJ178" t="s">
        <v>97</v>
      </c>
      <c r="AK178" t="s">
        <v>97</v>
      </c>
      <c r="AL178" t="s">
        <v>97</v>
      </c>
      <c r="AM178">
        <v>14</v>
      </c>
      <c r="AN178" t="s">
        <v>101</v>
      </c>
      <c r="AO178" t="s">
        <v>164</v>
      </c>
      <c r="AP178" t="s">
        <v>103</v>
      </c>
      <c r="AQ178" t="s">
        <v>103</v>
      </c>
      <c r="AR178" t="s">
        <v>165</v>
      </c>
      <c r="AS178" t="s">
        <v>104</v>
      </c>
      <c r="AT178" t="s">
        <v>106</v>
      </c>
      <c r="AU178" t="s">
        <v>97</v>
      </c>
      <c r="AV178" t="s">
        <v>97</v>
      </c>
      <c r="AW178">
        <v>1.17</v>
      </c>
      <c r="AX178">
        <v>1.05</v>
      </c>
      <c r="AY178">
        <v>1.1200000000000001</v>
      </c>
      <c r="AZ178">
        <v>1.03</v>
      </c>
      <c r="BA178" t="s">
        <v>97</v>
      </c>
      <c r="BB178" t="s">
        <v>97</v>
      </c>
      <c r="BC178">
        <v>607208</v>
      </c>
      <c r="BD178">
        <v>1</v>
      </c>
      <c r="BE178" t="s">
        <v>97</v>
      </c>
      <c r="BF178" t="s">
        <v>97</v>
      </c>
      <c r="BG178" t="s">
        <v>97</v>
      </c>
      <c r="BH178" t="s">
        <v>97</v>
      </c>
      <c r="BI178">
        <v>669257</v>
      </c>
      <c r="BJ178">
        <v>669257</v>
      </c>
      <c r="BK178" t="s">
        <v>97</v>
      </c>
      <c r="BL178" t="s">
        <v>97</v>
      </c>
      <c r="BM178">
        <v>-5.283644282</v>
      </c>
      <c r="BN178">
        <v>-124.4522758</v>
      </c>
      <c r="BO178">
        <v>-8.571247069</v>
      </c>
      <c r="BP178">
        <v>13.20522678</v>
      </c>
      <c r="BQ178">
        <v>26.045184599999999</v>
      </c>
      <c r="BR178">
        <v>-19.737049840000001</v>
      </c>
      <c r="BS178">
        <v>3.17</v>
      </c>
      <c r="BT178">
        <v>1.4</v>
      </c>
      <c r="BU178" t="s">
        <v>97</v>
      </c>
      <c r="BV178" t="s">
        <v>97</v>
      </c>
      <c r="BW178" t="s">
        <v>97</v>
      </c>
      <c r="BX178">
        <v>86</v>
      </c>
      <c r="BY178">
        <v>1907</v>
      </c>
      <c r="BZ178">
        <v>6.7</v>
      </c>
      <c r="CA178">
        <v>813052</v>
      </c>
      <c r="CB178">
        <v>669257</v>
      </c>
      <c r="CC178">
        <v>669257</v>
      </c>
      <c r="CD178">
        <v>518692</v>
      </c>
      <c r="CE178">
        <v>669242</v>
      </c>
      <c r="CF178">
        <v>500743</v>
      </c>
      <c r="CG178">
        <v>605141</v>
      </c>
      <c r="CH178">
        <v>571771</v>
      </c>
      <c r="CI178">
        <v>681624</v>
      </c>
      <c r="CJ178">
        <v>606192</v>
      </c>
      <c r="CK178">
        <v>53.79</v>
      </c>
      <c r="CL178" t="s">
        <v>97</v>
      </c>
      <c r="CM178" t="s">
        <v>97</v>
      </c>
      <c r="CN178" t="s">
        <v>97</v>
      </c>
      <c r="CO178" t="s">
        <v>97</v>
      </c>
      <c r="CP178" t="s">
        <v>97</v>
      </c>
      <c r="CQ178" t="s">
        <v>97</v>
      </c>
      <c r="CR178" t="s">
        <v>97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 t="s">
        <v>107</v>
      </c>
      <c r="DB178" t="s">
        <v>107</v>
      </c>
      <c r="DC178">
        <v>133</v>
      </c>
      <c r="DD178">
        <v>0</v>
      </c>
      <c r="DE178">
        <v>3.5000000000000003E-2</v>
      </c>
      <c r="DF178" t="s">
        <v>97</v>
      </c>
      <c r="DG178" t="s">
        <v>97</v>
      </c>
    </row>
    <row r="179" spans="1:111" x14ac:dyDescent="0.2">
      <c r="A179">
        <v>2025</v>
      </c>
      <c r="B179" s="1">
        <v>45936</v>
      </c>
      <c r="C179" t="s">
        <v>95</v>
      </c>
      <c r="D179">
        <v>605483</v>
      </c>
      <c r="E179">
        <v>656941</v>
      </c>
      <c r="F179">
        <v>1</v>
      </c>
      <c r="G179">
        <v>0</v>
      </c>
      <c r="H179">
        <v>6</v>
      </c>
      <c r="I179" t="s">
        <v>163</v>
      </c>
      <c r="J179">
        <v>41</v>
      </c>
      <c r="K179">
        <v>2</v>
      </c>
      <c r="L179" t="s">
        <v>97</v>
      </c>
      <c r="M179" t="s">
        <v>138</v>
      </c>
      <c r="N179" t="s">
        <v>139</v>
      </c>
      <c r="O179">
        <f t="shared" si="32"/>
        <v>0</v>
      </c>
      <c r="P179">
        <f t="shared" si="33"/>
        <v>0</v>
      </c>
      <c r="Q179">
        <f t="shared" si="34"/>
        <v>0</v>
      </c>
      <c r="R179">
        <f t="shared" si="35"/>
        <v>0</v>
      </c>
      <c r="S179">
        <f t="shared" si="36"/>
        <v>0</v>
      </c>
      <c r="T179">
        <f t="shared" si="37"/>
        <v>0</v>
      </c>
      <c r="U179">
        <f t="shared" si="38"/>
        <v>0</v>
      </c>
      <c r="V179">
        <f t="shared" si="39"/>
        <v>0</v>
      </c>
      <c r="W179">
        <f t="shared" si="40"/>
        <v>0</v>
      </c>
      <c r="X179">
        <f t="shared" si="41"/>
        <v>0</v>
      </c>
      <c r="Y179">
        <f t="shared" si="42"/>
        <v>0</v>
      </c>
      <c r="Z179">
        <f t="shared" si="43"/>
        <v>0</v>
      </c>
      <c r="AA179">
        <f t="shared" si="44"/>
        <v>1</v>
      </c>
      <c r="AB179">
        <f t="shared" si="45"/>
        <v>0</v>
      </c>
      <c r="AC179">
        <f t="shared" si="46"/>
        <v>0</v>
      </c>
      <c r="AD179">
        <f t="shared" si="47"/>
        <v>0</v>
      </c>
      <c r="AE179">
        <v>89.7</v>
      </c>
      <c r="AF179">
        <v>1.9</v>
      </c>
      <c r="AG179">
        <v>6.55</v>
      </c>
      <c r="AH179" t="s">
        <v>100</v>
      </c>
      <c r="AI179" t="s">
        <v>97</v>
      </c>
      <c r="AJ179" t="s">
        <v>97</v>
      </c>
      <c r="AK179" t="s">
        <v>97</v>
      </c>
      <c r="AL179" t="s">
        <v>97</v>
      </c>
      <c r="AM179">
        <v>13</v>
      </c>
      <c r="AN179" t="s">
        <v>101</v>
      </c>
      <c r="AO179" t="s">
        <v>164</v>
      </c>
      <c r="AP179" t="s">
        <v>103</v>
      </c>
      <c r="AQ179" t="s">
        <v>103</v>
      </c>
      <c r="AR179" t="s">
        <v>165</v>
      </c>
      <c r="AS179" t="s">
        <v>104</v>
      </c>
      <c r="AT179" t="s">
        <v>106</v>
      </c>
      <c r="AU179" t="s">
        <v>97</v>
      </c>
      <c r="AV179" t="s">
        <v>97</v>
      </c>
      <c r="AW179">
        <v>-0.31</v>
      </c>
      <c r="AX179">
        <v>0.82</v>
      </c>
      <c r="AY179">
        <v>-0.98</v>
      </c>
      <c r="AZ179">
        <v>2.04</v>
      </c>
      <c r="BA179" t="s">
        <v>97</v>
      </c>
      <c r="BB179" t="s">
        <v>97</v>
      </c>
      <c r="BC179">
        <v>607208</v>
      </c>
      <c r="BD179">
        <v>1</v>
      </c>
      <c r="BE179" t="s">
        <v>97</v>
      </c>
      <c r="BF179" t="s">
        <v>97</v>
      </c>
      <c r="BG179" t="s">
        <v>97</v>
      </c>
      <c r="BH179" t="s">
        <v>97</v>
      </c>
      <c r="BI179">
        <v>669257</v>
      </c>
      <c r="BJ179">
        <v>669257</v>
      </c>
      <c r="BK179" t="s">
        <v>97</v>
      </c>
      <c r="BL179" t="s">
        <v>97</v>
      </c>
      <c r="BM179">
        <v>-6.4849841069999998</v>
      </c>
      <c r="BN179">
        <v>-130.389861</v>
      </c>
      <c r="BO179">
        <v>-6.884960586</v>
      </c>
      <c r="BP179">
        <v>-2.1443033919999999</v>
      </c>
      <c r="BQ179">
        <v>28.164550290000001</v>
      </c>
      <c r="BR179">
        <v>-21.551222719999998</v>
      </c>
      <c r="BS179">
        <v>3.12</v>
      </c>
      <c r="BT179">
        <v>1.4</v>
      </c>
      <c r="BU179" t="s">
        <v>97</v>
      </c>
      <c r="BV179" t="s">
        <v>97</v>
      </c>
      <c r="BW179" t="s">
        <v>97</v>
      </c>
      <c r="BX179">
        <v>90</v>
      </c>
      <c r="BY179">
        <v>2288</v>
      </c>
      <c r="BZ179">
        <v>6.6</v>
      </c>
      <c r="CA179">
        <v>813052</v>
      </c>
      <c r="CB179">
        <v>669257</v>
      </c>
      <c r="CC179">
        <v>669257</v>
      </c>
      <c r="CD179">
        <v>518692</v>
      </c>
      <c r="CE179">
        <v>669242</v>
      </c>
      <c r="CF179">
        <v>500743</v>
      </c>
      <c r="CG179">
        <v>605141</v>
      </c>
      <c r="CH179">
        <v>571771</v>
      </c>
      <c r="CI179">
        <v>681624</v>
      </c>
      <c r="CJ179">
        <v>606192</v>
      </c>
      <c r="CK179">
        <v>53.92</v>
      </c>
      <c r="CL179" t="s">
        <v>97</v>
      </c>
      <c r="CM179" t="s">
        <v>97</v>
      </c>
      <c r="CN179" t="s">
        <v>97</v>
      </c>
      <c r="CO179" t="s">
        <v>97</v>
      </c>
      <c r="CP179" t="s">
        <v>97</v>
      </c>
      <c r="CQ179" t="s">
        <v>97</v>
      </c>
      <c r="CR179" t="s">
        <v>97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 t="s">
        <v>168</v>
      </c>
      <c r="DB179" t="s">
        <v>107</v>
      </c>
      <c r="DC179">
        <v>163</v>
      </c>
      <c r="DD179">
        <v>2.9000000000000001E-2</v>
      </c>
      <c r="DE179">
        <v>6.9000000000000006E-2</v>
      </c>
      <c r="DF179" t="s">
        <v>97</v>
      </c>
      <c r="DG179" t="s">
        <v>97</v>
      </c>
    </row>
    <row r="180" spans="1:111" x14ac:dyDescent="0.2">
      <c r="A180">
        <v>2025</v>
      </c>
      <c r="B180" s="1">
        <v>45936</v>
      </c>
      <c r="C180" t="s">
        <v>95</v>
      </c>
      <c r="D180">
        <v>605483</v>
      </c>
      <c r="E180">
        <v>656941</v>
      </c>
      <c r="F180">
        <v>2</v>
      </c>
      <c r="G180">
        <v>0</v>
      </c>
      <c r="H180">
        <v>6</v>
      </c>
      <c r="I180" t="s">
        <v>163</v>
      </c>
      <c r="J180">
        <v>41</v>
      </c>
      <c r="K180">
        <v>3</v>
      </c>
      <c r="L180" t="s">
        <v>97</v>
      </c>
      <c r="M180" t="s">
        <v>138</v>
      </c>
      <c r="N180" t="s">
        <v>139</v>
      </c>
      <c r="O180">
        <f t="shared" si="32"/>
        <v>0</v>
      </c>
      <c r="P180">
        <f t="shared" si="33"/>
        <v>0</v>
      </c>
      <c r="Q180">
        <f t="shared" si="34"/>
        <v>0</v>
      </c>
      <c r="R180">
        <f t="shared" si="35"/>
        <v>0</v>
      </c>
      <c r="S180">
        <f t="shared" si="36"/>
        <v>0</v>
      </c>
      <c r="T180">
        <f t="shared" si="37"/>
        <v>0</v>
      </c>
      <c r="U180">
        <f t="shared" si="38"/>
        <v>0</v>
      </c>
      <c r="V180">
        <f t="shared" si="39"/>
        <v>0</v>
      </c>
      <c r="W180">
        <f t="shared" si="40"/>
        <v>0</v>
      </c>
      <c r="X180">
        <f t="shared" si="41"/>
        <v>0</v>
      </c>
      <c r="Y180">
        <f t="shared" si="42"/>
        <v>0</v>
      </c>
      <c r="Z180">
        <f t="shared" si="43"/>
        <v>0</v>
      </c>
      <c r="AA180">
        <f t="shared" si="44"/>
        <v>0</v>
      </c>
      <c r="AB180">
        <f t="shared" si="45"/>
        <v>1</v>
      </c>
      <c r="AC180">
        <f t="shared" si="46"/>
        <v>0</v>
      </c>
      <c r="AD180">
        <f t="shared" si="47"/>
        <v>0</v>
      </c>
      <c r="AE180">
        <v>90.2</v>
      </c>
      <c r="AF180">
        <v>1.89</v>
      </c>
      <c r="AG180">
        <v>6.55</v>
      </c>
      <c r="AH180" t="s">
        <v>113</v>
      </c>
      <c r="AI180" t="s">
        <v>97</v>
      </c>
      <c r="AJ180" t="s">
        <v>97</v>
      </c>
      <c r="AK180" t="s">
        <v>97</v>
      </c>
      <c r="AL180" t="s">
        <v>97</v>
      </c>
      <c r="AM180">
        <v>4</v>
      </c>
      <c r="AN180" t="s">
        <v>114</v>
      </c>
      <c r="AO180" t="s">
        <v>164</v>
      </c>
      <c r="AP180" t="s">
        <v>103</v>
      </c>
      <c r="AQ180" t="s">
        <v>103</v>
      </c>
      <c r="AR180" t="s">
        <v>165</v>
      </c>
      <c r="AS180" t="s">
        <v>104</v>
      </c>
      <c r="AT180" t="s">
        <v>110</v>
      </c>
      <c r="AU180" t="s">
        <v>97</v>
      </c>
      <c r="AV180" t="s">
        <v>97</v>
      </c>
      <c r="AW180">
        <v>0.28999999999999998</v>
      </c>
      <c r="AX180">
        <v>0.83</v>
      </c>
      <c r="AY180">
        <v>-0.28999999999999998</v>
      </c>
      <c r="AZ180">
        <v>2.1</v>
      </c>
      <c r="BA180" t="s">
        <v>97</v>
      </c>
      <c r="BB180">
        <v>607208</v>
      </c>
      <c r="BC180" t="s">
        <v>97</v>
      </c>
      <c r="BD180">
        <v>1</v>
      </c>
      <c r="BE180" t="s">
        <v>97</v>
      </c>
      <c r="BF180" t="s">
        <v>97</v>
      </c>
      <c r="BG180" t="s">
        <v>97</v>
      </c>
      <c r="BH180" t="s">
        <v>97</v>
      </c>
      <c r="BI180">
        <v>669257</v>
      </c>
      <c r="BJ180">
        <v>669257</v>
      </c>
      <c r="BK180" t="s">
        <v>97</v>
      </c>
      <c r="BL180" t="s">
        <v>97</v>
      </c>
      <c r="BM180">
        <v>-6.1103436530000002</v>
      </c>
      <c r="BN180">
        <v>-131.132453</v>
      </c>
      <c r="BO180">
        <v>-6.9371713220000002</v>
      </c>
      <c r="BP180">
        <v>4.6380177800000002</v>
      </c>
      <c r="BQ180">
        <v>26.264814009999998</v>
      </c>
      <c r="BR180">
        <v>-21.370277120000001</v>
      </c>
      <c r="BS180">
        <v>3.28</v>
      </c>
      <c r="BT180">
        <v>1.51</v>
      </c>
      <c r="BU180" t="s">
        <v>97</v>
      </c>
      <c r="BV180" t="s">
        <v>97</v>
      </c>
      <c r="BW180" t="s">
        <v>97</v>
      </c>
      <c r="BX180">
        <v>91.3</v>
      </c>
      <c r="BY180">
        <v>2302</v>
      </c>
      <c r="BZ180">
        <v>6.9</v>
      </c>
      <c r="CA180">
        <v>813052</v>
      </c>
      <c r="CB180">
        <v>669257</v>
      </c>
      <c r="CC180">
        <v>669257</v>
      </c>
      <c r="CD180">
        <v>518692</v>
      </c>
      <c r="CE180">
        <v>669242</v>
      </c>
      <c r="CF180">
        <v>500743</v>
      </c>
      <c r="CG180">
        <v>605141</v>
      </c>
      <c r="CH180">
        <v>571771</v>
      </c>
      <c r="CI180">
        <v>681624</v>
      </c>
      <c r="CJ180">
        <v>606192</v>
      </c>
      <c r="CK180">
        <v>53.64</v>
      </c>
      <c r="CL180" t="s">
        <v>97</v>
      </c>
      <c r="CM180" t="s">
        <v>97</v>
      </c>
      <c r="CN180" t="s">
        <v>97</v>
      </c>
      <c r="CO180" t="s">
        <v>97</v>
      </c>
      <c r="CP180" t="s">
        <v>97</v>
      </c>
      <c r="CQ180" t="s">
        <v>97</v>
      </c>
      <c r="CR180" t="s">
        <v>97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 t="s">
        <v>107</v>
      </c>
      <c r="DB180" t="s">
        <v>107</v>
      </c>
      <c r="DC180">
        <v>164</v>
      </c>
      <c r="DD180">
        <v>0</v>
      </c>
      <c r="DE180">
        <v>-5.8000000000000003E-2</v>
      </c>
      <c r="DF180">
        <v>82.6</v>
      </c>
      <c r="DG180">
        <v>8.1</v>
      </c>
    </row>
    <row r="181" spans="1:111" x14ac:dyDescent="0.2">
      <c r="A181">
        <v>2025</v>
      </c>
      <c r="B181" s="1">
        <v>45936</v>
      </c>
      <c r="C181" t="s">
        <v>95</v>
      </c>
      <c r="D181">
        <v>605483</v>
      </c>
      <c r="E181">
        <v>656941</v>
      </c>
      <c r="F181">
        <v>2</v>
      </c>
      <c r="G181">
        <v>1</v>
      </c>
      <c r="H181">
        <v>6</v>
      </c>
      <c r="I181" t="s">
        <v>163</v>
      </c>
      <c r="J181">
        <v>41</v>
      </c>
      <c r="K181">
        <v>4</v>
      </c>
      <c r="L181" t="s">
        <v>97</v>
      </c>
      <c r="M181" t="s">
        <v>98</v>
      </c>
      <c r="N181" t="s">
        <v>99</v>
      </c>
      <c r="O181">
        <f t="shared" si="32"/>
        <v>1</v>
      </c>
      <c r="P181">
        <f t="shared" si="33"/>
        <v>0</v>
      </c>
      <c r="Q181">
        <f t="shared" si="34"/>
        <v>0</v>
      </c>
      <c r="R181">
        <f t="shared" si="35"/>
        <v>0</v>
      </c>
      <c r="S181">
        <f t="shared" si="36"/>
        <v>0</v>
      </c>
      <c r="T181">
        <f t="shared" si="37"/>
        <v>0</v>
      </c>
      <c r="U181">
        <f t="shared" si="38"/>
        <v>0</v>
      </c>
      <c r="V181">
        <f t="shared" si="39"/>
        <v>0</v>
      </c>
      <c r="W181">
        <f t="shared" si="40"/>
        <v>0</v>
      </c>
      <c r="X181">
        <f t="shared" si="41"/>
        <v>0</v>
      </c>
      <c r="Y181">
        <f t="shared" si="42"/>
        <v>0</v>
      </c>
      <c r="Z181">
        <f t="shared" si="43"/>
        <v>0</v>
      </c>
      <c r="AA181">
        <f t="shared" si="44"/>
        <v>0</v>
      </c>
      <c r="AB181">
        <f t="shared" si="45"/>
        <v>0</v>
      </c>
      <c r="AC181">
        <f t="shared" si="46"/>
        <v>0</v>
      </c>
      <c r="AD181">
        <f t="shared" si="47"/>
        <v>0</v>
      </c>
      <c r="AE181">
        <v>97.1</v>
      </c>
      <c r="AF181">
        <v>1.95</v>
      </c>
      <c r="AG181">
        <v>6.53</v>
      </c>
      <c r="AH181" t="s">
        <v>100</v>
      </c>
      <c r="AI181" t="s">
        <v>97</v>
      </c>
      <c r="AJ181" t="s">
        <v>97</v>
      </c>
      <c r="AK181" t="s">
        <v>97</v>
      </c>
      <c r="AL181" t="s">
        <v>97</v>
      </c>
      <c r="AM181">
        <v>12</v>
      </c>
      <c r="AN181" t="s">
        <v>101</v>
      </c>
      <c r="AO181" t="s">
        <v>164</v>
      </c>
      <c r="AP181" t="s">
        <v>103</v>
      </c>
      <c r="AQ181" t="s">
        <v>103</v>
      </c>
      <c r="AR181" t="s">
        <v>165</v>
      </c>
      <c r="AS181" t="s">
        <v>104</v>
      </c>
      <c r="AT181" t="s">
        <v>106</v>
      </c>
      <c r="AU181" t="s">
        <v>97</v>
      </c>
      <c r="AV181" t="s">
        <v>97</v>
      </c>
      <c r="AW181">
        <v>0.27</v>
      </c>
      <c r="AX181">
        <v>1.62</v>
      </c>
      <c r="AY181">
        <v>1.19</v>
      </c>
      <c r="AZ181">
        <v>3.19</v>
      </c>
      <c r="BA181" t="s">
        <v>97</v>
      </c>
      <c r="BB181">
        <v>607208</v>
      </c>
      <c r="BC181" t="s">
        <v>97</v>
      </c>
      <c r="BD181">
        <v>1</v>
      </c>
      <c r="BE181" t="s">
        <v>97</v>
      </c>
      <c r="BF181" t="s">
        <v>97</v>
      </c>
      <c r="BG181" t="s">
        <v>97</v>
      </c>
      <c r="BH181" t="s">
        <v>97</v>
      </c>
      <c r="BI181">
        <v>669257</v>
      </c>
      <c r="BJ181">
        <v>669257</v>
      </c>
      <c r="BK181" t="s">
        <v>97</v>
      </c>
      <c r="BL181" t="s">
        <v>97</v>
      </c>
      <c r="BM181">
        <v>-2.6921913530000001</v>
      </c>
      <c r="BN181">
        <v>-141.1603968</v>
      </c>
      <c r="BO181">
        <v>-7.1218071519999997</v>
      </c>
      <c r="BP181">
        <v>4.3082871950000001</v>
      </c>
      <c r="BQ181">
        <v>34.939369569999997</v>
      </c>
      <c r="BR181">
        <v>-9.1101468410000006</v>
      </c>
      <c r="BS181">
        <v>3.18</v>
      </c>
      <c r="BT181">
        <v>1.46</v>
      </c>
      <c r="BU181" t="s">
        <v>97</v>
      </c>
      <c r="BV181" t="s">
        <v>97</v>
      </c>
      <c r="BW181" t="s">
        <v>97</v>
      </c>
      <c r="BX181">
        <v>97.5</v>
      </c>
      <c r="BY181">
        <v>2493</v>
      </c>
      <c r="BZ181">
        <v>6.7</v>
      </c>
      <c r="CA181">
        <v>813052</v>
      </c>
      <c r="CB181">
        <v>669257</v>
      </c>
      <c r="CC181">
        <v>669257</v>
      </c>
      <c r="CD181">
        <v>518692</v>
      </c>
      <c r="CE181">
        <v>669242</v>
      </c>
      <c r="CF181">
        <v>500743</v>
      </c>
      <c r="CG181">
        <v>605141</v>
      </c>
      <c r="CH181">
        <v>571771</v>
      </c>
      <c r="CI181">
        <v>681624</v>
      </c>
      <c r="CJ181">
        <v>606192</v>
      </c>
      <c r="CK181">
        <v>53.75</v>
      </c>
      <c r="CL181" t="s">
        <v>97</v>
      </c>
      <c r="CM181" t="s">
        <v>97</v>
      </c>
      <c r="CN181" t="s">
        <v>97</v>
      </c>
      <c r="CO181" t="s">
        <v>97</v>
      </c>
      <c r="CP181" t="s">
        <v>97</v>
      </c>
      <c r="CQ181" t="s">
        <v>97</v>
      </c>
      <c r="CR181" t="s">
        <v>97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 t="s">
        <v>107</v>
      </c>
      <c r="DB181" t="s">
        <v>107</v>
      </c>
      <c r="DC181">
        <v>159</v>
      </c>
      <c r="DD181">
        <v>0</v>
      </c>
      <c r="DE181">
        <v>7.0999999999999994E-2</v>
      </c>
      <c r="DF181" t="s">
        <v>97</v>
      </c>
      <c r="DG181" t="s">
        <v>97</v>
      </c>
    </row>
    <row r="182" spans="1:111" x14ac:dyDescent="0.2">
      <c r="A182">
        <v>2025</v>
      </c>
      <c r="B182" s="1">
        <v>45936</v>
      </c>
      <c r="C182" t="s">
        <v>95</v>
      </c>
      <c r="D182">
        <v>605483</v>
      </c>
      <c r="E182">
        <v>656941</v>
      </c>
      <c r="F182">
        <v>3</v>
      </c>
      <c r="G182">
        <v>1</v>
      </c>
      <c r="H182">
        <v>6</v>
      </c>
      <c r="I182" t="s">
        <v>163</v>
      </c>
      <c r="J182">
        <v>41</v>
      </c>
      <c r="K182">
        <v>5</v>
      </c>
      <c r="L182" t="s">
        <v>142</v>
      </c>
      <c r="M182" t="s">
        <v>98</v>
      </c>
      <c r="N182" t="s">
        <v>99</v>
      </c>
      <c r="O182">
        <f t="shared" si="32"/>
        <v>0</v>
      </c>
      <c r="P182">
        <f t="shared" si="33"/>
        <v>0</v>
      </c>
      <c r="Q182">
        <f t="shared" si="34"/>
        <v>0</v>
      </c>
      <c r="R182">
        <f t="shared" si="35"/>
        <v>1</v>
      </c>
      <c r="S182">
        <f t="shared" si="36"/>
        <v>0</v>
      </c>
      <c r="T182">
        <f t="shared" si="37"/>
        <v>0</v>
      </c>
      <c r="U182">
        <f t="shared" si="38"/>
        <v>0</v>
      </c>
      <c r="V182">
        <f t="shared" si="39"/>
        <v>0</v>
      </c>
      <c r="W182">
        <f t="shared" si="40"/>
        <v>0</v>
      </c>
      <c r="X182">
        <f t="shared" si="41"/>
        <v>0</v>
      </c>
      <c r="Y182">
        <f t="shared" si="42"/>
        <v>0</v>
      </c>
      <c r="Z182">
        <f t="shared" si="43"/>
        <v>0</v>
      </c>
      <c r="AA182">
        <f t="shared" si="44"/>
        <v>0</v>
      </c>
      <c r="AB182">
        <f t="shared" si="45"/>
        <v>0</v>
      </c>
      <c r="AC182">
        <f t="shared" si="46"/>
        <v>0</v>
      </c>
      <c r="AD182">
        <f t="shared" si="47"/>
        <v>0</v>
      </c>
      <c r="AE182">
        <v>95.6</v>
      </c>
      <c r="AF182">
        <v>2.14</v>
      </c>
      <c r="AG182">
        <v>6.51</v>
      </c>
      <c r="AH182" t="s">
        <v>100</v>
      </c>
      <c r="AI182" t="s">
        <v>97</v>
      </c>
      <c r="AJ182" t="s">
        <v>97</v>
      </c>
      <c r="AK182" t="s">
        <v>97</v>
      </c>
      <c r="AL182" t="s">
        <v>97</v>
      </c>
      <c r="AM182">
        <v>14</v>
      </c>
      <c r="AN182" t="s">
        <v>187</v>
      </c>
      <c r="AO182" t="s">
        <v>164</v>
      </c>
      <c r="AP182" t="s">
        <v>103</v>
      </c>
      <c r="AQ182" t="s">
        <v>103</v>
      </c>
      <c r="AR182" t="s">
        <v>165</v>
      </c>
      <c r="AS182" t="s">
        <v>104</v>
      </c>
      <c r="AT182" t="s">
        <v>106</v>
      </c>
      <c r="AU182" t="s">
        <v>97</v>
      </c>
      <c r="AV182" t="s">
        <v>97</v>
      </c>
      <c r="AW182">
        <v>0.66</v>
      </c>
      <c r="AX182">
        <v>1.69</v>
      </c>
      <c r="AY182">
        <v>0.77</v>
      </c>
      <c r="AZ182">
        <v>1.25</v>
      </c>
      <c r="BA182" t="s">
        <v>97</v>
      </c>
      <c r="BB182">
        <v>607208</v>
      </c>
      <c r="BC182" t="s">
        <v>97</v>
      </c>
      <c r="BD182">
        <v>1</v>
      </c>
      <c r="BE182" t="s">
        <v>97</v>
      </c>
      <c r="BF182" t="s">
        <v>97</v>
      </c>
      <c r="BG182" t="s">
        <v>97</v>
      </c>
      <c r="BH182" t="s">
        <v>97</v>
      </c>
      <c r="BI182">
        <v>669257</v>
      </c>
      <c r="BJ182">
        <v>669257</v>
      </c>
      <c r="BK182" t="s">
        <v>97</v>
      </c>
      <c r="BL182" t="s">
        <v>97</v>
      </c>
      <c r="BM182">
        <v>-5.1231541749999998</v>
      </c>
      <c r="BN182">
        <v>-138.66051680000001</v>
      </c>
      <c r="BO182">
        <v>-12.070078710000001</v>
      </c>
      <c r="BP182">
        <v>9.6796228729999996</v>
      </c>
      <c r="BQ182">
        <v>32.88045571</v>
      </c>
      <c r="BR182">
        <v>-7.7569110669999999</v>
      </c>
      <c r="BS182">
        <v>3.18</v>
      </c>
      <c r="BT182">
        <v>1.46</v>
      </c>
      <c r="BU182" t="s">
        <v>97</v>
      </c>
      <c r="BV182" t="s">
        <v>97</v>
      </c>
      <c r="BW182" t="s">
        <v>97</v>
      </c>
      <c r="BX182">
        <v>96</v>
      </c>
      <c r="BY182">
        <v>2456</v>
      </c>
      <c r="BZ182">
        <v>6.8</v>
      </c>
      <c r="CA182">
        <v>813052</v>
      </c>
      <c r="CB182">
        <v>669257</v>
      </c>
      <c r="CC182">
        <v>669257</v>
      </c>
      <c r="CD182">
        <v>518692</v>
      </c>
      <c r="CE182">
        <v>669242</v>
      </c>
      <c r="CF182">
        <v>500743</v>
      </c>
      <c r="CG182">
        <v>605141</v>
      </c>
      <c r="CH182">
        <v>571771</v>
      </c>
      <c r="CI182">
        <v>681624</v>
      </c>
      <c r="CJ182">
        <v>606192</v>
      </c>
      <c r="CK182">
        <v>53.69</v>
      </c>
      <c r="CL182" t="s">
        <v>97</v>
      </c>
      <c r="CM182">
        <v>0.69149700000000003</v>
      </c>
      <c r="CN182">
        <v>0.7</v>
      </c>
      <c r="CO182">
        <v>1</v>
      </c>
      <c r="CP182">
        <v>0</v>
      </c>
      <c r="CQ182">
        <v>0</v>
      </c>
      <c r="CR182" t="s">
        <v>97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t="s">
        <v>107</v>
      </c>
      <c r="DB182" t="s">
        <v>107</v>
      </c>
      <c r="DC182">
        <v>152</v>
      </c>
      <c r="DD182">
        <v>0.02</v>
      </c>
      <c r="DE182">
        <v>0.14499999999999999</v>
      </c>
      <c r="DF182" t="s">
        <v>97</v>
      </c>
      <c r="DG182" t="s">
        <v>97</v>
      </c>
    </row>
    <row r="183" spans="1:111" x14ac:dyDescent="0.2">
      <c r="A183">
        <v>2025</v>
      </c>
      <c r="B183" s="1">
        <v>45936</v>
      </c>
      <c r="C183" t="s">
        <v>95</v>
      </c>
      <c r="D183">
        <v>605483</v>
      </c>
      <c r="E183">
        <v>547180</v>
      </c>
      <c r="F183">
        <v>0</v>
      </c>
      <c r="G183">
        <v>0</v>
      </c>
      <c r="H183">
        <v>6</v>
      </c>
      <c r="I183" t="s">
        <v>163</v>
      </c>
      <c r="J183">
        <v>42</v>
      </c>
      <c r="K183">
        <v>1</v>
      </c>
      <c r="L183" t="s">
        <v>97</v>
      </c>
      <c r="M183" t="s">
        <v>138</v>
      </c>
      <c r="N183" t="s">
        <v>139</v>
      </c>
      <c r="O183">
        <f t="shared" si="32"/>
        <v>0</v>
      </c>
      <c r="P183">
        <f t="shared" si="33"/>
        <v>0</v>
      </c>
      <c r="Q183">
        <f t="shared" si="34"/>
        <v>0</v>
      </c>
      <c r="R183">
        <f t="shared" si="35"/>
        <v>0</v>
      </c>
      <c r="S183">
        <f t="shared" si="36"/>
        <v>0</v>
      </c>
      <c r="T183">
        <f t="shared" si="37"/>
        <v>0</v>
      </c>
      <c r="U183">
        <f t="shared" si="38"/>
        <v>0</v>
      </c>
      <c r="V183">
        <f t="shared" si="39"/>
        <v>0</v>
      </c>
      <c r="W183">
        <f t="shared" si="40"/>
        <v>0</v>
      </c>
      <c r="X183">
        <f t="shared" si="41"/>
        <v>0</v>
      </c>
      <c r="Y183">
        <f t="shared" si="42"/>
        <v>0</v>
      </c>
      <c r="Z183">
        <f t="shared" si="43"/>
        <v>0</v>
      </c>
      <c r="AA183">
        <f t="shared" si="44"/>
        <v>1</v>
      </c>
      <c r="AB183">
        <f t="shared" si="45"/>
        <v>0</v>
      </c>
      <c r="AC183">
        <f t="shared" si="46"/>
        <v>0</v>
      </c>
      <c r="AD183">
        <f t="shared" si="47"/>
        <v>0</v>
      </c>
      <c r="AE183">
        <v>91</v>
      </c>
      <c r="AF183">
        <v>2.06</v>
      </c>
      <c r="AG183">
        <v>6.61</v>
      </c>
      <c r="AH183" t="s">
        <v>140</v>
      </c>
      <c r="AI183" t="s">
        <v>97</v>
      </c>
      <c r="AJ183" t="s">
        <v>97</v>
      </c>
      <c r="AK183" t="s">
        <v>97</v>
      </c>
      <c r="AL183" t="s">
        <v>97</v>
      </c>
      <c r="AM183">
        <v>13</v>
      </c>
      <c r="AN183" t="s">
        <v>141</v>
      </c>
      <c r="AO183" t="s">
        <v>164</v>
      </c>
      <c r="AP183" t="s">
        <v>103</v>
      </c>
      <c r="AQ183" t="s">
        <v>103</v>
      </c>
      <c r="AR183" t="s">
        <v>165</v>
      </c>
      <c r="AS183" t="s">
        <v>104</v>
      </c>
      <c r="AT183" t="s">
        <v>106</v>
      </c>
      <c r="AU183" t="s">
        <v>97</v>
      </c>
      <c r="AV183" t="s">
        <v>97</v>
      </c>
      <c r="AW183">
        <v>0.25</v>
      </c>
      <c r="AX183">
        <v>0.78</v>
      </c>
      <c r="AY183">
        <v>-0.47</v>
      </c>
      <c r="AZ183">
        <v>0.45</v>
      </c>
      <c r="BA183" t="s">
        <v>97</v>
      </c>
      <c r="BB183">
        <v>607208</v>
      </c>
      <c r="BC183">
        <v>656941</v>
      </c>
      <c r="BD183">
        <v>1</v>
      </c>
      <c r="BE183" t="s">
        <v>97</v>
      </c>
      <c r="BF183" t="s">
        <v>97</v>
      </c>
      <c r="BG183" t="s">
        <v>97</v>
      </c>
      <c r="BH183" t="s">
        <v>97</v>
      </c>
      <c r="BI183">
        <v>669257</v>
      </c>
      <c r="BJ183">
        <v>669257</v>
      </c>
      <c r="BK183" t="s">
        <v>97</v>
      </c>
      <c r="BL183" t="s">
        <v>97</v>
      </c>
      <c r="BM183">
        <v>-6.9036421739999998</v>
      </c>
      <c r="BN183">
        <v>-131.97761170000001</v>
      </c>
      <c r="BO183">
        <v>-11.25331737</v>
      </c>
      <c r="BP183">
        <v>4.3450635579999997</v>
      </c>
      <c r="BQ183">
        <v>27.313331300000002</v>
      </c>
      <c r="BR183">
        <v>-20.886547570000001</v>
      </c>
      <c r="BS183">
        <v>3.19</v>
      </c>
      <c r="BT183">
        <v>1.64</v>
      </c>
      <c r="BU183" t="s">
        <v>97</v>
      </c>
      <c r="BV183" t="s">
        <v>97</v>
      </c>
      <c r="BW183" t="s">
        <v>97</v>
      </c>
      <c r="BX183">
        <v>91.6</v>
      </c>
      <c r="BY183">
        <v>2345</v>
      </c>
      <c r="BZ183">
        <v>6.8</v>
      </c>
      <c r="CA183">
        <v>813052</v>
      </c>
      <c r="CB183">
        <v>669257</v>
      </c>
      <c r="CC183">
        <v>669257</v>
      </c>
      <c r="CD183">
        <v>518692</v>
      </c>
      <c r="CE183">
        <v>669242</v>
      </c>
      <c r="CF183">
        <v>500743</v>
      </c>
      <c r="CG183">
        <v>605141</v>
      </c>
      <c r="CH183">
        <v>571771</v>
      </c>
      <c r="CI183">
        <v>681624</v>
      </c>
      <c r="CJ183">
        <v>606192</v>
      </c>
      <c r="CK183">
        <v>53.75</v>
      </c>
      <c r="CL183" t="s">
        <v>97</v>
      </c>
      <c r="CM183" t="s">
        <v>97</v>
      </c>
      <c r="CN183" t="s">
        <v>97</v>
      </c>
      <c r="CO183" t="s">
        <v>97</v>
      </c>
      <c r="CP183" t="s">
        <v>97</v>
      </c>
      <c r="CQ183" t="s">
        <v>97</v>
      </c>
      <c r="CR183" t="s">
        <v>97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 t="s">
        <v>107</v>
      </c>
      <c r="DB183" t="s">
        <v>107</v>
      </c>
      <c r="DC183">
        <v>159</v>
      </c>
      <c r="DD183">
        <v>0</v>
      </c>
      <c r="DE183">
        <v>3.1E-2</v>
      </c>
      <c r="DF183" t="s">
        <v>97</v>
      </c>
      <c r="DG183" t="s">
        <v>97</v>
      </c>
    </row>
    <row r="184" spans="1:111" x14ac:dyDescent="0.2">
      <c r="A184">
        <v>2025</v>
      </c>
      <c r="B184" s="1">
        <v>45936</v>
      </c>
      <c r="C184" t="s">
        <v>95</v>
      </c>
      <c r="D184">
        <v>605483</v>
      </c>
      <c r="E184">
        <v>547180</v>
      </c>
      <c r="F184">
        <v>1</v>
      </c>
      <c r="G184">
        <v>0</v>
      </c>
      <c r="H184">
        <v>6</v>
      </c>
      <c r="I184" t="s">
        <v>163</v>
      </c>
      <c r="J184">
        <v>42</v>
      </c>
      <c r="K184">
        <v>2</v>
      </c>
      <c r="L184" t="s">
        <v>97</v>
      </c>
      <c r="M184" t="s">
        <v>138</v>
      </c>
      <c r="N184" t="s">
        <v>139</v>
      </c>
      <c r="O184">
        <f t="shared" si="32"/>
        <v>0</v>
      </c>
      <c r="P184">
        <f t="shared" si="33"/>
        <v>0</v>
      </c>
      <c r="Q184">
        <f t="shared" si="34"/>
        <v>0</v>
      </c>
      <c r="R184">
        <f t="shared" si="35"/>
        <v>0</v>
      </c>
      <c r="S184">
        <f t="shared" si="36"/>
        <v>0</v>
      </c>
      <c r="T184">
        <f t="shared" si="37"/>
        <v>0</v>
      </c>
      <c r="U184">
        <f t="shared" si="38"/>
        <v>0</v>
      </c>
      <c r="V184">
        <f t="shared" si="39"/>
        <v>0</v>
      </c>
      <c r="W184">
        <f t="shared" si="40"/>
        <v>0</v>
      </c>
      <c r="X184">
        <f t="shared" si="41"/>
        <v>0</v>
      </c>
      <c r="Y184">
        <f t="shared" si="42"/>
        <v>0</v>
      </c>
      <c r="Z184">
        <f t="shared" si="43"/>
        <v>0</v>
      </c>
      <c r="AA184">
        <f t="shared" si="44"/>
        <v>1</v>
      </c>
      <c r="AB184">
        <f t="shared" si="45"/>
        <v>0</v>
      </c>
      <c r="AC184">
        <f t="shared" si="46"/>
        <v>0</v>
      </c>
      <c r="AD184">
        <f t="shared" si="47"/>
        <v>0</v>
      </c>
      <c r="AE184">
        <v>91.2</v>
      </c>
      <c r="AF184">
        <v>1.92</v>
      </c>
      <c r="AG184">
        <v>6.61</v>
      </c>
      <c r="AH184" t="s">
        <v>129</v>
      </c>
      <c r="AI184" t="s">
        <v>97</v>
      </c>
      <c r="AJ184" t="s">
        <v>97</v>
      </c>
      <c r="AK184" t="s">
        <v>97</v>
      </c>
      <c r="AL184" t="s">
        <v>97</v>
      </c>
      <c r="AM184">
        <v>1</v>
      </c>
      <c r="AN184" t="s">
        <v>130</v>
      </c>
      <c r="AO184" t="s">
        <v>164</v>
      </c>
      <c r="AP184" t="s">
        <v>103</v>
      </c>
      <c r="AQ184" t="s">
        <v>103</v>
      </c>
      <c r="AR184" t="s">
        <v>165</v>
      </c>
      <c r="AS184" t="s">
        <v>104</v>
      </c>
      <c r="AT184" t="s">
        <v>110</v>
      </c>
      <c r="AU184" t="s">
        <v>97</v>
      </c>
      <c r="AV184" t="s">
        <v>97</v>
      </c>
      <c r="AW184">
        <v>-0.1</v>
      </c>
      <c r="AX184">
        <v>1.03</v>
      </c>
      <c r="AY184">
        <v>-0.47</v>
      </c>
      <c r="AZ184">
        <v>2.82</v>
      </c>
      <c r="BA184" t="s">
        <v>97</v>
      </c>
      <c r="BB184">
        <v>607208</v>
      </c>
      <c r="BC184">
        <v>656941</v>
      </c>
      <c r="BD184">
        <v>1</v>
      </c>
      <c r="BE184" t="s">
        <v>97</v>
      </c>
      <c r="BF184" t="s">
        <v>97</v>
      </c>
      <c r="BG184" t="s">
        <v>97</v>
      </c>
      <c r="BH184" t="s">
        <v>97</v>
      </c>
      <c r="BI184">
        <v>669257</v>
      </c>
      <c r="BJ184">
        <v>669257</v>
      </c>
      <c r="BK184" t="s">
        <v>97</v>
      </c>
      <c r="BL184" t="s">
        <v>97</v>
      </c>
      <c r="BM184">
        <v>-5.8264701380000004</v>
      </c>
      <c r="BN184">
        <v>-132.67366870000001</v>
      </c>
      <c r="BO184">
        <v>-5.8931768939999998</v>
      </c>
      <c r="BP184">
        <v>4.2573211999999999E-2</v>
      </c>
      <c r="BQ184">
        <v>28.9841762</v>
      </c>
      <c r="BR184">
        <v>-18.90901753</v>
      </c>
      <c r="BS184">
        <v>3.19</v>
      </c>
      <c r="BT184">
        <v>1.64</v>
      </c>
      <c r="BU184">
        <v>186</v>
      </c>
      <c r="BV184">
        <v>84.6</v>
      </c>
      <c r="BW184">
        <v>68</v>
      </c>
      <c r="BX184">
        <v>91.7</v>
      </c>
      <c r="BY184">
        <v>2325</v>
      </c>
      <c r="BZ184">
        <v>6.6</v>
      </c>
      <c r="CA184">
        <v>813052</v>
      </c>
      <c r="CB184">
        <v>669257</v>
      </c>
      <c r="CC184">
        <v>669257</v>
      </c>
      <c r="CD184">
        <v>518692</v>
      </c>
      <c r="CE184">
        <v>669242</v>
      </c>
      <c r="CF184">
        <v>500743</v>
      </c>
      <c r="CG184">
        <v>605141</v>
      </c>
      <c r="CH184">
        <v>571771</v>
      </c>
      <c r="CI184">
        <v>681624</v>
      </c>
      <c r="CJ184">
        <v>606192</v>
      </c>
      <c r="CK184">
        <v>53.87</v>
      </c>
      <c r="CL184" t="s">
        <v>97</v>
      </c>
      <c r="CM184" t="s">
        <v>97</v>
      </c>
      <c r="CN184" t="s">
        <v>97</v>
      </c>
      <c r="CO184" t="s">
        <v>97</v>
      </c>
      <c r="CP184" t="s">
        <v>97</v>
      </c>
      <c r="CQ184" t="s">
        <v>97</v>
      </c>
      <c r="CR184" t="s">
        <v>97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 t="s">
        <v>107</v>
      </c>
      <c r="DB184" t="s">
        <v>107</v>
      </c>
      <c r="DC184">
        <v>166</v>
      </c>
      <c r="DD184">
        <v>0</v>
      </c>
      <c r="DE184">
        <v>-4.4999999999999998E-2</v>
      </c>
      <c r="DF184">
        <v>76.900000000000006</v>
      </c>
      <c r="DG184">
        <v>7.3</v>
      </c>
    </row>
    <row r="185" spans="1:111" x14ac:dyDescent="0.2">
      <c r="A185">
        <v>2025</v>
      </c>
      <c r="B185" s="1">
        <v>45936</v>
      </c>
      <c r="C185" t="s">
        <v>95</v>
      </c>
      <c r="D185">
        <v>605483</v>
      </c>
      <c r="E185">
        <v>547180</v>
      </c>
      <c r="F185">
        <v>1</v>
      </c>
      <c r="G185">
        <v>1</v>
      </c>
      <c r="H185">
        <v>6</v>
      </c>
      <c r="I185" t="s">
        <v>163</v>
      </c>
      <c r="J185">
        <v>42</v>
      </c>
      <c r="K185">
        <v>3</v>
      </c>
      <c r="L185" t="s">
        <v>97</v>
      </c>
      <c r="M185" t="s">
        <v>138</v>
      </c>
      <c r="N185" t="s">
        <v>139</v>
      </c>
      <c r="O185">
        <f t="shared" si="32"/>
        <v>0</v>
      </c>
      <c r="P185">
        <f t="shared" si="33"/>
        <v>0</v>
      </c>
      <c r="Q185">
        <f t="shared" si="34"/>
        <v>0</v>
      </c>
      <c r="R185">
        <f t="shared" si="35"/>
        <v>0</v>
      </c>
      <c r="S185">
        <f t="shared" si="36"/>
        <v>0</v>
      </c>
      <c r="T185">
        <f t="shared" si="37"/>
        <v>0</v>
      </c>
      <c r="U185">
        <f t="shared" si="38"/>
        <v>0</v>
      </c>
      <c r="V185">
        <f t="shared" si="39"/>
        <v>0</v>
      </c>
      <c r="W185">
        <f t="shared" si="40"/>
        <v>0</v>
      </c>
      <c r="X185">
        <f t="shared" si="41"/>
        <v>0</v>
      </c>
      <c r="Y185">
        <f t="shared" si="42"/>
        <v>0</v>
      </c>
      <c r="Z185">
        <f t="shared" si="43"/>
        <v>0</v>
      </c>
      <c r="AA185">
        <f t="shared" si="44"/>
        <v>1</v>
      </c>
      <c r="AB185">
        <f t="shared" si="45"/>
        <v>0</v>
      </c>
      <c r="AC185">
        <f t="shared" si="46"/>
        <v>0</v>
      </c>
      <c r="AD185">
        <f t="shared" si="47"/>
        <v>0</v>
      </c>
      <c r="AE185">
        <v>91.4</v>
      </c>
      <c r="AF185">
        <v>1.92</v>
      </c>
      <c r="AG185">
        <v>6.58</v>
      </c>
      <c r="AH185" t="s">
        <v>113</v>
      </c>
      <c r="AI185" t="s">
        <v>97</v>
      </c>
      <c r="AJ185" t="s">
        <v>97</v>
      </c>
      <c r="AK185" t="s">
        <v>97</v>
      </c>
      <c r="AL185" t="s">
        <v>97</v>
      </c>
      <c r="AM185">
        <v>13</v>
      </c>
      <c r="AN185" t="s">
        <v>114</v>
      </c>
      <c r="AO185" t="s">
        <v>164</v>
      </c>
      <c r="AP185" t="s">
        <v>103</v>
      </c>
      <c r="AQ185" t="s">
        <v>103</v>
      </c>
      <c r="AR185" t="s">
        <v>165</v>
      </c>
      <c r="AS185" t="s">
        <v>104</v>
      </c>
      <c r="AT185" t="s">
        <v>110</v>
      </c>
      <c r="AU185" t="s">
        <v>97</v>
      </c>
      <c r="AV185" t="s">
        <v>97</v>
      </c>
      <c r="AW185">
        <v>-0.05</v>
      </c>
      <c r="AX185">
        <v>0.85</v>
      </c>
      <c r="AY185">
        <v>-0.56000000000000005</v>
      </c>
      <c r="AZ185">
        <v>0.81</v>
      </c>
      <c r="BA185" t="s">
        <v>97</v>
      </c>
      <c r="BB185">
        <v>607208</v>
      </c>
      <c r="BC185">
        <v>656941</v>
      </c>
      <c r="BD185">
        <v>1</v>
      </c>
      <c r="BE185" t="s">
        <v>97</v>
      </c>
      <c r="BF185" t="s">
        <v>97</v>
      </c>
      <c r="BG185" t="s">
        <v>97</v>
      </c>
      <c r="BH185" t="s">
        <v>97</v>
      </c>
      <c r="BI185">
        <v>669257</v>
      </c>
      <c r="BJ185">
        <v>669257</v>
      </c>
      <c r="BK185" t="s">
        <v>97</v>
      </c>
      <c r="BL185" t="s">
        <v>97</v>
      </c>
      <c r="BM185">
        <v>-6.1670670010000004</v>
      </c>
      <c r="BN185">
        <v>-132.74791540000001</v>
      </c>
      <c r="BO185">
        <v>-10.57386784</v>
      </c>
      <c r="BP185">
        <v>0.69219221799999997</v>
      </c>
      <c r="BQ185">
        <v>27.62436125</v>
      </c>
      <c r="BR185">
        <v>-20.07951491</v>
      </c>
      <c r="BS185">
        <v>3.19</v>
      </c>
      <c r="BT185">
        <v>1.64</v>
      </c>
      <c r="BU185" t="s">
        <v>97</v>
      </c>
      <c r="BV185" t="s">
        <v>97</v>
      </c>
      <c r="BW185" t="s">
        <v>97</v>
      </c>
      <c r="BX185">
        <v>92.1</v>
      </c>
      <c r="BY185">
        <v>2261</v>
      </c>
      <c r="BZ185">
        <v>6.8</v>
      </c>
      <c r="CA185">
        <v>813052</v>
      </c>
      <c r="CB185">
        <v>669257</v>
      </c>
      <c r="CC185">
        <v>669257</v>
      </c>
      <c r="CD185">
        <v>518692</v>
      </c>
      <c r="CE185">
        <v>669242</v>
      </c>
      <c r="CF185">
        <v>500743</v>
      </c>
      <c r="CG185">
        <v>605141</v>
      </c>
      <c r="CH185">
        <v>571771</v>
      </c>
      <c r="CI185">
        <v>681624</v>
      </c>
      <c r="CJ185">
        <v>606192</v>
      </c>
      <c r="CK185">
        <v>53.74</v>
      </c>
      <c r="CL185" t="s">
        <v>97</v>
      </c>
      <c r="CM185" t="s">
        <v>97</v>
      </c>
      <c r="CN185" t="s">
        <v>97</v>
      </c>
      <c r="CO185" t="s">
        <v>97</v>
      </c>
      <c r="CP185" t="s">
        <v>97</v>
      </c>
      <c r="CQ185" t="s">
        <v>97</v>
      </c>
      <c r="CR185" t="s">
        <v>97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 t="s">
        <v>107</v>
      </c>
      <c r="DB185" t="s">
        <v>107</v>
      </c>
      <c r="DC185">
        <v>158</v>
      </c>
      <c r="DD185">
        <v>0</v>
      </c>
      <c r="DE185">
        <v>-5.8000000000000003E-2</v>
      </c>
      <c r="DF185">
        <v>77.7</v>
      </c>
      <c r="DG185">
        <v>7.5</v>
      </c>
    </row>
    <row r="186" spans="1:111" x14ac:dyDescent="0.2">
      <c r="A186">
        <v>2025</v>
      </c>
      <c r="B186" s="1">
        <v>45936</v>
      </c>
      <c r="C186" t="s">
        <v>95</v>
      </c>
      <c r="D186">
        <v>605483</v>
      </c>
      <c r="E186">
        <v>547180</v>
      </c>
      <c r="F186">
        <v>1</v>
      </c>
      <c r="G186">
        <v>2</v>
      </c>
      <c r="H186">
        <v>6</v>
      </c>
      <c r="I186" t="s">
        <v>163</v>
      </c>
      <c r="J186">
        <v>42</v>
      </c>
      <c r="K186">
        <v>4</v>
      </c>
      <c r="L186" t="s">
        <v>97</v>
      </c>
      <c r="M186" t="s">
        <v>138</v>
      </c>
      <c r="N186" t="s">
        <v>139</v>
      </c>
      <c r="O186">
        <f t="shared" si="32"/>
        <v>0</v>
      </c>
      <c r="P186">
        <f t="shared" si="33"/>
        <v>0</v>
      </c>
      <c r="Q186">
        <f t="shared" si="34"/>
        <v>0</v>
      </c>
      <c r="R186">
        <f t="shared" si="35"/>
        <v>0</v>
      </c>
      <c r="S186">
        <f t="shared" si="36"/>
        <v>0</v>
      </c>
      <c r="T186">
        <f t="shared" si="37"/>
        <v>0</v>
      </c>
      <c r="U186">
        <f t="shared" si="38"/>
        <v>0</v>
      </c>
      <c r="V186">
        <f t="shared" si="39"/>
        <v>0</v>
      </c>
      <c r="W186">
        <f t="shared" si="40"/>
        <v>0</v>
      </c>
      <c r="X186">
        <f t="shared" si="41"/>
        <v>0</v>
      </c>
      <c r="Y186">
        <f t="shared" si="42"/>
        <v>0</v>
      </c>
      <c r="Z186">
        <f t="shared" si="43"/>
        <v>0</v>
      </c>
      <c r="AA186">
        <f t="shared" si="44"/>
        <v>0</v>
      </c>
      <c r="AB186">
        <f t="shared" si="45"/>
        <v>0</v>
      </c>
      <c r="AC186">
        <f t="shared" si="46"/>
        <v>1</v>
      </c>
      <c r="AD186">
        <f t="shared" si="47"/>
        <v>0</v>
      </c>
      <c r="AE186">
        <v>91.2</v>
      </c>
      <c r="AF186">
        <v>1.88</v>
      </c>
      <c r="AG186">
        <v>6.59</v>
      </c>
      <c r="AH186" t="s">
        <v>129</v>
      </c>
      <c r="AI186" t="s">
        <v>97</v>
      </c>
      <c r="AJ186" t="s">
        <v>97</v>
      </c>
      <c r="AK186" t="s">
        <v>97</v>
      </c>
      <c r="AL186" t="s">
        <v>97</v>
      </c>
      <c r="AM186">
        <v>13</v>
      </c>
      <c r="AN186" t="s">
        <v>130</v>
      </c>
      <c r="AO186" t="s">
        <v>164</v>
      </c>
      <c r="AP186" t="s">
        <v>103</v>
      </c>
      <c r="AQ186" t="s">
        <v>103</v>
      </c>
      <c r="AR186" t="s">
        <v>165</v>
      </c>
      <c r="AS186" t="s">
        <v>104</v>
      </c>
      <c r="AT186" t="s">
        <v>110</v>
      </c>
      <c r="AU186" t="s">
        <v>97</v>
      </c>
      <c r="AV186" t="s">
        <v>97</v>
      </c>
      <c r="AW186">
        <v>-0.28000000000000003</v>
      </c>
      <c r="AX186">
        <v>0.75</v>
      </c>
      <c r="AY186">
        <v>-0.99</v>
      </c>
      <c r="AZ186">
        <v>1.73</v>
      </c>
      <c r="BA186" t="s">
        <v>97</v>
      </c>
      <c r="BB186">
        <v>607208</v>
      </c>
      <c r="BC186">
        <v>656941</v>
      </c>
      <c r="BD186">
        <v>1</v>
      </c>
      <c r="BE186" t="s">
        <v>97</v>
      </c>
      <c r="BF186" t="s">
        <v>97</v>
      </c>
      <c r="BG186" t="s">
        <v>97</v>
      </c>
      <c r="BH186" t="s">
        <v>97</v>
      </c>
      <c r="BI186">
        <v>669257</v>
      </c>
      <c r="BJ186">
        <v>669257</v>
      </c>
      <c r="BK186" t="s">
        <v>97</v>
      </c>
      <c r="BL186" t="s">
        <v>97</v>
      </c>
      <c r="BM186">
        <v>-6.6593179569999998</v>
      </c>
      <c r="BN186">
        <v>-132.5559403</v>
      </c>
      <c r="BO186">
        <v>-7.9644395369999996</v>
      </c>
      <c r="BP186">
        <v>-1.7677760600000001</v>
      </c>
      <c r="BQ186">
        <v>29.37877216</v>
      </c>
      <c r="BR186">
        <v>-21.772057870000001</v>
      </c>
      <c r="BS186">
        <v>3.19</v>
      </c>
      <c r="BT186">
        <v>1.64</v>
      </c>
      <c r="BU186">
        <v>59</v>
      </c>
      <c r="BV186">
        <v>31.8</v>
      </c>
      <c r="BW186">
        <v>47</v>
      </c>
      <c r="BX186">
        <v>91.8</v>
      </c>
      <c r="BY186">
        <v>2410</v>
      </c>
      <c r="BZ186">
        <v>6.8</v>
      </c>
      <c r="CA186">
        <v>813052</v>
      </c>
      <c r="CB186">
        <v>669257</v>
      </c>
      <c r="CC186">
        <v>669257</v>
      </c>
      <c r="CD186">
        <v>518692</v>
      </c>
      <c r="CE186">
        <v>669242</v>
      </c>
      <c r="CF186">
        <v>500743</v>
      </c>
      <c r="CG186">
        <v>605141</v>
      </c>
      <c r="CH186">
        <v>571771</v>
      </c>
      <c r="CI186">
        <v>681624</v>
      </c>
      <c r="CJ186">
        <v>606192</v>
      </c>
      <c r="CK186">
        <v>53.69</v>
      </c>
      <c r="CL186" t="s">
        <v>97</v>
      </c>
      <c r="CM186" t="s">
        <v>97</v>
      </c>
      <c r="CN186" t="s">
        <v>97</v>
      </c>
      <c r="CO186" t="s">
        <v>97</v>
      </c>
      <c r="CP186" t="s">
        <v>97</v>
      </c>
      <c r="CQ186" t="s">
        <v>97</v>
      </c>
      <c r="CR186" t="s">
        <v>97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 t="s">
        <v>107</v>
      </c>
      <c r="DB186" t="s">
        <v>107</v>
      </c>
      <c r="DC186">
        <v>172</v>
      </c>
      <c r="DD186">
        <v>0</v>
      </c>
      <c r="DE186">
        <v>0</v>
      </c>
      <c r="DF186">
        <v>67.400000000000006</v>
      </c>
      <c r="DG186">
        <v>7.6</v>
      </c>
    </row>
    <row r="187" spans="1:111" x14ac:dyDescent="0.2">
      <c r="A187">
        <v>2025</v>
      </c>
      <c r="B187" s="1">
        <v>45936</v>
      </c>
      <c r="C187" t="s">
        <v>95</v>
      </c>
      <c r="D187">
        <v>605483</v>
      </c>
      <c r="E187">
        <v>547180</v>
      </c>
      <c r="F187">
        <v>1</v>
      </c>
      <c r="G187">
        <v>2</v>
      </c>
      <c r="H187">
        <v>6</v>
      </c>
      <c r="I187" t="s">
        <v>163</v>
      </c>
      <c r="J187">
        <v>42</v>
      </c>
      <c r="K187">
        <v>5</v>
      </c>
      <c r="L187" t="s">
        <v>97</v>
      </c>
      <c r="M187" t="s">
        <v>111</v>
      </c>
      <c r="N187" t="s">
        <v>112</v>
      </c>
      <c r="O187">
        <f t="shared" si="32"/>
        <v>0</v>
      </c>
      <c r="P187">
        <f t="shared" si="33"/>
        <v>0</v>
      </c>
      <c r="Q187">
        <f t="shared" si="34"/>
        <v>0</v>
      </c>
      <c r="R187">
        <f t="shared" si="35"/>
        <v>0</v>
      </c>
      <c r="S187">
        <f t="shared" si="36"/>
        <v>0</v>
      </c>
      <c r="T187">
        <f t="shared" si="37"/>
        <v>0</v>
      </c>
      <c r="U187">
        <f t="shared" si="38"/>
        <v>0</v>
      </c>
      <c r="V187">
        <f t="shared" si="39"/>
        <v>1</v>
      </c>
      <c r="W187">
        <f t="shared" si="40"/>
        <v>0</v>
      </c>
      <c r="X187">
        <f t="shared" si="41"/>
        <v>0</v>
      </c>
      <c r="Y187">
        <f t="shared" si="42"/>
        <v>0</v>
      </c>
      <c r="Z187">
        <f t="shared" si="43"/>
        <v>0</v>
      </c>
      <c r="AA187">
        <f t="shared" si="44"/>
        <v>0</v>
      </c>
      <c r="AB187">
        <f t="shared" si="45"/>
        <v>0</v>
      </c>
      <c r="AC187">
        <f t="shared" si="46"/>
        <v>0</v>
      </c>
      <c r="AD187">
        <f t="shared" si="47"/>
        <v>0</v>
      </c>
      <c r="AE187">
        <v>81.599999999999994</v>
      </c>
      <c r="AF187">
        <v>1.91</v>
      </c>
      <c r="AG187">
        <v>6.54</v>
      </c>
      <c r="AH187" t="s">
        <v>140</v>
      </c>
      <c r="AI187" t="s">
        <v>97</v>
      </c>
      <c r="AJ187" t="s">
        <v>97</v>
      </c>
      <c r="AK187" t="s">
        <v>97</v>
      </c>
      <c r="AL187" t="s">
        <v>97</v>
      </c>
      <c r="AM187">
        <v>13</v>
      </c>
      <c r="AN187" t="s">
        <v>141</v>
      </c>
      <c r="AO187" t="s">
        <v>164</v>
      </c>
      <c r="AP187" t="s">
        <v>103</v>
      </c>
      <c r="AQ187" t="s">
        <v>103</v>
      </c>
      <c r="AR187" t="s">
        <v>165</v>
      </c>
      <c r="AS187" t="s">
        <v>104</v>
      </c>
      <c r="AT187" t="s">
        <v>106</v>
      </c>
      <c r="AU187" t="s">
        <v>97</v>
      </c>
      <c r="AV187" t="s">
        <v>97</v>
      </c>
      <c r="AW187">
        <v>-0.96</v>
      </c>
      <c r="AX187">
        <v>-0.4</v>
      </c>
      <c r="AY187">
        <v>-0.47</v>
      </c>
      <c r="AZ187">
        <v>0.4</v>
      </c>
      <c r="BA187" t="s">
        <v>97</v>
      </c>
      <c r="BB187">
        <v>607208</v>
      </c>
      <c r="BC187">
        <v>656941</v>
      </c>
      <c r="BD187">
        <v>1</v>
      </c>
      <c r="BE187" t="s">
        <v>97</v>
      </c>
      <c r="BF187" t="s">
        <v>97</v>
      </c>
      <c r="BG187" t="s">
        <v>97</v>
      </c>
      <c r="BH187" t="s">
        <v>97</v>
      </c>
      <c r="BI187">
        <v>669257</v>
      </c>
      <c r="BJ187">
        <v>669257</v>
      </c>
      <c r="BK187" t="s">
        <v>97</v>
      </c>
      <c r="BL187" t="s">
        <v>97</v>
      </c>
      <c r="BM187">
        <v>-3.5277604180000002</v>
      </c>
      <c r="BN187">
        <v>-118.7462807</v>
      </c>
      <c r="BO187">
        <v>-6.4686775799999996</v>
      </c>
      <c r="BP187">
        <v>-8.2951657460000003</v>
      </c>
      <c r="BQ187">
        <v>24.268401730000001</v>
      </c>
      <c r="BR187">
        <v>-34.853947050000002</v>
      </c>
      <c r="BS187">
        <v>2.94</v>
      </c>
      <c r="BT187">
        <v>1.6</v>
      </c>
      <c r="BU187" t="s">
        <v>97</v>
      </c>
      <c r="BV187" t="s">
        <v>97</v>
      </c>
      <c r="BW187" t="s">
        <v>97</v>
      </c>
      <c r="BX187">
        <v>82.1</v>
      </c>
      <c r="BY187">
        <v>2606</v>
      </c>
      <c r="BZ187">
        <v>6.8</v>
      </c>
      <c r="CA187">
        <v>813052</v>
      </c>
      <c r="CB187">
        <v>669257</v>
      </c>
      <c r="CC187">
        <v>669257</v>
      </c>
      <c r="CD187">
        <v>518692</v>
      </c>
      <c r="CE187">
        <v>669242</v>
      </c>
      <c r="CF187">
        <v>500743</v>
      </c>
      <c r="CG187">
        <v>605141</v>
      </c>
      <c r="CH187">
        <v>571771</v>
      </c>
      <c r="CI187">
        <v>681624</v>
      </c>
      <c r="CJ187">
        <v>606192</v>
      </c>
      <c r="CK187">
        <v>53.7</v>
      </c>
      <c r="CL187" t="s">
        <v>97</v>
      </c>
      <c r="CM187" t="s">
        <v>97</v>
      </c>
      <c r="CN187" t="s">
        <v>97</v>
      </c>
      <c r="CO187" t="s">
        <v>97</v>
      </c>
      <c r="CP187" t="s">
        <v>97</v>
      </c>
      <c r="CQ187" t="s">
        <v>97</v>
      </c>
      <c r="CR187" t="s">
        <v>97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 t="s">
        <v>107</v>
      </c>
      <c r="DB187" t="s">
        <v>107</v>
      </c>
      <c r="DC187">
        <v>327</v>
      </c>
      <c r="DD187">
        <v>0</v>
      </c>
      <c r="DE187">
        <v>4.2999999999999997E-2</v>
      </c>
      <c r="DF187" t="s">
        <v>97</v>
      </c>
      <c r="DG187" t="s">
        <v>97</v>
      </c>
    </row>
    <row r="188" spans="1:111" x14ac:dyDescent="0.2">
      <c r="A188">
        <v>2025</v>
      </c>
      <c r="B188" s="1">
        <v>45936</v>
      </c>
      <c r="C188" t="s">
        <v>95</v>
      </c>
      <c r="D188">
        <v>605483</v>
      </c>
      <c r="E188">
        <v>547180</v>
      </c>
      <c r="F188">
        <v>2</v>
      </c>
      <c r="G188">
        <v>2</v>
      </c>
      <c r="H188">
        <v>6</v>
      </c>
      <c r="I188" t="s">
        <v>163</v>
      </c>
      <c r="J188">
        <v>42</v>
      </c>
      <c r="K188">
        <v>6</v>
      </c>
      <c r="L188" t="s">
        <v>116</v>
      </c>
      <c r="M188" t="s">
        <v>138</v>
      </c>
      <c r="N188" t="s">
        <v>139</v>
      </c>
      <c r="O188">
        <f t="shared" si="32"/>
        <v>0</v>
      </c>
      <c r="P188">
        <f t="shared" si="33"/>
        <v>0</v>
      </c>
      <c r="Q188">
        <f t="shared" si="34"/>
        <v>0</v>
      </c>
      <c r="R188">
        <f t="shared" si="35"/>
        <v>0</v>
      </c>
      <c r="S188">
        <f t="shared" si="36"/>
        <v>0</v>
      </c>
      <c r="T188">
        <f t="shared" si="37"/>
        <v>0</v>
      </c>
      <c r="U188">
        <f t="shared" si="38"/>
        <v>0</v>
      </c>
      <c r="V188">
        <f t="shared" si="39"/>
        <v>0</v>
      </c>
      <c r="W188">
        <f t="shared" si="40"/>
        <v>0</v>
      </c>
      <c r="X188">
        <f t="shared" si="41"/>
        <v>0</v>
      </c>
      <c r="Y188">
        <f t="shared" si="42"/>
        <v>0</v>
      </c>
      <c r="Z188">
        <f t="shared" si="43"/>
        <v>0</v>
      </c>
      <c r="AA188">
        <f t="shared" si="44"/>
        <v>0</v>
      </c>
      <c r="AB188">
        <f t="shared" si="45"/>
        <v>1</v>
      </c>
      <c r="AC188">
        <f t="shared" si="46"/>
        <v>0</v>
      </c>
      <c r="AD188">
        <f t="shared" si="47"/>
        <v>0</v>
      </c>
      <c r="AE188">
        <v>90.9</v>
      </c>
      <c r="AF188">
        <v>1.94</v>
      </c>
      <c r="AG188">
        <v>6.54</v>
      </c>
      <c r="AH188" t="s">
        <v>113</v>
      </c>
      <c r="AI188" t="s">
        <v>97</v>
      </c>
      <c r="AJ188" t="s">
        <v>97</v>
      </c>
      <c r="AK188" t="s">
        <v>97</v>
      </c>
      <c r="AL188" t="s">
        <v>97</v>
      </c>
      <c r="AM188">
        <v>13</v>
      </c>
      <c r="AN188" t="s">
        <v>188</v>
      </c>
      <c r="AO188" t="s">
        <v>164</v>
      </c>
      <c r="AP188" t="s">
        <v>103</v>
      </c>
      <c r="AQ188" t="s">
        <v>103</v>
      </c>
      <c r="AR188" t="s">
        <v>165</v>
      </c>
      <c r="AS188" t="s">
        <v>104</v>
      </c>
      <c r="AT188" t="s">
        <v>110</v>
      </c>
      <c r="AU188">
        <v>2</v>
      </c>
      <c r="AV188" t="s">
        <v>97</v>
      </c>
      <c r="AW188">
        <v>-0.16</v>
      </c>
      <c r="AX188">
        <v>0.71</v>
      </c>
      <c r="AY188">
        <v>-1.05</v>
      </c>
      <c r="AZ188">
        <v>1.51</v>
      </c>
      <c r="BA188" t="s">
        <v>97</v>
      </c>
      <c r="BB188">
        <v>607208</v>
      </c>
      <c r="BC188">
        <v>656941</v>
      </c>
      <c r="BD188">
        <v>1</v>
      </c>
      <c r="BE188" t="s">
        <v>97</v>
      </c>
      <c r="BF188" t="s">
        <v>97</v>
      </c>
      <c r="BG188" t="s">
        <v>97</v>
      </c>
      <c r="BH188" t="s">
        <v>97</v>
      </c>
      <c r="BI188">
        <v>669257</v>
      </c>
      <c r="BJ188">
        <v>669257</v>
      </c>
      <c r="BK188" t="s">
        <v>97</v>
      </c>
      <c r="BL188" t="s">
        <v>97</v>
      </c>
      <c r="BM188">
        <v>-7.194114355</v>
      </c>
      <c r="BN188">
        <v>-132.04158670000001</v>
      </c>
      <c r="BO188">
        <v>-8.2417636739999995</v>
      </c>
      <c r="BP188">
        <v>-0.33717723599999999</v>
      </c>
      <c r="BQ188">
        <v>27.310591720000001</v>
      </c>
      <c r="BR188">
        <v>-22.345027720000001</v>
      </c>
      <c r="BS188">
        <v>3.19</v>
      </c>
      <c r="BT188">
        <v>1.64</v>
      </c>
      <c r="BU188" t="s">
        <v>97</v>
      </c>
      <c r="BV188" t="s">
        <v>97</v>
      </c>
      <c r="BW188" t="s">
        <v>97</v>
      </c>
      <c r="BX188">
        <v>91.6</v>
      </c>
      <c r="BY188">
        <v>2279</v>
      </c>
      <c r="BZ188">
        <v>6.7</v>
      </c>
      <c r="CA188">
        <v>813052</v>
      </c>
      <c r="CB188">
        <v>669257</v>
      </c>
      <c r="CC188">
        <v>669257</v>
      </c>
      <c r="CD188">
        <v>518692</v>
      </c>
      <c r="CE188">
        <v>669242</v>
      </c>
      <c r="CF188">
        <v>500743</v>
      </c>
      <c r="CG188">
        <v>605141</v>
      </c>
      <c r="CH188">
        <v>571771</v>
      </c>
      <c r="CI188">
        <v>681624</v>
      </c>
      <c r="CJ188">
        <v>606192</v>
      </c>
      <c r="CK188">
        <v>53.78</v>
      </c>
      <c r="CL188" t="s">
        <v>97</v>
      </c>
      <c r="CM188">
        <v>0</v>
      </c>
      <c r="CN188">
        <v>0</v>
      </c>
      <c r="CO188">
        <v>1</v>
      </c>
      <c r="CP188">
        <v>0</v>
      </c>
      <c r="CQ188">
        <v>0</v>
      </c>
      <c r="CR188" t="s">
        <v>97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 t="s">
        <v>107</v>
      </c>
      <c r="DB188" t="s">
        <v>107</v>
      </c>
      <c r="DC188">
        <v>166</v>
      </c>
      <c r="DD188">
        <v>-6.0999999999999999E-2</v>
      </c>
      <c r="DE188">
        <v>-0.216</v>
      </c>
      <c r="DF188">
        <v>71.3</v>
      </c>
      <c r="DG188">
        <v>7.7</v>
      </c>
    </row>
    <row r="189" spans="1:111" x14ac:dyDescent="0.2">
      <c r="A189">
        <v>2025</v>
      </c>
      <c r="B189" s="1">
        <v>45936</v>
      </c>
      <c r="C189" t="s">
        <v>95</v>
      </c>
      <c r="D189">
        <v>605483</v>
      </c>
      <c r="E189">
        <v>664761</v>
      </c>
      <c r="F189">
        <v>0</v>
      </c>
      <c r="G189">
        <v>0</v>
      </c>
      <c r="H189">
        <v>6</v>
      </c>
      <c r="I189" t="s">
        <v>163</v>
      </c>
      <c r="J189">
        <v>43</v>
      </c>
      <c r="K189">
        <v>1</v>
      </c>
      <c r="L189" t="s">
        <v>97</v>
      </c>
      <c r="M189" t="s">
        <v>98</v>
      </c>
      <c r="N189" t="s">
        <v>99</v>
      </c>
      <c r="O189">
        <f t="shared" si="32"/>
        <v>1</v>
      </c>
      <c r="P189">
        <f t="shared" si="33"/>
        <v>0</v>
      </c>
      <c r="Q189">
        <f t="shared" si="34"/>
        <v>0</v>
      </c>
      <c r="R189">
        <f t="shared" si="35"/>
        <v>0</v>
      </c>
      <c r="S189">
        <f t="shared" si="36"/>
        <v>0</v>
      </c>
      <c r="T189">
        <f t="shared" si="37"/>
        <v>0</v>
      </c>
      <c r="U189">
        <f t="shared" si="38"/>
        <v>0</v>
      </c>
      <c r="V189">
        <f t="shared" si="39"/>
        <v>0</v>
      </c>
      <c r="W189">
        <f t="shared" si="40"/>
        <v>0</v>
      </c>
      <c r="X189">
        <f t="shared" si="41"/>
        <v>0</v>
      </c>
      <c r="Y189">
        <f t="shared" si="42"/>
        <v>0</v>
      </c>
      <c r="Z189">
        <f t="shared" si="43"/>
        <v>0</v>
      </c>
      <c r="AA189">
        <f t="shared" si="44"/>
        <v>0</v>
      </c>
      <c r="AB189">
        <f t="shared" si="45"/>
        <v>0</v>
      </c>
      <c r="AC189">
        <f t="shared" si="46"/>
        <v>0</v>
      </c>
      <c r="AD189">
        <f t="shared" si="47"/>
        <v>0</v>
      </c>
      <c r="AE189">
        <v>97.1</v>
      </c>
      <c r="AF189">
        <v>1.77</v>
      </c>
      <c r="AG189">
        <v>6.6</v>
      </c>
      <c r="AH189" t="s">
        <v>100</v>
      </c>
      <c r="AI189" t="s">
        <v>97</v>
      </c>
      <c r="AJ189" t="s">
        <v>97</v>
      </c>
      <c r="AK189" t="s">
        <v>97</v>
      </c>
      <c r="AL189" t="s">
        <v>97</v>
      </c>
      <c r="AM189">
        <v>13</v>
      </c>
      <c r="AN189" t="s">
        <v>101</v>
      </c>
      <c r="AO189" t="s">
        <v>164</v>
      </c>
      <c r="AP189" t="s">
        <v>122</v>
      </c>
      <c r="AQ189" t="s">
        <v>103</v>
      </c>
      <c r="AR189" t="s">
        <v>165</v>
      </c>
      <c r="AS189" t="s">
        <v>104</v>
      </c>
      <c r="AT189" t="s">
        <v>106</v>
      </c>
      <c r="AU189" t="s">
        <v>97</v>
      </c>
      <c r="AV189" t="s">
        <v>97</v>
      </c>
      <c r="AW189">
        <v>0.25</v>
      </c>
      <c r="AX189">
        <v>1.29</v>
      </c>
      <c r="AY189">
        <v>-1.55</v>
      </c>
      <c r="AZ189">
        <v>2.14</v>
      </c>
      <c r="BA189" t="s">
        <v>97</v>
      </c>
      <c r="BB189">
        <v>607208</v>
      </c>
      <c r="BC189">
        <v>656941</v>
      </c>
      <c r="BD189">
        <v>2</v>
      </c>
      <c r="BE189" t="s">
        <v>97</v>
      </c>
      <c r="BF189" t="s">
        <v>97</v>
      </c>
      <c r="BG189" t="s">
        <v>97</v>
      </c>
      <c r="BH189" t="s">
        <v>97</v>
      </c>
      <c r="BI189">
        <v>669257</v>
      </c>
      <c r="BJ189">
        <v>669257</v>
      </c>
      <c r="BK189" t="s">
        <v>97</v>
      </c>
      <c r="BL189" t="s">
        <v>97</v>
      </c>
      <c r="BM189">
        <v>-9.5672237930000001</v>
      </c>
      <c r="BN189">
        <v>-140.89700930000001</v>
      </c>
      <c r="BO189">
        <v>-9.4513559919999999</v>
      </c>
      <c r="BP189">
        <v>5.5157932030000003</v>
      </c>
      <c r="BQ189">
        <v>31.591664940000001</v>
      </c>
      <c r="BR189">
        <v>-12.98787868</v>
      </c>
      <c r="BS189">
        <v>3.59</v>
      </c>
      <c r="BT189">
        <v>1.59</v>
      </c>
      <c r="BU189" t="s">
        <v>97</v>
      </c>
      <c r="BV189" t="s">
        <v>97</v>
      </c>
      <c r="BW189" t="s">
        <v>97</v>
      </c>
      <c r="BX189">
        <v>98</v>
      </c>
      <c r="BY189">
        <v>2486</v>
      </c>
      <c r="BZ189">
        <v>6.9</v>
      </c>
      <c r="CA189">
        <v>813052</v>
      </c>
      <c r="CB189">
        <v>669257</v>
      </c>
      <c r="CC189">
        <v>669257</v>
      </c>
      <c r="CD189">
        <v>518692</v>
      </c>
      <c r="CE189">
        <v>669242</v>
      </c>
      <c r="CF189">
        <v>500743</v>
      </c>
      <c r="CG189">
        <v>605141</v>
      </c>
      <c r="CH189">
        <v>571771</v>
      </c>
      <c r="CI189">
        <v>681624</v>
      </c>
      <c r="CJ189">
        <v>606192</v>
      </c>
      <c r="CK189">
        <v>53.58</v>
      </c>
      <c r="CL189" t="s">
        <v>97</v>
      </c>
      <c r="CM189" t="s">
        <v>97</v>
      </c>
      <c r="CN189" t="s">
        <v>97</v>
      </c>
      <c r="CO189" t="s">
        <v>97</v>
      </c>
      <c r="CP189" t="s">
        <v>97</v>
      </c>
      <c r="CQ189" t="s">
        <v>97</v>
      </c>
      <c r="CR189" t="s">
        <v>97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 t="s">
        <v>107</v>
      </c>
      <c r="DB189" t="s">
        <v>107</v>
      </c>
      <c r="DC189">
        <v>151</v>
      </c>
      <c r="DD189">
        <v>0</v>
      </c>
      <c r="DE189">
        <v>2.4E-2</v>
      </c>
      <c r="DF189" t="s">
        <v>97</v>
      </c>
      <c r="DG189" t="s">
        <v>97</v>
      </c>
    </row>
    <row r="190" spans="1:111" x14ac:dyDescent="0.2">
      <c r="A190">
        <v>2025</v>
      </c>
      <c r="B190" s="1">
        <v>45936</v>
      </c>
      <c r="C190" t="s">
        <v>95</v>
      </c>
      <c r="D190">
        <v>605483</v>
      </c>
      <c r="E190">
        <v>664761</v>
      </c>
      <c r="F190">
        <v>1</v>
      </c>
      <c r="G190">
        <v>0</v>
      </c>
      <c r="H190">
        <v>6</v>
      </c>
      <c r="I190" t="s">
        <v>163</v>
      </c>
      <c r="J190">
        <v>43</v>
      </c>
      <c r="K190">
        <v>2</v>
      </c>
      <c r="L190" t="s">
        <v>97</v>
      </c>
      <c r="M190" t="s">
        <v>98</v>
      </c>
      <c r="N190" t="s">
        <v>99</v>
      </c>
      <c r="O190">
        <f t="shared" si="32"/>
        <v>0</v>
      </c>
      <c r="P190">
        <f t="shared" si="33"/>
        <v>0</v>
      </c>
      <c r="Q190">
        <f t="shared" si="34"/>
        <v>1</v>
      </c>
      <c r="R190">
        <f t="shared" si="35"/>
        <v>0</v>
      </c>
      <c r="S190">
        <f t="shared" si="36"/>
        <v>0</v>
      </c>
      <c r="T190">
        <f t="shared" si="37"/>
        <v>0</v>
      </c>
      <c r="U190">
        <f t="shared" si="38"/>
        <v>0</v>
      </c>
      <c r="V190">
        <f t="shared" si="39"/>
        <v>0</v>
      </c>
      <c r="W190">
        <f t="shared" si="40"/>
        <v>0</v>
      </c>
      <c r="X190">
        <f t="shared" si="41"/>
        <v>0</v>
      </c>
      <c r="Y190">
        <f t="shared" si="42"/>
        <v>0</v>
      </c>
      <c r="Z190">
        <f t="shared" si="43"/>
        <v>0</v>
      </c>
      <c r="AA190">
        <f t="shared" si="44"/>
        <v>0</v>
      </c>
      <c r="AB190">
        <f t="shared" si="45"/>
        <v>0</v>
      </c>
      <c r="AC190">
        <f t="shared" si="46"/>
        <v>0</v>
      </c>
      <c r="AD190">
        <f t="shared" si="47"/>
        <v>0</v>
      </c>
      <c r="AE190">
        <v>96.9</v>
      </c>
      <c r="AF190">
        <v>1.83</v>
      </c>
      <c r="AG190">
        <v>6.55</v>
      </c>
      <c r="AH190" t="s">
        <v>100</v>
      </c>
      <c r="AI190" t="s">
        <v>97</v>
      </c>
      <c r="AJ190" t="s">
        <v>97</v>
      </c>
      <c r="AK190" t="s">
        <v>97</v>
      </c>
      <c r="AL190" t="s">
        <v>97</v>
      </c>
      <c r="AM190">
        <v>11</v>
      </c>
      <c r="AN190" t="s">
        <v>101</v>
      </c>
      <c r="AO190" t="s">
        <v>164</v>
      </c>
      <c r="AP190" t="s">
        <v>122</v>
      </c>
      <c r="AQ190" t="s">
        <v>103</v>
      </c>
      <c r="AR190" t="s">
        <v>165</v>
      </c>
      <c r="AS190" t="s">
        <v>104</v>
      </c>
      <c r="AT190" t="s">
        <v>106</v>
      </c>
      <c r="AU190" t="s">
        <v>97</v>
      </c>
      <c r="AV190" t="s">
        <v>97</v>
      </c>
      <c r="AW190">
        <v>0.18</v>
      </c>
      <c r="AX190">
        <v>1.41</v>
      </c>
      <c r="AY190">
        <v>-1.06</v>
      </c>
      <c r="AZ190">
        <v>4.34</v>
      </c>
      <c r="BA190" t="s">
        <v>97</v>
      </c>
      <c r="BB190">
        <v>607208</v>
      </c>
      <c r="BC190">
        <v>656941</v>
      </c>
      <c r="BD190">
        <v>2</v>
      </c>
      <c r="BE190" t="s">
        <v>97</v>
      </c>
      <c r="BF190" t="s">
        <v>97</v>
      </c>
      <c r="BG190" t="s">
        <v>97</v>
      </c>
      <c r="BH190" t="s">
        <v>97</v>
      </c>
      <c r="BI190">
        <v>669257</v>
      </c>
      <c r="BJ190">
        <v>669257</v>
      </c>
      <c r="BK190" t="s">
        <v>97</v>
      </c>
      <c r="BL190" t="s">
        <v>97</v>
      </c>
      <c r="BM190">
        <v>-8.1877575139999994</v>
      </c>
      <c r="BN190">
        <v>-140.86301209999999</v>
      </c>
      <c r="BO190">
        <v>-3.589292285</v>
      </c>
      <c r="BP190">
        <v>4.2946904180000001</v>
      </c>
      <c r="BQ190">
        <v>32.551183029999997</v>
      </c>
      <c r="BR190">
        <v>-12.767393289999999</v>
      </c>
      <c r="BS190">
        <v>3.54</v>
      </c>
      <c r="BT190">
        <v>1.54</v>
      </c>
      <c r="BU190" t="s">
        <v>97</v>
      </c>
      <c r="BV190" t="s">
        <v>97</v>
      </c>
      <c r="BW190" t="s">
        <v>97</v>
      </c>
      <c r="BX190">
        <v>97.4</v>
      </c>
      <c r="BY190">
        <v>2573</v>
      </c>
      <c r="BZ190">
        <v>6.7</v>
      </c>
      <c r="CA190">
        <v>813052</v>
      </c>
      <c r="CB190">
        <v>669257</v>
      </c>
      <c r="CC190">
        <v>669257</v>
      </c>
      <c r="CD190">
        <v>518692</v>
      </c>
      <c r="CE190">
        <v>669242</v>
      </c>
      <c r="CF190">
        <v>500743</v>
      </c>
      <c r="CG190">
        <v>605141</v>
      </c>
      <c r="CH190">
        <v>571771</v>
      </c>
      <c r="CI190">
        <v>681624</v>
      </c>
      <c r="CJ190">
        <v>606192</v>
      </c>
      <c r="CK190">
        <v>53.81</v>
      </c>
      <c r="CL190" t="s">
        <v>97</v>
      </c>
      <c r="CM190" t="s">
        <v>97</v>
      </c>
      <c r="CN190" t="s">
        <v>97</v>
      </c>
      <c r="CO190" t="s">
        <v>97</v>
      </c>
      <c r="CP190" t="s">
        <v>97</v>
      </c>
      <c r="CQ190" t="s">
        <v>97</v>
      </c>
      <c r="CR190" t="s">
        <v>97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 t="s">
        <v>107</v>
      </c>
      <c r="DB190" t="s">
        <v>107</v>
      </c>
      <c r="DC190">
        <v>163</v>
      </c>
      <c r="DD190">
        <v>0</v>
      </c>
      <c r="DE190">
        <v>0.03</v>
      </c>
      <c r="DF190" t="s">
        <v>97</v>
      </c>
      <c r="DG190" t="s">
        <v>97</v>
      </c>
    </row>
    <row r="191" spans="1:111" x14ac:dyDescent="0.2">
      <c r="A191">
        <v>2025</v>
      </c>
      <c r="B191" s="1">
        <v>45936</v>
      </c>
      <c r="C191" t="s">
        <v>95</v>
      </c>
      <c r="D191">
        <v>605483</v>
      </c>
      <c r="E191">
        <v>664761</v>
      </c>
      <c r="F191">
        <v>2</v>
      </c>
      <c r="G191">
        <v>0</v>
      </c>
      <c r="H191">
        <v>6</v>
      </c>
      <c r="I191" t="s">
        <v>163</v>
      </c>
      <c r="J191">
        <v>43</v>
      </c>
      <c r="K191">
        <v>3</v>
      </c>
      <c r="L191" t="s">
        <v>159</v>
      </c>
      <c r="M191" t="s">
        <v>132</v>
      </c>
      <c r="N191" t="s">
        <v>133</v>
      </c>
      <c r="O191">
        <f t="shared" si="32"/>
        <v>0</v>
      </c>
      <c r="P191">
        <f t="shared" si="33"/>
        <v>0</v>
      </c>
      <c r="Q191">
        <f t="shared" si="34"/>
        <v>0</v>
      </c>
      <c r="R191">
        <f t="shared" si="35"/>
        <v>0</v>
      </c>
      <c r="S191">
        <f t="shared" si="36"/>
        <v>0</v>
      </c>
      <c r="T191">
        <f t="shared" si="37"/>
        <v>0</v>
      </c>
      <c r="U191">
        <f t="shared" si="38"/>
        <v>0</v>
      </c>
      <c r="V191">
        <f t="shared" si="39"/>
        <v>0</v>
      </c>
      <c r="W191">
        <f t="shared" si="40"/>
        <v>1</v>
      </c>
      <c r="X191">
        <f t="shared" si="41"/>
        <v>0</v>
      </c>
      <c r="Y191">
        <f t="shared" si="42"/>
        <v>0</v>
      </c>
      <c r="Z191">
        <f t="shared" si="43"/>
        <v>0</v>
      </c>
      <c r="AA191">
        <f t="shared" si="44"/>
        <v>0</v>
      </c>
      <c r="AB191">
        <f t="shared" si="45"/>
        <v>0</v>
      </c>
      <c r="AC191">
        <f t="shared" si="46"/>
        <v>0</v>
      </c>
      <c r="AD191">
        <f t="shared" si="47"/>
        <v>0</v>
      </c>
      <c r="AE191">
        <v>85.3</v>
      </c>
      <c r="AF191">
        <v>2.02</v>
      </c>
      <c r="AG191">
        <v>6.42</v>
      </c>
      <c r="AH191" t="s">
        <v>120</v>
      </c>
      <c r="AI191" t="s">
        <v>97</v>
      </c>
      <c r="AJ191" t="s">
        <v>97</v>
      </c>
      <c r="AK191" t="s">
        <v>97</v>
      </c>
      <c r="AL191" t="s">
        <v>97</v>
      </c>
      <c r="AM191">
        <v>14</v>
      </c>
      <c r="AN191" t="s">
        <v>189</v>
      </c>
      <c r="AO191" t="s">
        <v>164</v>
      </c>
      <c r="AP191" t="s">
        <v>122</v>
      </c>
      <c r="AQ191" t="s">
        <v>103</v>
      </c>
      <c r="AR191" t="s">
        <v>165</v>
      </c>
      <c r="AS191" t="s">
        <v>104</v>
      </c>
      <c r="AT191" t="s">
        <v>123</v>
      </c>
      <c r="AU191">
        <v>5</v>
      </c>
      <c r="AV191" t="s">
        <v>127</v>
      </c>
      <c r="AW191">
        <v>1.17</v>
      </c>
      <c r="AX191">
        <v>0.69</v>
      </c>
      <c r="AY191">
        <v>0.1</v>
      </c>
      <c r="AZ191">
        <v>1.0900000000000001</v>
      </c>
      <c r="BA191" t="s">
        <v>97</v>
      </c>
      <c r="BB191">
        <v>607208</v>
      </c>
      <c r="BC191">
        <v>656941</v>
      </c>
      <c r="BD191">
        <v>2</v>
      </c>
      <c r="BE191">
        <v>85.99</v>
      </c>
      <c r="BF191">
        <v>153.54</v>
      </c>
      <c r="BG191" t="s">
        <v>97</v>
      </c>
      <c r="BH191" t="s">
        <v>97</v>
      </c>
      <c r="BI191">
        <v>669257</v>
      </c>
      <c r="BJ191">
        <v>669257</v>
      </c>
      <c r="BK191" t="s">
        <v>97</v>
      </c>
      <c r="BL191" t="s">
        <v>97</v>
      </c>
      <c r="BM191">
        <v>-6.9213283839999997</v>
      </c>
      <c r="BN191">
        <v>-123.8226761</v>
      </c>
      <c r="BO191">
        <v>-7.6080759740000001</v>
      </c>
      <c r="BP191">
        <v>13.44806313</v>
      </c>
      <c r="BQ191">
        <v>25.932832309999998</v>
      </c>
      <c r="BR191">
        <v>-23.70463204</v>
      </c>
      <c r="BS191">
        <v>3.59</v>
      </c>
      <c r="BT191">
        <v>1.64</v>
      </c>
      <c r="BU191">
        <v>4</v>
      </c>
      <c r="BV191">
        <v>103.9</v>
      </c>
      <c r="BW191">
        <v>-18</v>
      </c>
      <c r="BX191">
        <v>85.6</v>
      </c>
      <c r="BY191">
        <v>1857</v>
      </c>
      <c r="BZ191">
        <v>6.7</v>
      </c>
      <c r="CA191">
        <v>813052</v>
      </c>
      <c r="CB191">
        <v>669257</v>
      </c>
      <c r="CC191">
        <v>669257</v>
      </c>
      <c r="CD191">
        <v>518692</v>
      </c>
      <c r="CE191">
        <v>669242</v>
      </c>
      <c r="CF191">
        <v>500743</v>
      </c>
      <c r="CG191">
        <v>605141</v>
      </c>
      <c r="CH191">
        <v>571771</v>
      </c>
      <c r="CI191">
        <v>681624</v>
      </c>
      <c r="CJ191">
        <v>606192</v>
      </c>
      <c r="CK191">
        <v>53.77</v>
      </c>
      <c r="CL191">
        <v>0.19400000000000001</v>
      </c>
      <c r="CM191">
        <v>0.16900000000000001</v>
      </c>
      <c r="CN191">
        <v>0</v>
      </c>
      <c r="CO191">
        <v>1</v>
      </c>
      <c r="CP191">
        <v>0</v>
      </c>
      <c r="CQ191">
        <v>0</v>
      </c>
      <c r="CR191">
        <v>2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 t="s">
        <v>107</v>
      </c>
      <c r="DB191" t="s">
        <v>107</v>
      </c>
      <c r="DC191">
        <v>136</v>
      </c>
      <c r="DD191">
        <v>-6.5000000000000002E-2</v>
      </c>
      <c r="DE191">
        <v>-0.33600000000000002</v>
      </c>
      <c r="DF191">
        <v>75.2</v>
      </c>
      <c r="DG191">
        <v>8.4</v>
      </c>
    </row>
    <row r="192" spans="1:111" x14ac:dyDescent="0.2">
      <c r="A192">
        <v>2025</v>
      </c>
      <c r="B192" s="1">
        <v>45943</v>
      </c>
      <c r="C192" t="s">
        <v>95</v>
      </c>
      <c r="D192">
        <v>605483</v>
      </c>
      <c r="E192">
        <v>694192</v>
      </c>
      <c r="F192">
        <v>0</v>
      </c>
      <c r="G192">
        <v>0</v>
      </c>
      <c r="H192">
        <v>1</v>
      </c>
      <c r="I192" t="s">
        <v>163</v>
      </c>
      <c r="J192">
        <v>5</v>
      </c>
      <c r="K192">
        <v>1</v>
      </c>
      <c r="L192" t="s">
        <v>97</v>
      </c>
      <c r="M192" t="s">
        <v>132</v>
      </c>
      <c r="N192" t="s">
        <v>133</v>
      </c>
      <c r="O192">
        <f t="shared" si="32"/>
        <v>0</v>
      </c>
      <c r="P192">
        <f t="shared" si="33"/>
        <v>0</v>
      </c>
      <c r="Q192">
        <f t="shared" si="34"/>
        <v>0</v>
      </c>
      <c r="R192">
        <f t="shared" si="35"/>
        <v>0</v>
      </c>
      <c r="S192">
        <f t="shared" si="36"/>
        <v>0</v>
      </c>
      <c r="T192">
        <f t="shared" si="37"/>
        <v>0</v>
      </c>
      <c r="U192">
        <f t="shared" si="38"/>
        <v>0</v>
      </c>
      <c r="V192">
        <f t="shared" si="39"/>
        <v>0</v>
      </c>
      <c r="W192">
        <f t="shared" si="40"/>
        <v>0</v>
      </c>
      <c r="X192">
        <f t="shared" si="41"/>
        <v>1</v>
      </c>
      <c r="Y192">
        <f t="shared" si="42"/>
        <v>0</v>
      </c>
      <c r="Z192">
        <f t="shared" si="43"/>
        <v>0</v>
      </c>
      <c r="AA192">
        <f t="shared" si="44"/>
        <v>0</v>
      </c>
      <c r="AB192">
        <f t="shared" si="45"/>
        <v>0</v>
      </c>
      <c r="AC192">
        <f t="shared" si="46"/>
        <v>0</v>
      </c>
      <c r="AD192">
        <f t="shared" si="47"/>
        <v>0</v>
      </c>
      <c r="AE192">
        <v>86</v>
      </c>
      <c r="AF192">
        <v>2.12</v>
      </c>
      <c r="AG192">
        <v>6.47</v>
      </c>
      <c r="AH192" t="s">
        <v>108</v>
      </c>
      <c r="AI192" t="s">
        <v>97</v>
      </c>
      <c r="AJ192" t="s">
        <v>97</v>
      </c>
      <c r="AK192" t="s">
        <v>97</v>
      </c>
      <c r="AL192" t="s">
        <v>97</v>
      </c>
      <c r="AM192">
        <v>6</v>
      </c>
      <c r="AN192" t="s">
        <v>109</v>
      </c>
      <c r="AO192" t="s">
        <v>103</v>
      </c>
      <c r="AP192" t="s">
        <v>122</v>
      </c>
      <c r="AQ192" t="s">
        <v>103</v>
      </c>
      <c r="AR192" t="s">
        <v>190</v>
      </c>
      <c r="AS192" t="s">
        <v>104</v>
      </c>
      <c r="AT192" t="s">
        <v>110</v>
      </c>
      <c r="AU192" t="s">
        <v>97</v>
      </c>
      <c r="AV192" t="s">
        <v>97</v>
      </c>
      <c r="AW192">
        <v>1.1200000000000001</v>
      </c>
      <c r="AX192">
        <v>1.1299999999999999</v>
      </c>
      <c r="AY192">
        <v>0.49</v>
      </c>
      <c r="AZ192">
        <v>2.4500000000000002</v>
      </c>
      <c r="BA192" t="s">
        <v>97</v>
      </c>
      <c r="BB192" t="s">
        <v>97</v>
      </c>
      <c r="BC192" t="s">
        <v>97</v>
      </c>
      <c r="BD192">
        <v>0</v>
      </c>
      <c r="BE192" t="s">
        <v>97</v>
      </c>
      <c r="BF192" t="s">
        <v>97</v>
      </c>
      <c r="BG192" t="s">
        <v>97</v>
      </c>
      <c r="BH192" t="s">
        <v>97</v>
      </c>
      <c r="BI192">
        <v>669257</v>
      </c>
      <c r="BJ192">
        <v>669257</v>
      </c>
      <c r="BK192" t="s">
        <v>97</v>
      </c>
      <c r="BL192" t="s">
        <v>97</v>
      </c>
      <c r="BM192">
        <v>-6.1851561359999998</v>
      </c>
      <c r="BN192">
        <v>-124.9903304</v>
      </c>
      <c r="BO192">
        <v>-5.5906083530000004</v>
      </c>
      <c r="BP192">
        <v>13.035934429999999</v>
      </c>
      <c r="BQ192">
        <v>25.657526279999999</v>
      </c>
      <c r="BR192">
        <v>-19.39814895</v>
      </c>
      <c r="BS192">
        <v>3.35</v>
      </c>
      <c r="BT192">
        <v>1.6</v>
      </c>
      <c r="BU192" t="s">
        <v>97</v>
      </c>
      <c r="BV192" t="s">
        <v>97</v>
      </c>
      <c r="BW192" t="s">
        <v>97</v>
      </c>
      <c r="BX192">
        <v>86.4</v>
      </c>
      <c r="BY192">
        <v>1895</v>
      </c>
      <c r="BZ192">
        <v>6.7</v>
      </c>
      <c r="CA192">
        <v>813036</v>
      </c>
      <c r="CB192">
        <v>669257</v>
      </c>
      <c r="CC192">
        <v>669257</v>
      </c>
      <c r="CD192">
        <v>518692</v>
      </c>
      <c r="CE192">
        <v>669242</v>
      </c>
      <c r="CF192">
        <v>571970</v>
      </c>
      <c r="CG192">
        <v>605141</v>
      </c>
      <c r="CH192">
        <v>571771</v>
      </c>
      <c r="CI192">
        <v>681624</v>
      </c>
      <c r="CJ192">
        <v>606192</v>
      </c>
      <c r="CK192">
        <v>53.85</v>
      </c>
      <c r="CL192" t="s">
        <v>97</v>
      </c>
      <c r="CM192" t="s">
        <v>97</v>
      </c>
      <c r="CN192" t="s">
        <v>97</v>
      </c>
      <c r="CO192" t="s">
        <v>97</v>
      </c>
      <c r="CP192" t="s">
        <v>97</v>
      </c>
      <c r="CQ192" t="s">
        <v>97</v>
      </c>
      <c r="CR192" t="s">
        <v>97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 t="s">
        <v>107</v>
      </c>
      <c r="DB192" t="s">
        <v>107</v>
      </c>
      <c r="DC192">
        <v>128</v>
      </c>
      <c r="DD192">
        <v>0</v>
      </c>
      <c r="DE192">
        <v>-3.9E-2</v>
      </c>
      <c r="DF192" t="s">
        <v>97</v>
      </c>
      <c r="DG192" t="s">
        <v>97</v>
      </c>
    </row>
    <row r="193" spans="1:111" x14ac:dyDescent="0.2">
      <c r="A193">
        <v>2025</v>
      </c>
      <c r="B193" s="1">
        <v>45943</v>
      </c>
      <c r="C193" t="s">
        <v>95</v>
      </c>
      <c r="D193">
        <v>605483</v>
      </c>
      <c r="E193">
        <v>694192</v>
      </c>
      <c r="F193">
        <v>0</v>
      </c>
      <c r="G193">
        <v>1</v>
      </c>
      <c r="H193">
        <v>1</v>
      </c>
      <c r="I193" t="s">
        <v>163</v>
      </c>
      <c r="J193">
        <v>5</v>
      </c>
      <c r="K193">
        <v>2</v>
      </c>
      <c r="L193" t="s">
        <v>97</v>
      </c>
      <c r="M193" t="s">
        <v>98</v>
      </c>
      <c r="N193" t="s">
        <v>99</v>
      </c>
      <c r="O193">
        <f t="shared" si="32"/>
        <v>0</v>
      </c>
      <c r="P193">
        <f t="shared" si="33"/>
        <v>0</v>
      </c>
      <c r="Q193">
        <f t="shared" si="34"/>
        <v>0</v>
      </c>
      <c r="R193">
        <f t="shared" si="35"/>
        <v>1</v>
      </c>
      <c r="S193">
        <f t="shared" si="36"/>
        <v>0</v>
      </c>
      <c r="T193">
        <f t="shared" si="37"/>
        <v>0</v>
      </c>
      <c r="U193">
        <f t="shared" si="38"/>
        <v>0</v>
      </c>
      <c r="V193">
        <f t="shared" si="39"/>
        <v>0</v>
      </c>
      <c r="W193">
        <f t="shared" si="40"/>
        <v>0</v>
      </c>
      <c r="X193">
        <f t="shared" si="41"/>
        <v>0</v>
      </c>
      <c r="Y193">
        <f t="shared" si="42"/>
        <v>0</v>
      </c>
      <c r="Z193">
        <f t="shared" si="43"/>
        <v>0</v>
      </c>
      <c r="AA193">
        <f t="shared" si="44"/>
        <v>0</v>
      </c>
      <c r="AB193">
        <f t="shared" si="45"/>
        <v>0</v>
      </c>
      <c r="AC193">
        <f t="shared" si="46"/>
        <v>0</v>
      </c>
      <c r="AD193">
        <f t="shared" si="47"/>
        <v>0</v>
      </c>
      <c r="AE193">
        <v>96.7</v>
      </c>
      <c r="AF193">
        <v>2.04</v>
      </c>
      <c r="AG193">
        <v>6.52</v>
      </c>
      <c r="AH193" t="s">
        <v>100</v>
      </c>
      <c r="AI193" t="s">
        <v>97</v>
      </c>
      <c r="AJ193" t="s">
        <v>97</v>
      </c>
      <c r="AK193" t="s">
        <v>97</v>
      </c>
      <c r="AL193" t="s">
        <v>97</v>
      </c>
      <c r="AM193">
        <v>14</v>
      </c>
      <c r="AN193" t="s">
        <v>101</v>
      </c>
      <c r="AO193" t="s">
        <v>103</v>
      </c>
      <c r="AP193" t="s">
        <v>122</v>
      </c>
      <c r="AQ193" t="s">
        <v>103</v>
      </c>
      <c r="AR193" t="s">
        <v>190</v>
      </c>
      <c r="AS193" t="s">
        <v>104</v>
      </c>
      <c r="AT193" t="s">
        <v>106</v>
      </c>
      <c r="AU193" t="s">
        <v>97</v>
      </c>
      <c r="AV193" t="s">
        <v>97</v>
      </c>
      <c r="AW193">
        <v>0.46</v>
      </c>
      <c r="AX193">
        <v>1.81</v>
      </c>
      <c r="AY193">
        <v>1.3</v>
      </c>
      <c r="AZ193">
        <v>1.92</v>
      </c>
      <c r="BA193" t="s">
        <v>97</v>
      </c>
      <c r="BB193" t="s">
        <v>97</v>
      </c>
      <c r="BC193" t="s">
        <v>97</v>
      </c>
      <c r="BD193">
        <v>0</v>
      </c>
      <c r="BE193" t="s">
        <v>97</v>
      </c>
      <c r="BF193" t="s">
        <v>97</v>
      </c>
      <c r="BG193" t="s">
        <v>97</v>
      </c>
      <c r="BH193" t="s">
        <v>97</v>
      </c>
      <c r="BI193">
        <v>669257</v>
      </c>
      <c r="BJ193">
        <v>669257</v>
      </c>
      <c r="BK193" t="s">
        <v>97</v>
      </c>
      <c r="BL193" t="s">
        <v>97</v>
      </c>
      <c r="BM193">
        <v>-3.0510766189999998</v>
      </c>
      <c r="BN193">
        <v>-140.4504694</v>
      </c>
      <c r="BO193">
        <v>-10.82704464</v>
      </c>
      <c r="BP193">
        <v>6.7678322289999997</v>
      </c>
      <c r="BQ193">
        <v>34.334715660000001</v>
      </c>
      <c r="BR193">
        <v>-5.8945976399999997</v>
      </c>
      <c r="BS193">
        <v>3.27</v>
      </c>
      <c r="BT193">
        <v>1.59</v>
      </c>
      <c r="BU193" t="s">
        <v>97</v>
      </c>
      <c r="BV193" t="s">
        <v>97</v>
      </c>
      <c r="BW193" t="s">
        <v>97</v>
      </c>
      <c r="BX193">
        <v>96.9</v>
      </c>
      <c r="BY193">
        <v>2593</v>
      </c>
      <c r="BZ193">
        <v>6.7</v>
      </c>
      <c r="CA193">
        <v>813036</v>
      </c>
      <c r="CB193">
        <v>669257</v>
      </c>
      <c r="CC193">
        <v>669257</v>
      </c>
      <c r="CD193">
        <v>518692</v>
      </c>
      <c r="CE193">
        <v>669242</v>
      </c>
      <c r="CF193">
        <v>571970</v>
      </c>
      <c r="CG193">
        <v>605141</v>
      </c>
      <c r="CH193">
        <v>571771</v>
      </c>
      <c r="CI193">
        <v>681624</v>
      </c>
      <c r="CJ193">
        <v>606192</v>
      </c>
      <c r="CK193">
        <v>53.82</v>
      </c>
      <c r="CL193" t="s">
        <v>97</v>
      </c>
      <c r="CM193" t="s">
        <v>97</v>
      </c>
      <c r="CN193" t="s">
        <v>97</v>
      </c>
      <c r="CO193" t="s">
        <v>97</v>
      </c>
      <c r="CP193" t="s">
        <v>97</v>
      </c>
      <c r="CQ193" t="s">
        <v>97</v>
      </c>
      <c r="CR193" t="s">
        <v>97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 t="s">
        <v>107</v>
      </c>
      <c r="DB193" t="s">
        <v>107</v>
      </c>
      <c r="DC193">
        <v>159</v>
      </c>
      <c r="DD193">
        <v>0</v>
      </c>
      <c r="DE193">
        <v>3.1E-2</v>
      </c>
      <c r="DF193" t="s">
        <v>97</v>
      </c>
      <c r="DG193" t="s">
        <v>97</v>
      </c>
    </row>
    <row r="194" spans="1:111" x14ac:dyDescent="0.2">
      <c r="A194">
        <v>2025</v>
      </c>
      <c r="B194" s="1">
        <v>45943</v>
      </c>
      <c r="C194" t="s">
        <v>95</v>
      </c>
      <c r="D194">
        <v>605483</v>
      </c>
      <c r="E194">
        <v>694192</v>
      </c>
      <c r="F194">
        <v>1</v>
      </c>
      <c r="G194">
        <v>1</v>
      </c>
      <c r="H194">
        <v>1</v>
      </c>
      <c r="I194" t="s">
        <v>163</v>
      </c>
      <c r="J194">
        <v>5</v>
      </c>
      <c r="K194">
        <v>3</v>
      </c>
      <c r="L194" t="s">
        <v>97</v>
      </c>
      <c r="M194" t="s">
        <v>138</v>
      </c>
      <c r="N194" t="s">
        <v>139</v>
      </c>
      <c r="O194">
        <f t="shared" si="32"/>
        <v>0</v>
      </c>
      <c r="P194">
        <f t="shared" si="33"/>
        <v>0</v>
      </c>
      <c r="Q194">
        <f t="shared" si="34"/>
        <v>0</v>
      </c>
      <c r="R194">
        <f t="shared" si="35"/>
        <v>0</v>
      </c>
      <c r="S194">
        <f t="shared" si="36"/>
        <v>0</v>
      </c>
      <c r="T194">
        <f t="shared" si="37"/>
        <v>0</v>
      </c>
      <c r="U194">
        <f t="shared" si="38"/>
        <v>0</v>
      </c>
      <c r="V194">
        <f t="shared" si="39"/>
        <v>0</v>
      </c>
      <c r="W194">
        <f t="shared" si="40"/>
        <v>0</v>
      </c>
      <c r="X194">
        <f t="shared" si="41"/>
        <v>0</v>
      </c>
      <c r="Y194">
        <f t="shared" si="42"/>
        <v>0</v>
      </c>
      <c r="Z194">
        <f t="shared" si="43"/>
        <v>0</v>
      </c>
      <c r="AA194">
        <f t="shared" si="44"/>
        <v>0</v>
      </c>
      <c r="AB194">
        <f t="shared" si="45"/>
        <v>0</v>
      </c>
      <c r="AC194">
        <f t="shared" si="46"/>
        <v>0</v>
      </c>
      <c r="AD194">
        <f t="shared" si="47"/>
        <v>1</v>
      </c>
      <c r="AE194">
        <v>90</v>
      </c>
      <c r="AF194">
        <v>1.84</v>
      </c>
      <c r="AG194">
        <v>6.56</v>
      </c>
      <c r="AH194" t="s">
        <v>100</v>
      </c>
      <c r="AI194" t="s">
        <v>97</v>
      </c>
      <c r="AJ194" t="s">
        <v>97</v>
      </c>
      <c r="AK194" t="s">
        <v>97</v>
      </c>
      <c r="AL194" t="s">
        <v>97</v>
      </c>
      <c r="AM194">
        <v>13</v>
      </c>
      <c r="AN194" t="s">
        <v>101</v>
      </c>
      <c r="AO194" t="s">
        <v>103</v>
      </c>
      <c r="AP194" t="s">
        <v>122</v>
      </c>
      <c r="AQ194" t="s">
        <v>103</v>
      </c>
      <c r="AR194" t="s">
        <v>190</v>
      </c>
      <c r="AS194" t="s">
        <v>104</v>
      </c>
      <c r="AT194" t="s">
        <v>106</v>
      </c>
      <c r="AU194" t="s">
        <v>97</v>
      </c>
      <c r="AV194" t="s">
        <v>97</v>
      </c>
      <c r="AW194">
        <v>-0.2</v>
      </c>
      <c r="AX194">
        <v>0.98</v>
      </c>
      <c r="AY194">
        <v>-0.8</v>
      </c>
      <c r="AZ194">
        <v>0.3</v>
      </c>
      <c r="BA194" t="s">
        <v>97</v>
      </c>
      <c r="BB194" t="s">
        <v>97</v>
      </c>
      <c r="BC194" t="s">
        <v>97</v>
      </c>
      <c r="BD194">
        <v>0</v>
      </c>
      <c r="BE194" t="s">
        <v>97</v>
      </c>
      <c r="BF194" t="s">
        <v>97</v>
      </c>
      <c r="BG194" t="s">
        <v>97</v>
      </c>
      <c r="BH194" t="s">
        <v>97</v>
      </c>
      <c r="BI194">
        <v>669257</v>
      </c>
      <c r="BJ194">
        <v>669257</v>
      </c>
      <c r="BK194" t="s">
        <v>97</v>
      </c>
      <c r="BL194" t="s">
        <v>97</v>
      </c>
      <c r="BM194">
        <v>-6.1736852710000001</v>
      </c>
      <c r="BN194">
        <v>-130.52633069999999</v>
      </c>
      <c r="BO194">
        <v>-11.636884119999999</v>
      </c>
      <c r="BP194">
        <v>-0.93981663699999995</v>
      </c>
      <c r="BQ194">
        <v>27.573352310000001</v>
      </c>
      <c r="BR194">
        <v>-18.69469892</v>
      </c>
      <c r="BS194">
        <v>3.26</v>
      </c>
      <c r="BT194">
        <v>1.51</v>
      </c>
      <c r="BU194" t="s">
        <v>97</v>
      </c>
      <c r="BV194" t="s">
        <v>97</v>
      </c>
      <c r="BW194" t="s">
        <v>97</v>
      </c>
      <c r="BX194">
        <v>90.3</v>
      </c>
      <c r="BY194">
        <v>2443</v>
      </c>
      <c r="BZ194">
        <v>6.7</v>
      </c>
      <c r="CA194">
        <v>813036</v>
      </c>
      <c r="CB194">
        <v>669257</v>
      </c>
      <c r="CC194">
        <v>669257</v>
      </c>
      <c r="CD194">
        <v>518692</v>
      </c>
      <c r="CE194">
        <v>669242</v>
      </c>
      <c r="CF194">
        <v>571970</v>
      </c>
      <c r="CG194">
        <v>605141</v>
      </c>
      <c r="CH194">
        <v>571771</v>
      </c>
      <c r="CI194">
        <v>681624</v>
      </c>
      <c r="CJ194">
        <v>606192</v>
      </c>
      <c r="CK194">
        <v>53.82</v>
      </c>
      <c r="CL194" t="s">
        <v>97</v>
      </c>
      <c r="CM194" t="s">
        <v>97</v>
      </c>
      <c r="CN194" t="s">
        <v>97</v>
      </c>
      <c r="CO194" t="s">
        <v>97</v>
      </c>
      <c r="CP194" t="s">
        <v>97</v>
      </c>
      <c r="CQ194" t="s">
        <v>97</v>
      </c>
      <c r="CR194" t="s">
        <v>97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 t="s">
        <v>107</v>
      </c>
      <c r="DB194" t="s">
        <v>107</v>
      </c>
      <c r="DC194">
        <v>169</v>
      </c>
      <c r="DD194">
        <v>0</v>
      </c>
      <c r="DE194">
        <v>5.5E-2</v>
      </c>
      <c r="DF194" t="s">
        <v>97</v>
      </c>
      <c r="DG194" t="s">
        <v>97</v>
      </c>
    </row>
    <row r="195" spans="1:111" x14ac:dyDescent="0.2">
      <c r="A195">
        <v>2025</v>
      </c>
      <c r="B195" s="1">
        <v>45943</v>
      </c>
      <c r="C195" t="s">
        <v>95</v>
      </c>
      <c r="D195">
        <v>605483</v>
      </c>
      <c r="E195">
        <v>694192</v>
      </c>
      <c r="F195">
        <v>2</v>
      </c>
      <c r="G195">
        <v>1</v>
      </c>
      <c r="H195">
        <v>1</v>
      </c>
      <c r="I195" t="s">
        <v>163</v>
      </c>
      <c r="J195">
        <v>5</v>
      </c>
      <c r="K195">
        <v>4</v>
      </c>
      <c r="L195" t="s">
        <v>97</v>
      </c>
      <c r="M195" t="s">
        <v>132</v>
      </c>
      <c r="N195" t="s">
        <v>133</v>
      </c>
      <c r="O195">
        <f t="shared" ref="O195:O258" si="48">IF(AND(N195="4-Seam Fastball",N196="4-Seam Fastball"),1,0)</f>
        <v>0</v>
      </c>
      <c r="P195">
        <f t="shared" ref="P195:P258" si="49">IF(AND(N195="4-Seam Fastball",N196="Curveball"),1,0)</f>
        <v>0</v>
      </c>
      <c r="Q195">
        <f t="shared" ref="Q195:Q258" si="50">IF(AND(N195="4-Seam Fastball",N196="Changeup"),1,0)</f>
        <v>0</v>
      </c>
      <c r="R195">
        <f t="shared" ref="R195:R258" si="51">IF(AND(N195="4-Seam Fastball",N196="Slider"),1,0)</f>
        <v>0</v>
      </c>
      <c r="S195">
        <f t="shared" ref="S195:S258" si="52">IF(AND(N195="Curveball",N196="Curveball"),1,0)</f>
        <v>0</v>
      </c>
      <c r="T195">
        <f t="shared" ref="T195:T258" si="53">IF(AND(N195="Curveball",N196="4-Seam Fastball"),1,0)</f>
        <v>0</v>
      </c>
      <c r="U195">
        <f t="shared" ref="U195:U258" si="54">IF(AND(N195="Curveball",N196="Changeup"),1,0)</f>
        <v>0</v>
      </c>
      <c r="V195">
        <f t="shared" ref="V195:V258" si="55">IF(AND(N195="Curveball",N196="Slider"),1,0)</f>
        <v>0</v>
      </c>
      <c r="W195">
        <f t="shared" ref="W195:W258" si="56">IF(AND(N195="Changeup",N196="Changeup"),1,0)</f>
        <v>1</v>
      </c>
      <c r="X195">
        <f t="shared" ref="X195:X258" si="57">IF(AND(N195="Changeup",N196="4-Seam Fastball"),1,0)</f>
        <v>0</v>
      </c>
      <c r="Y195">
        <f t="shared" ref="Y195:Y258" si="58">IF(AND(N195="Changeup",N196="Curveball"),1,0)</f>
        <v>0</v>
      </c>
      <c r="Z195">
        <f t="shared" ref="Z195:Z258" si="59">IF(AND(N195="Changeup",N196="Slider"),1,0)</f>
        <v>0</v>
      </c>
      <c r="AA195">
        <f t="shared" ref="AA195:AA258" si="60">IF(AND(N195="Slider",N196="Slider"),1,0)</f>
        <v>0</v>
      </c>
      <c r="AB195">
        <f t="shared" ref="AB195:AB258" si="61">IF(AND(N195="Slider",N196="4-Seam Fastball"),1,0)</f>
        <v>0</v>
      </c>
      <c r="AC195">
        <f t="shared" ref="AC195:AC258" si="62">IF(AND(N195="Slider",N196="Curveball"),1,0)</f>
        <v>0</v>
      </c>
      <c r="AD195">
        <f t="shared" ref="AD195:AD258" si="63">IF(AND(N195="Slider",N196="Changeup"),1,0)</f>
        <v>0</v>
      </c>
      <c r="AE195">
        <v>85.9</v>
      </c>
      <c r="AF195">
        <v>2.27</v>
      </c>
      <c r="AG195">
        <v>6.41</v>
      </c>
      <c r="AH195" t="s">
        <v>113</v>
      </c>
      <c r="AI195" t="s">
        <v>97</v>
      </c>
      <c r="AJ195" t="s">
        <v>97</v>
      </c>
      <c r="AK195" t="s">
        <v>97</v>
      </c>
      <c r="AL195" t="s">
        <v>97</v>
      </c>
      <c r="AM195">
        <v>3</v>
      </c>
      <c r="AN195" t="s">
        <v>114</v>
      </c>
      <c r="AO195" t="s">
        <v>103</v>
      </c>
      <c r="AP195" t="s">
        <v>122</v>
      </c>
      <c r="AQ195" t="s">
        <v>103</v>
      </c>
      <c r="AR195" t="s">
        <v>190</v>
      </c>
      <c r="AS195" t="s">
        <v>104</v>
      </c>
      <c r="AT195" t="s">
        <v>110</v>
      </c>
      <c r="AU195" t="s">
        <v>97</v>
      </c>
      <c r="AV195" t="s">
        <v>97</v>
      </c>
      <c r="AW195">
        <v>1.05</v>
      </c>
      <c r="AX195">
        <v>1.1499999999999999</v>
      </c>
      <c r="AY195">
        <v>0.56999999999999995</v>
      </c>
      <c r="AZ195">
        <v>3.08</v>
      </c>
      <c r="BA195" t="s">
        <v>97</v>
      </c>
      <c r="BB195" t="s">
        <v>97</v>
      </c>
      <c r="BC195" t="s">
        <v>97</v>
      </c>
      <c r="BD195">
        <v>0</v>
      </c>
      <c r="BE195" t="s">
        <v>97</v>
      </c>
      <c r="BF195" t="s">
        <v>97</v>
      </c>
      <c r="BG195" t="s">
        <v>97</v>
      </c>
      <c r="BH195" t="s">
        <v>97</v>
      </c>
      <c r="BI195">
        <v>669257</v>
      </c>
      <c r="BJ195">
        <v>669257</v>
      </c>
      <c r="BK195" t="s">
        <v>97</v>
      </c>
      <c r="BL195" t="s">
        <v>97</v>
      </c>
      <c r="BM195">
        <v>-6.2044929739999999</v>
      </c>
      <c r="BN195">
        <v>-124.8950767</v>
      </c>
      <c r="BO195">
        <v>-3.9488887290000001</v>
      </c>
      <c r="BP195">
        <v>12.3165751</v>
      </c>
      <c r="BQ195">
        <v>27.036970409999999</v>
      </c>
      <c r="BR195">
        <v>-19.525569140000002</v>
      </c>
      <c r="BS195">
        <v>3.34</v>
      </c>
      <c r="BT195">
        <v>1.58</v>
      </c>
      <c r="BU195" t="s">
        <v>97</v>
      </c>
      <c r="BV195" t="s">
        <v>97</v>
      </c>
      <c r="BW195" t="s">
        <v>97</v>
      </c>
      <c r="BX195">
        <v>86.3</v>
      </c>
      <c r="BY195">
        <v>2051</v>
      </c>
      <c r="BZ195">
        <v>6.7</v>
      </c>
      <c r="CA195">
        <v>813036</v>
      </c>
      <c r="CB195">
        <v>669257</v>
      </c>
      <c r="CC195">
        <v>669257</v>
      </c>
      <c r="CD195">
        <v>518692</v>
      </c>
      <c r="CE195">
        <v>669242</v>
      </c>
      <c r="CF195">
        <v>571970</v>
      </c>
      <c r="CG195">
        <v>605141</v>
      </c>
      <c r="CH195">
        <v>571771</v>
      </c>
      <c r="CI195">
        <v>681624</v>
      </c>
      <c r="CJ195">
        <v>606192</v>
      </c>
      <c r="CK195">
        <v>53.76</v>
      </c>
      <c r="CL195" t="s">
        <v>97</v>
      </c>
      <c r="CM195" t="s">
        <v>97</v>
      </c>
      <c r="CN195" t="s">
        <v>97</v>
      </c>
      <c r="CO195" t="s">
        <v>97</v>
      </c>
      <c r="CP195" t="s">
        <v>97</v>
      </c>
      <c r="CQ195" t="s">
        <v>97</v>
      </c>
      <c r="CR195" t="s">
        <v>97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 t="s">
        <v>107</v>
      </c>
      <c r="DB195" t="s">
        <v>107</v>
      </c>
      <c r="DC195">
        <v>130</v>
      </c>
      <c r="DD195">
        <v>0</v>
      </c>
      <c r="DE195">
        <v>-7.2999999999999995E-2</v>
      </c>
      <c r="DF195">
        <v>76.5</v>
      </c>
      <c r="DG195">
        <v>8</v>
      </c>
    </row>
    <row r="196" spans="1:111" x14ac:dyDescent="0.2">
      <c r="A196">
        <v>2025</v>
      </c>
      <c r="B196" s="1">
        <v>45943</v>
      </c>
      <c r="C196" t="s">
        <v>95</v>
      </c>
      <c r="D196">
        <v>605483</v>
      </c>
      <c r="E196">
        <v>694192</v>
      </c>
      <c r="F196">
        <v>2</v>
      </c>
      <c r="G196">
        <v>2</v>
      </c>
      <c r="H196">
        <v>1</v>
      </c>
      <c r="I196" t="s">
        <v>163</v>
      </c>
      <c r="J196">
        <v>5</v>
      </c>
      <c r="K196">
        <v>5</v>
      </c>
      <c r="L196" t="s">
        <v>119</v>
      </c>
      <c r="M196" t="s">
        <v>132</v>
      </c>
      <c r="N196" t="s">
        <v>133</v>
      </c>
      <c r="O196">
        <f t="shared" si="48"/>
        <v>0</v>
      </c>
      <c r="P196">
        <f t="shared" si="49"/>
        <v>0</v>
      </c>
      <c r="Q196">
        <f t="shared" si="50"/>
        <v>0</v>
      </c>
      <c r="R196">
        <f t="shared" si="51"/>
        <v>0</v>
      </c>
      <c r="S196">
        <f t="shared" si="52"/>
        <v>0</v>
      </c>
      <c r="T196">
        <f t="shared" si="53"/>
        <v>0</v>
      </c>
      <c r="U196">
        <f t="shared" si="54"/>
        <v>0</v>
      </c>
      <c r="V196">
        <f t="shared" si="55"/>
        <v>0</v>
      </c>
      <c r="W196">
        <f t="shared" si="56"/>
        <v>0</v>
      </c>
      <c r="X196">
        <f t="shared" si="57"/>
        <v>1</v>
      </c>
      <c r="Y196">
        <f t="shared" si="58"/>
        <v>0</v>
      </c>
      <c r="Z196">
        <f t="shared" si="59"/>
        <v>0</v>
      </c>
      <c r="AA196">
        <f t="shared" si="60"/>
        <v>0</v>
      </c>
      <c r="AB196">
        <f t="shared" si="61"/>
        <v>0</v>
      </c>
      <c r="AC196">
        <f t="shared" si="62"/>
        <v>0</v>
      </c>
      <c r="AD196">
        <f t="shared" si="63"/>
        <v>0</v>
      </c>
      <c r="AE196">
        <v>81.3</v>
      </c>
      <c r="AF196">
        <v>2.16</v>
      </c>
      <c r="AG196">
        <v>6.39</v>
      </c>
      <c r="AH196" t="s">
        <v>120</v>
      </c>
      <c r="AI196" t="s">
        <v>97</v>
      </c>
      <c r="AJ196" t="s">
        <v>97</v>
      </c>
      <c r="AK196" t="s">
        <v>97</v>
      </c>
      <c r="AL196" t="s">
        <v>97</v>
      </c>
      <c r="AM196">
        <v>3</v>
      </c>
      <c r="AN196" t="s">
        <v>191</v>
      </c>
      <c r="AO196" t="s">
        <v>103</v>
      </c>
      <c r="AP196" t="s">
        <v>122</v>
      </c>
      <c r="AQ196" t="s">
        <v>103</v>
      </c>
      <c r="AR196" t="s">
        <v>190</v>
      </c>
      <c r="AS196" t="s">
        <v>104</v>
      </c>
      <c r="AT196" t="s">
        <v>123</v>
      </c>
      <c r="AU196">
        <v>5</v>
      </c>
      <c r="AV196" t="s">
        <v>127</v>
      </c>
      <c r="AW196">
        <v>1.1599999999999999</v>
      </c>
      <c r="AX196">
        <v>1.1399999999999999</v>
      </c>
      <c r="AY196">
        <v>0.38</v>
      </c>
      <c r="AZ196">
        <v>3.2</v>
      </c>
      <c r="BA196" t="s">
        <v>97</v>
      </c>
      <c r="BB196" t="s">
        <v>97</v>
      </c>
      <c r="BC196" t="s">
        <v>97</v>
      </c>
      <c r="BD196">
        <v>0</v>
      </c>
      <c r="BE196">
        <v>94.67</v>
      </c>
      <c r="BF196">
        <v>170.06</v>
      </c>
      <c r="BG196" t="s">
        <v>97</v>
      </c>
      <c r="BH196" t="s">
        <v>97</v>
      </c>
      <c r="BI196">
        <v>669257</v>
      </c>
      <c r="BJ196">
        <v>669257</v>
      </c>
      <c r="BK196" t="s">
        <v>97</v>
      </c>
      <c r="BL196" t="s">
        <v>97</v>
      </c>
      <c r="BM196">
        <v>-6.2727858950000002</v>
      </c>
      <c r="BN196">
        <v>-118.16880209999999</v>
      </c>
      <c r="BO196">
        <v>-2.6760003999999999</v>
      </c>
      <c r="BP196">
        <v>12.10319213</v>
      </c>
      <c r="BQ196">
        <v>24.24613652</v>
      </c>
      <c r="BR196">
        <v>-21.18160657</v>
      </c>
      <c r="BS196">
        <v>3.34</v>
      </c>
      <c r="BT196">
        <v>1.58</v>
      </c>
      <c r="BU196">
        <v>5</v>
      </c>
      <c r="BV196">
        <v>84</v>
      </c>
      <c r="BW196">
        <v>-34</v>
      </c>
      <c r="BX196">
        <v>81.7</v>
      </c>
      <c r="BY196">
        <v>2079</v>
      </c>
      <c r="BZ196">
        <v>6.8</v>
      </c>
      <c r="CA196">
        <v>813036</v>
      </c>
      <c r="CB196">
        <v>669257</v>
      </c>
      <c r="CC196">
        <v>669257</v>
      </c>
      <c r="CD196">
        <v>518692</v>
      </c>
      <c r="CE196">
        <v>669242</v>
      </c>
      <c r="CF196">
        <v>571970</v>
      </c>
      <c r="CG196">
        <v>605141</v>
      </c>
      <c r="CH196">
        <v>571771</v>
      </c>
      <c r="CI196">
        <v>681624</v>
      </c>
      <c r="CJ196">
        <v>606192</v>
      </c>
      <c r="CK196">
        <v>53.72</v>
      </c>
      <c r="CL196">
        <v>5.0999999999999997E-2</v>
      </c>
      <c r="CM196">
        <v>5.6000000000000001E-2</v>
      </c>
      <c r="CN196">
        <v>0</v>
      </c>
      <c r="CO196">
        <v>1</v>
      </c>
      <c r="CP196">
        <v>0</v>
      </c>
      <c r="CQ196">
        <v>0</v>
      </c>
      <c r="CR196">
        <v>2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 t="s">
        <v>107</v>
      </c>
      <c r="DB196" t="s">
        <v>107</v>
      </c>
      <c r="DC196">
        <v>131</v>
      </c>
      <c r="DD196">
        <v>-2.1000000000000001E-2</v>
      </c>
      <c r="DE196">
        <v>-0.23200000000000001</v>
      </c>
      <c r="DF196">
        <v>75.7</v>
      </c>
      <c r="DG196">
        <v>7.7</v>
      </c>
    </row>
    <row r="197" spans="1:111" x14ac:dyDescent="0.2">
      <c r="A197">
        <v>2025</v>
      </c>
      <c r="B197" s="1">
        <v>45943</v>
      </c>
      <c r="C197" t="s">
        <v>95</v>
      </c>
      <c r="D197">
        <v>605483</v>
      </c>
      <c r="E197">
        <v>592885</v>
      </c>
      <c r="F197">
        <v>0</v>
      </c>
      <c r="G197">
        <v>0</v>
      </c>
      <c r="H197">
        <v>1</v>
      </c>
      <c r="I197" t="s">
        <v>163</v>
      </c>
      <c r="J197">
        <v>6</v>
      </c>
      <c r="K197">
        <v>1</v>
      </c>
      <c r="L197" t="s">
        <v>97</v>
      </c>
      <c r="M197" t="s">
        <v>98</v>
      </c>
      <c r="N197" t="s">
        <v>99</v>
      </c>
      <c r="O197">
        <f t="shared" si="48"/>
        <v>1</v>
      </c>
      <c r="P197">
        <f t="shared" si="49"/>
        <v>0</v>
      </c>
      <c r="Q197">
        <f t="shared" si="50"/>
        <v>0</v>
      </c>
      <c r="R197">
        <f t="shared" si="51"/>
        <v>0</v>
      </c>
      <c r="S197">
        <f t="shared" si="52"/>
        <v>0</v>
      </c>
      <c r="T197">
        <f t="shared" si="53"/>
        <v>0</v>
      </c>
      <c r="U197">
        <f t="shared" si="54"/>
        <v>0</v>
      </c>
      <c r="V197">
        <f t="shared" si="55"/>
        <v>0</v>
      </c>
      <c r="W197">
        <f t="shared" si="56"/>
        <v>0</v>
      </c>
      <c r="X197">
        <f t="shared" si="57"/>
        <v>0</v>
      </c>
      <c r="Y197">
        <f t="shared" si="58"/>
        <v>0</v>
      </c>
      <c r="Z197">
        <f t="shared" si="59"/>
        <v>0</v>
      </c>
      <c r="AA197">
        <f t="shared" si="60"/>
        <v>0</v>
      </c>
      <c r="AB197">
        <f t="shared" si="61"/>
        <v>0</v>
      </c>
      <c r="AC197">
        <f t="shared" si="62"/>
        <v>0</v>
      </c>
      <c r="AD197">
        <f t="shared" si="63"/>
        <v>0</v>
      </c>
      <c r="AE197">
        <v>97</v>
      </c>
      <c r="AF197">
        <v>1.93</v>
      </c>
      <c r="AG197">
        <v>6.53</v>
      </c>
      <c r="AH197" t="s">
        <v>108</v>
      </c>
      <c r="AI197" t="s">
        <v>97</v>
      </c>
      <c r="AJ197" t="s">
        <v>97</v>
      </c>
      <c r="AK197" t="s">
        <v>97</v>
      </c>
      <c r="AL197" t="s">
        <v>97</v>
      </c>
      <c r="AM197">
        <v>5</v>
      </c>
      <c r="AN197" t="s">
        <v>109</v>
      </c>
      <c r="AO197" t="s">
        <v>103</v>
      </c>
      <c r="AP197" t="s">
        <v>103</v>
      </c>
      <c r="AQ197" t="s">
        <v>103</v>
      </c>
      <c r="AR197" t="s">
        <v>190</v>
      </c>
      <c r="AS197" t="s">
        <v>104</v>
      </c>
      <c r="AT197" t="s">
        <v>110</v>
      </c>
      <c r="AU197" t="s">
        <v>97</v>
      </c>
      <c r="AV197" t="s">
        <v>97</v>
      </c>
      <c r="AW197">
        <v>0.53</v>
      </c>
      <c r="AX197">
        <v>1.55</v>
      </c>
      <c r="AY197">
        <v>-0.13</v>
      </c>
      <c r="AZ197">
        <v>2.69</v>
      </c>
      <c r="BA197" t="s">
        <v>97</v>
      </c>
      <c r="BB197" t="s">
        <v>97</v>
      </c>
      <c r="BC197" t="s">
        <v>97</v>
      </c>
      <c r="BD197">
        <v>1</v>
      </c>
      <c r="BE197" t="s">
        <v>97</v>
      </c>
      <c r="BF197" t="s">
        <v>97</v>
      </c>
      <c r="BG197" t="s">
        <v>97</v>
      </c>
      <c r="BH197" t="s">
        <v>97</v>
      </c>
      <c r="BI197">
        <v>669257</v>
      </c>
      <c r="BJ197">
        <v>669257</v>
      </c>
      <c r="BK197" t="s">
        <v>97</v>
      </c>
      <c r="BL197" t="s">
        <v>97</v>
      </c>
      <c r="BM197">
        <v>-6.7813923750000002</v>
      </c>
      <c r="BN197">
        <v>-140.90868080000001</v>
      </c>
      <c r="BO197">
        <v>-8.2689476909999993</v>
      </c>
      <c r="BP197">
        <v>8.616473504</v>
      </c>
      <c r="BQ197">
        <v>34.302357389999997</v>
      </c>
      <c r="BR197">
        <v>-9.8635065900000001</v>
      </c>
      <c r="BS197">
        <v>3.36</v>
      </c>
      <c r="BT197">
        <v>1.58</v>
      </c>
      <c r="BU197" t="s">
        <v>97</v>
      </c>
      <c r="BV197" t="s">
        <v>97</v>
      </c>
      <c r="BW197" t="s">
        <v>97</v>
      </c>
      <c r="BX197">
        <v>97.4</v>
      </c>
      <c r="BY197">
        <v>2526</v>
      </c>
      <c r="BZ197">
        <v>6.8</v>
      </c>
      <c r="CA197">
        <v>813036</v>
      </c>
      <c r="CB197">
        <v>669257</v>
      </c>
      <c r="CC197">
        <v>669257</v>
      </c>
      <c r="CD197">
        <v>518692</v>
      </c>
      <c r="CE197">
        <v>669242</v>
      </c>
      <c r="CF197">
        <v>571970</v>
      </c>
      <c r="CG197">
        <v>605141</v>
      </c>
      <c r="CH197">
        <v>571771</v>
      </c>
      <c r="CI197">
        <v>681624</v>
      </c>
      <c r="CJ197">
        <v>606192</v>
      </c>
      <c r="CK197">
        <v>53.72</v>
      </c>
      <c r="CL197" t="s">
        <v>97</v>
      </c>
      <c r="CM197" t="s">
        <v>97</v>
      </c>
      <c r="CN197" t="s">
        <v>97</v>
      </c>
      <c r="CO197" t="s">
        <v>97</v>
      </c>
      <c r="CP197" t="s">
        <v>97</v>
      </c>
      <c r="CQ197" t="s">
        <v>97</v>
      </c>
      <c r="CR197" t="s">
        <v>97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 t="s">
        <v>107</v>
      </c>
      <c r="DB197" t="s">
        <v>107</v>
      </c>
      <c r="DC197">
        <v>162</v>
      </c>
      <c r="DD197">
        <v>0</v>
      </c>
      <c r="DE197">
        <v>-3.9E-2</v>
      </c>
      <c r="DF197" t="s">
        <v>97</v>
      </c>
      <c r="DG197" t="s">
        <v>97</v>
      </c>
    </row>
    <row r="198" spans="1:111" x14ac:dyDescent="0.2">
      <c r="A198">
        <v>2025</v>
      </c>
      <c r="B198" s="1">
        <v>45943</v>
      </c>
      <c r="C198" t="s">
        <v>95</v>
      </c>
      <c r="D198">
        <v>605483</v>
      </c>
      <c r="E198">
        <v>592885</v>
      </c>
      <c r="F198">
        <v>0</v>
      </c>
      <c r="G198">
        <v>1</v>
      </c>
      <c r="H198">
        <v>1</v>
      </c>
      <c r="I198" t="s">
        <v>163</v>
      </c>
      <c r="J198">
        <v>6</v>
      </c>
      <c r="K198">
        <v>2</v>
      </c>
      <c r="L198" t="s">
        <v>97</v>
      </c>
      <c r="M198" t="s">
        <v>98</v>
      </c>
      <c r="N198" t="s">
        <v>99</v>
      </c>
      <c r="O198">
        <f t="shared" si="48"/>
        <v>1</v>
      </c>
      <c r="P198">
        <f t="shared" si="49"/>
        <v>0</v>
      </c>
      <c r="Q198">
        <f t="shared" si="50"/>
        <v>0</v>
      </c>
      <c r="R198">
        <f t="shared" si="51"/>
        <v>0</v>
      </c>
      <c r="S198">
        <f t="shared" si="52"/>
        <v>0</v>
      </c>
      <c r="T198">
        <f t="shared" si="53"/>
        <v>0</v>
      </c>
      <c r="U198">
        <f t="shared" si="54"/>
        <v>0</v>
      </c>
      <c r="V198">
        <f t="shared" si="55"/>
        <v>0</v>
      </c>
      <c r="W198">
        <f t="shared" si="56"/>
        <v>0</v>
      </c>
      <c r="X198">
        <f t="shared" si="57"/>
        <v>0</v>
      </c>
      <c r="Y198">
        <f t="shared" si="58"/>
        <v>0</v>
      </c>
      <c r="Z198">
        <f t="shared" si="59"/>
        <v>0</v>
      </c>
      <c r="AA198">
        <f t="shared" si="60"/>
        <v>0</v>
      </c>
      <c r="AB198">
        <f t="shared" si="61"/>
        <v>0</v>
      </c>
      <c r="AC198">
        <f t="shared" si="62"/>
        <v>0</v>
      </c>
      <c r="AD198">
        <f t="shared" si="63"/>
        <v>0</v>
      </c>
      <c r="AE198">
        <v>96.7</v>
      </c>
      <c r="AF198">
        <v>2.16</v>
      </c>
      <c r="AG198">
        <v>6.46</v>
      </c>
      <c r="AH198" t="s">
        <v>100</v>
      </c>
      <c r="AI198" t="s">
        <v>97</v>
      </c>
      <c r="AJ198" t="s">
        <v>97</v>
      </c>
      <c r="AK198" t="s">
        <v>97</v>
      </c>
      <c r="AL198" t="s">
        <v>97</v>
      </c>
      <c r="AM198">
        <v>12</v>
      </c>
      <c r="AN198" t="s">
        <v>101</v>
      </c>
      <c r="AO198" t="s">
        <v>103</v>
      </c>
      <c r="AP198" t="s">
        <v>103</v>
      </c>
      <c r="AQ198" t="s">
        <v>103</v>
      </c>
      <c r="AR198" t="s">
        <v>190</v>
      </c>
      <c r="AS198" t="s">
        <v>104</v>
      </c>
      <c r="AT198" t="s">
        <v>106</v>
      </c>
      <c r="AU198" t="s">
        <v>97</v>
      </c>
      <c r="AV198" t="s">
        <v>97</v>
      </c>
      <c r="AW198">
        <v>0.56999999999999995</v>
      </c>
      <c r="AX198">
        <v>1.66</v>
      </c>
      <c r="AY198">
        <v>1.02</v>
      </c>
      <c r="AZ198">
        <v>3.06</v>
      </c>
      <c r="BA198" t="s">
        <v>97</v>
      </c>
      <c r="BB198" t="s">
        <v>97</v>
      </c>
      <c r="BC198" t="s">
        <v>97</v>
      </c>
      <c r="BD198">
        <v>1</v>
      </c>
      <c r="BE198" t="s">
        <v>97</v>
      </c>
      <c r="BF198" t="s">
        <v>97</v>
      </c>
      <c r="BG198" t="s">
        <v>97</v>
      </c>
      <c r="BH198" t="s">
        <v>97</v>
      </c>
      <c r="BI198">
        <v>669257</v>
      </c>
      <c r="BJ198">
        <v>669257</v>
      </c>
      <c r="BK198" t="s">
        <v>97</v>
      </c>
      <c r="BL198" t="s">
        <v>97</v>
      </c>
      <c r="BM198">
        <v>-4.37442478</v>
      </c>
      <c r="BN198">
        <v>-140.49728139999999</v>
      </c>
      <c r="BO198">
        <v>-7.2825107449999997</v>
      </c>
      <c r="BP198">
        <v>8.6348559940000005</v>
      </c>
      <c r="BQ198">
        <v>34.789744450000001</v>
      </c>
      <c r="BR198">
        <v>-8.74502691</v>
      </c>
      <c r="BS198">
        <v>3.34</v>
      </c>
      <c r="BT198">
        <v>1.62</v>
      </c>
      <c r="BU198" t="s">
        <v>97</v>
      </c>
      <c r="BV198" t="s">
        <v>97</v>
      </c>
      <c r="BW198" t="s">
        <v>97</v>
      </c>
      <c r="BX198">
        <v>97</v>
      </c>
      <c r="BY198">
        <v>2546</v>
      </c>
      <c r="BZ198">
        <v>6.8</v>
      </c>
      <c r="CA198">
        <v>813036</v>
      </c>
      <c r="CB198">
        <v>669257</v>
      </c>
      <c r="CC198">
        <v>669257</v>
      </c>
      <c r="CD198">
        <v>518692</v>
      </c>
      <c r="CE198">
        <v>669242</v>
      </c>
      <c r="CF198">
        <v>571970</v>
      </c>
      <c r="CG198">
        <v>605141</v>
      </c>
      <c r="CH198">
        <v>571771</v>
      </c>
      <c r="CI198">
        <v>681624</v>
      </c>
      <c r="CJ198">
        <v>606192</v>
      </c>
      <c r="CK198">
        <v>53.72</v>
      </c>
      <c r="CL198" t="s">
        <v>97</v>
      </c>
      <c r="CM198" t="s">
        <v>97</v>
      </c>
      <c r="CN198" t="s">
        <v>97</v>
      </c>
      <c r="CO198" t="s">
        <v>97</v>
      </c>
      <c r="CP198" t="s">
        <v>97</v>
      </c>
      <c r="CQ198" t="s">
        <v>97</v>
      </c>
      <c r="CR198" t="s">
        <v>97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 t="s">
        <v>107</v>
      </c>
      <c r="DB198" t="s">
        <v>107</v>
      </c>
      <c r="DC198">
        <v>158</v>
      </c>
      <c r="DD198">
        <v>0</v>
      </c>
      <c r="DE198">
        <v>2.8000000000000001E-2</v>
      </c>
      <c r="DF198" t="s">
        <v>97</v>
      </c>
      <c r="DG198" t="s">
        <v>97</v>
      </c>
    </row>
    <row r="199" spans="1:111" x14ac:dyDescent="0.2">
      <c r="A199">
        <v>2025</v>
      </c>
      <c r="B199" s="1">
        <v>45943</v>
      </c>
      <c r="C199" t="s">
        <v>95</v>
      </c>
      <c r="D199">
        <v>605483</v>
      </c>
      <c r="E199">
        <v>592885</v>
      </c>
      <c r="F199">
        <v>1</v>
      </c>
      <c r="G199">
        <v>1</v>
      </c>
      <c r="H199">
        <v>1</v>
      </c>
      <c r="I199" t="s">
        <v>163</v>
      </c>
      <c r="J199">
        <v>6</v>
      </c>
      <c r="K199">
        <v>3</v>
      </c>
      <c r="L199" t="s">
        <v>97</v>
      </c>
      <c r="M199" t="s">
        <v>98</v>
      </c>
      <c r="N199" t="s">
        <v>99</v>
      </c>
      <c r="O199">
        <f t="shared" si="48"/>
        <v>0</v>
      </c>
      <c r="P199">
        <f t="shared" si="49"/>
        <v>1</v>
      </c>
      <c r="Q199">
        <f t="shared" si="50"/>
        <v>0</v>
      </c>
      <c r="R199">
        <f t="shared" si="51"/>
        <v>0</v>
      </c>
      <c r="S199">
        <f t="shared" si="52"/>
        <v>0</v>
      </c>
      <c r="T199">
        <f t="shared" si="53"/>
        <v>0</v>
      </c>
      <c r="U199">
        <f t="shared" si="54"/>
        <v>0</v>
      </c>
      <c r="V199">
        <f t="shared" si="55"/>
        <v>0</v>
      </c>
      <c r="W199">
        <f t="shared" si="56"/>
        <v>0</v>
      </c>
      <c r="X199">
        <f t="shared" si="57"/>
        <v>0</v>
      </c>
      <c r="Y199">
        <f t="shared" si="58"/>
        <v>0</v>
      </c>
      <c r="Z199">
        <f t="shared" si="59"/>
        <v>0</v>
      </c>
      <c r="AA199">
        <f t="shared" si="60"/>
        <v>0</v>
      </c>
      <c r="AB199">
        <f t="shared" si="61"/>
        <v>0</v>
      </c>
      <c r="AC199">
        <f t="shared" si="62"/>
        <v>0</v>
      </c>
      <c r="AD199">
        <f t="shared" si="63"/>
        <v>0</v>
      </c>
      <c r="AE199">
        <v>95.7</v>
      </c>
      <c r="AF199">
        <v>1.99</v>
      </c>
      <c r="AG199">
        <v>6.5</v>
      </c>
      <c r="AH199" t="s">
        <v>113</v>
      </c>
      <c r="AI199" t="s">
        <v>97</v>
      </c>
      <c r="AJ199" t="s">
        <v>97</v>
      </c>
      <c r="AK199" t="s">
        <v>97</v>
      </c>
      <c r="AL199" t="s">
        <v>97</v>
      </c>
      <c r="AM199">
        <v>6</v>
      </c>
      <c r="AN199" t="s">
        <v>114</v>
      </c>
      <c r="AO199" t="s">
        <v>103</v>
      </c>
      <c r="AP199" t="s">
        <v>103</v>
      </c>
      <c r="AQ199" t="s">
        <v>103</v>
      </c>
      <c r="AR199" t="s">
        <v>190</v>
      </c>
      <c r="AS199" t="s">
        <v>104</v>
      </c>
      <c r="AT199" t="s">
        <v>110</v>
      </c>
      <c r="AU199" t="s">
        <v>97</v>
      </c>
      <c r="AV199" t="s">
        <v>97</v>
      </c>
      <c r="AW199">
        <v>0.37</v>
      </c>
      <c r="AX199">
        <v>1.46</v>
      </c>
      <c r="AY199">
        <v>0.41</v>
      </c>
      <c r="AZ199">
        <v>2.33</v>
      </c>
      <c r="BA199" t="s">
        <v>97</v>
      </c>
      <c r="BB199" t="s">
        <v>97</v>
      </c>
      <c r="BC199" t="s">
        <v>97</v>
      </c>
      <c r="BD199">
        <v>1</v>
      </c>
      <c r="BE199" t="s">
        <v>97</v>
      </c>
      <c r="BF199" t="s">
        <v>97</v>
      </c>
      <c r="BG199" t="s">
        <v>97</v>
      </c>
      <c r="BH199" t="s">
        <v>97</v>
      </c>
      <c r="BI199">
        <v>669257</v>
      </c>
      <c r="BJ199">
        <v>669257</v>
      </c>
      <c r="BK199" t="s">
        <v>97</v>
      </c>
      <c r="BL199" t="s">
        <v>97</v>
      </c>
      <c r="BM199">
        <v>-5.0506168020000004</v>
      </c>
      <c r="BN199">
        <v>-138.97664739999999</v>
      </c>
      <c r="BO199">
        <v>-8.7162470679999995</v>
      </c>
      <c r="BP199">
        <v>5.9974895439999996</v>
      </c>
      <c r="BQ199">
        <v>32.814542299999999</v>
      </c>
      <c r="BR199">
        <v>-11.483298810000001</v>
      </c>
      <c r="BS199">
        <v>3.25</v>
      </c>
      <c r="BT199">
        <v>1.69</v>
      </c>
      <c r="BU199" t="s">
        <v>97</v>
      </c>
      <c r="BV199" t="s">
        <v>97</v>
      </c>
      <c r="BW199" t="s">
        <v>97</v>
      </c>
      <c r="BX199">
        <v>96.2</v>
      </c>
      <c r="BY199">
        <v>2478</v>
      </c>
      <c r="BZ199">
        <v>6.8</v>
      </c>
      <c r="CA199">
        <v>813036</v>
      </c>
      <c r="CB199">
        <v>669257</v>
      </c>
      <c r="CC199">
        <v>669257</v>
      </c>
      <c r="CD199">
        <v>518692</v>
      </c>
      <c r="CE199">
        <v>669242</v>
      </c>
      <c r="CF199">
        <v>571970</v>
      </c>
      <c r="CG199">
        <v>605141</v>
      </c>
      <c r="CH199">
        <v>571771</v>
      </c>
      <c r="CI199">
        <v>681624</v>
      </c>
      <c r="CJ199">
        <v>606192</v>
      </c>
      <c r="CK199">
        <v>53.68</v>
      </c>
      <c r="CL199" t="s">
        <v>97</v>
      </c>
      <c r="CM199" t="s">
        <v>97</v>
      </c>
      <c r="CN199" t="s">
        <v>97</v>
      </c>
      <c r="CO199" t="s">
        <v>97</v>
      </c>
      <c r="CP199" t="s">
        <v>97</v>
      </c>
      <c r="CQ199" t="s">
        <v>97</v>
      </c>
      <c r="CR199" t="s">
        <v>97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 t="s">
        <v>107</v>
      </c>
      <c r="DB199" t="s">
        <v>107</v>
      </c>
      <c r="DC199">
        <v>164</v>
      </c>
      <c r="DD199">
        <v>0</v>
      </c>
      <c r="DE199">
        <v>-6.4000000000000001E-2</v>
      </c>
      <c r="DF199">
        <v>66.099999999999994</v>
      </c>
      <c r="DG199">
        <v>6.5</v>
      </c>
    </row>
    <row r="200" spans="1:111" x14ac:dyDescent="0.2">
      <c r="A200">
        <v>2025</v>
      </c>
      <c r="B200" s="1">
        <v>45943</v>
      </c>
      <c r="C200" t="s">
        <v>95</v>
      </c>
      <c r="D200">
        <v>605483</v>
      </c>
      <c r="E200">
        <v>592885</v>
      </c>
      <c r="F200">
        <v>1</v>
      </c>
      <c r="G200">
        <v>2</v>
      </c>
      <c r="H200">
        <v>1</v>
      </c>
      <c r="I200" t="s">
        <v>163</v>
      </c>
      <c r="J200">
        <v>6</v>
      </c>
      <c r="K200">
        <v>4</v>
      </c>
      <c r="L200" t="s">
        <v>116</v>
      </c>
      <c r="M200" t="s">
        <v>111</v>
      </c>
      <c r="N200" t="s">
        <v>112</v>
      </c>
      <c r="O200">
        <f t="shared" si="48"/>
        <v>0</v>
      </c>
      <c r="P200">
        <f t="shared" si="49"/>
        <v>0</v>
      </c>
      <c r="Q200">
        <f t="shared" si="50"/>
        <v>0</v>
      </c>
      <c r="R200">
        <f t="shared" si="51"/>
        <v>0</v>
      </c>
      <c r="S200">
        <f t="shared" si="52"/>
        <v>0</v>
      </c>
      <c r="T200">
        <f t="shared" si="53"/>
        <v>1</v>
      </c>
      <c r="U200">
        <f t="shared" si="54"/>
        <v>0</v>
      </c>
      <c r="V200">
        <f t="shared" si="55"/>
        <v>0</v>
      </c>
      <c r="W200">
        <f t="shared" si="56"/>
        <v>0</v>
      </c>
      <c r="X200">
        <f t="shared" si="57"/>
        <v>0</v>
      </c>
      <c r="Y200">
        <f t="shared" si="58"/>
        <v>0</v>
      </c>
      <c r="Z200">
        <f t="shared" si="59"/>
        <v>0</v>
      </c>
      <c r="AA200">
        <f t="shared" si="60"/>
        <v>0</v>
      </c>
      <c r="AB200">
        <f t="shared" si="61"/>
        <v>0</v>
      </c>
      <c r="AC200">
        <f t="shared" si="62"/>
        <v>0</v>
      </c>
      <c r="AD200">
        <f t="shared" si="63"/>
        <v>0</v>
      </c>
      <c r="AE200">
        <v>83</v>
      </c>
      <c r="AF200">
        <v>1.9</v>
      </c>
      <c r="AG200">
        <v>6.5</v>
      </c>
      <c r="AH200" t="s">
        <v>113</v>
      </c>
      <c r="AI200" t="s">
        <v>97</v>
      </c>
      <c r="AJ200" t="s">
        <v>97</v>
      </c>
      <c r="AK200" t="s">
        <v>97</v>
      </c>
      <c r="AL200" t="s">
        <v>97</v>
      </c>
      <c r="AM200">
        <v>13</v>
      </c>
      <c r="AN200" t="s">
        <v>192</v>
      </c>
      <c r="AO200" t="s">
        <v>103</v>
      </c>
      <c r="AP200" t="s">
        <v>103</v>
      </c>
      <c r="AQ200" t="s">
        <v>103</v>
      </c>
      <c r="AR200" t="s">
        <v>190</v>
      </c>
      <c r="AS200" t="s">
        <v>104</v>
      </c>
      <c r="AT200" t="s">
        <v>110</v>
      </c>
      <c r="AU200">
        <v>2</v>
      </c>
      <c r="AV200" t="s">
        <v>97</v>
      </c>
      <c r="AW200">
        <v>-0.66</v>
      </c>
      <c r="AX200">
        <v>-0.33</v>
      </c>
      <c r="AY200">
        <v>-0.48</v>
      </c>
      <c r="AZ200">
        <v>1.03</v>
      </c>
      <c r="BA200" t="s">
        <v>97</v>
      </c>
      <c r="BB200" t="s">
        <v>97</v>
      </c>
      <c r="BC200" t="s">
        <v>97</v>
      </c>
      <c r="BD200">
        <v>1</v>
      </c>
      <c r="BE200" t="s">
        <v>97</v>
      </c>
      <c r="BF200" t="s">
        <v>97</v>
      </c>
      <c r="BG200" t="s">
        <v>97</v>
      </c>
      <c r="BH200" t="s">
        <v>97</v>
      </c>
      <c r="BI200">
        <v>669257</v>
      </c>
      <c r="BJ200">
        <v>669257</v>
      </c>
      <c r="BK200" t="s">
        <v>97</v>
      </c>
      <c r="BL200" t="s">
        <v>97</v>
      </c>
      <c r="BM200">
        <v>-4.168666515</v>
      </c>
      <c r="BN200">
        <v>-120.75397270000001</v>
      </c>
      <c r="BO200">
        <v>-5.3680778440000001</v>
      </c>
      <c r="BP200">
        <v>-5.5136223810000002</v>
      </c>
      <c r="BQ200">
        <v>25.957926109999999</v>
      </c>
      <c r="BR200">
        <v>-34.463495850000001</v>
      </c>
      <c r="BS200">
        <v>3.25</v>
      </c>
      <c r="BT200">
        <v>1.69</v>
      </c>
      <c r="BU200" t="s">
        <v>97</v>
      </c>
      <c r="BV200" t="s">
        <v>97</v>
      </c>
      <c r="BW200" t="s">
        <v>97</v>
      </c>
      <c r="BX200">
        <v>83.2</v>
      </c>
      <c r="BY200">
        <v>2643</v>
      </c>
      <c r="BZ200">
        <v>6.7</v>
      </c>
      <c r="CA200">
        <v>813036</v>
      </c>
      <c r="CB200">
        <v>669257</v>
      </c>
      <c r="CC200">
        <v>669257</v>
      </c>
      <c r="CD200">
        <v>518692</v>
      </c>
      <c r="CE200">
        <v>669242</v>
      </c>
      <c r="CF200">
        <v>571970</v>
      </c>
      <c r="CG200">
        <v>605141</v>
      </c>
      <c r="CH200">
        <v>571771</v>
      </c>
      <c r="CI200">
        <v>681624</v>
      </c>
      <c r="CJ200">
        <v>606192</v>
      </c>
      <c r="CK200">
        <v>53.84</v>
      </c>
      <c r="CL200" t="s">
        <v>97</v>
      </c>
      <c r="CM200">
        <v>0</v>
      </c>
      <c r="CN200">
        <v>0</v>
      </c>
      <c r="CO200">
        <v>1</v>
      </c>
      <c r="CP200">
        <v>0</v>
      </c>
      <c r="CQ200">
        <v>0</v>
      </c>
      <c r="CR200" t="s">
        <v>97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 t="s">
        <v>107</v>
      </c>
      <c r="DB200" t="s">
        <v>107</v>
      </c>
      <c r="DC200">
        <v>315</v>
      </c>
      <c r="DD200">
        <v>-1.6E-2</v>
      </c>
      <c r="DE200">
        <v>-0.18</v>
      </c>
      <c r="DF200">
        <v>69.2</v>
      </c>
      <c r="DG200">
        <v>8.9</v>
      </c>
    </row>
    <row r="201" spans="1:111" x14ac:dyDescent="0.2">
      <c r="A201">
        <v>2025</v>
      </c>
      <c r="B201" s="1">
        <v>45943</v>
      </c>
      <c r="C201" t="s">
        <v>95</v>
      </c>
      <c r="D201">
        <v>605483</v>
      </c>
      <c r="E201">
        <v>661388</v>
      </c>
      <c r="F201">
        <v>0</v>
      </c>
      <c r="G201">
        <v>0</v>
      </c>
      <c r="H201">
        <v>1</v>
      </c>
      <c r="I201" t="s">
        <v>163</v>
      </c>
      <c r="J201">
        <v>7</v>
      </c>
      <c r="K201">
        <v>1</v>
      </c>
      <c r="L201" t="s">
        <v>97</v>
      </c>
      <c r="M201" t="s">
        <v>98</v>
      </c>
      <c r="N201" t="s">
        <v>99</v>
      </c>
      <c r="O201">
        <f t="shared" si="48"/>
        <v>0</v>
      </c>
      <c r="P201">
        <f t="shared" si="49"/>
        <v>0</v>
      </c>
      <c r="Q201">
        <f t="shared" si="50"/>
        <v>1</v>
      </c>
      <c r="R201">
        <f t="shared" si="51"/>
        <v>0</v>
      </c>
      <c r="S201">
        <f t="shared" si="52"/>
        <v>0</v>
      </c>
      <c r="T201">
        <f t="shared" si="53"/>
        <v>0</v>
      </c>
      <c r="U201">
        <f t="shared" si="54"/>
        <v>0</v>
      </c>
      <c r="V201">
        <f t="shared" si="55"/>
        <v>0</v>
      </c>
      <c r="W201">
        <f t="shared" si="56"/>
        <v>0</v>
      </c>
      <c r="X201">
        <f t="shared" si="57"/>
        <v>0</v>
      </c>
      <c r="Y201">
        <f t="shared" si="58"/>
        <v>0</v>
      </c>
      <c r="Z201">
        <f t="shared" si="59"/>
        <v>0</v>
      </c>
      <c r="AA201">
        <f t="shared" si="60"/>
        <v>0</v>
      </c>
      <c r="AB201">
        <f t="shared" si="61"/>
        <v>0</v>
      </c>
      <c r="AC201">
        <f t="shared" si="62"/>
        <v>0</v>
      </c>
      <c r="AD201">
        <f t="shared" si="63"/>
        <v>0</v>
      </c>
      <c r="AE201">
        <v>97.4</v>
      </c>
      <c r="AF201">
        <v>1.83</v>
      </c>
      <c r="AG201">
        <v>6.53</v>
      </c>
      <c r="AH201" t="s">
        <v>100</v>
      </c>
      <c r="AI201" t="s">
        <v>97</v>
      </c>
      <c r="AJ201" t="s">
        <v>97</v>
      </c>
      <c r="AK201" t="s">
        <v>97</v>
      </c>
      <c r="AL201" t="s">
        <v>97</v>
      </c>
      <c r="AM201">
        <v>13</v>
      </c>
      <c r="AN201" t="s">
        <v>101</v>
      </c>
      <c r="AO201" t="s">
        <v>103</v>
      </c>
      <c r="AP201" t="s">
        <v>122</v>
      </c>
      <c r="AQ201" t="s">
        <v>103</v>
      </c>
      <c r="AR201" t="s">
        <v>190</v>
      </c>
      <c r="AS201" t="s">
        <v>104</v>
      </c>
      <c r="AT201" t="s">
        <v>106</v>
      </c>
      <c r="AU201" t="s">
        <v>97</v>
      </c>
      <c r="AV201" t="s">
        <v>97</v>
      </c>
      <c r="AW201">
        <v>0.23</v>
      </c>
      <c r="AX201">
        <v>1.53</v>
      </c>
      <c r="AY201">
        <v>-1.1200000000000001</v>
      </c>
      <c r="AZ201">
        <v>1.81</v>
      </c>
      <c r="BA201" t="s">
        <v>97</v>
      </c>
      <c r="BB201" t="s">
        <v>97</v>
      </c>
      <c r="BC201" t="s">
        <v>97</v>
      </c>
      <c r="BD201">
        <v>2</v>
      </c>
      <c r="BE201" t="s">
        <v>97</v>
      </c>
      <c r="BF201" t="s">
        <v>97</v>
      </c>
      <c r="BG201" t="s">
        <v>97</v>
      </c>
      <c r="BH201" t="s">
        <v>97</v>
      </c>
      <c r="BI201">
        <v>669257</v>
      </c>
      <c r="BJ201">
        <v>669257</v>
      </c>
      <c r="BK201" t="s">
        <v>97</v>
      </c>
      <c r="BL201" t="s">
        <v>97</v>
      </c>
      <c r="BM201">
        <v>-8.5024242730000008</v>
      </c>
      <c r="BN201">
        <v>-141.20626490000001</v>
      </c>
      <c r="BO201">
        <v>-10.63994624</v>
      </c>
      <c r="BP201">
        <v>5.2313891789999998</v>
      </c>
      <c r="BQ201">
        <v>35.89936539</v>
      </c>
      <c r="BR201">
        <v>-9.2650011029999995</v>
      </c>
      <c r="BS201">
        <v>3.54</v>
      </c>
      <c r="BT201">
        <v>1.67</v>
      </c>
      <c r="BU201" t="s">
        <v>97</v>
      </c>
      <c r="BV201" t="s">
        <v>97</v>
      </c>
      <c r="BW201" t="s">
        <v>97</v>
      </c>
      <c r="BX201">
        <v>97.5</v>
      </c>
      <c r="BY201">
        <v>2570</v>
      </c>
      <c r="BZ201">
        <v>6.8</v>
      </c>
      <c r="CA201">
        <v>813036</v>
      </c>
      <c r="CB201">
        <v>669257</v>
      </c>
      <c r="CC201">
        <v>669257</v>
      </c>
      <c r="CD201">
        <v>518692</v>
      </c>
      <c r="CE201">
        <v>669242</v>
      </c>
      <c r="CF201">
        <v>571970</v>
      </c>
      <c r="CG201">
        <v>605141</v>
      </c>
      <c r="CH201">
        <v>571771</v>
      </c>
      <c r="CI201">
        <v>681624</v>
      </c>
      <c r="CJ201">
        <v>606192</v>
      </c>
      <c r="CK201">
        <v>53.69</v>
      </c>
      <c r="CL201" t="s">
        <v>97</v>
      </c>
      <c r="CM201" t="s">
        <v>97</v>
      </c>
      <c r="CN201" t="s">
        <v>97</v>
      </c>
      <c r="CO201" t="s">
        <v>97</v>
      </c>
      <c r="CP201" t="s">
        <v>97</v>
      </c>
      <c r="CQ201" t="s">
        <v>97</v>
      </c>
      <c r="CR201" t="s">
        <v>97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 t="s">
        <v>107</v>
      </c>
      <c r="DB201" t="s">
        <v>107</v>
      </c>
      <c r="DC201">
        <v>152</v>
      </c>
      <c r="DD201">
        <v>0</v>
      </c>
      <c r="DE201">
        <v>3.6999999999999998E-2</v>
      </c>
      <c r="DF201" t="s">
        <v>97</v>
      </c>
      <c r="DG201" t="s">
        <v>97</v>
      </c>
    </row>
    <row r="202" spans="1:111" x14ac:dyDescent="0.2">
      <c r="A202">
        <v>2025</v>
      </c>
      <c r="B202" s="1">
        <v>45943</v>
      </c>
      <c r="C202" t="s">
        <v>95</v>
      </c>
      <c r="D202">
        <v>605483</v>
      </c>
      <c r="E202">
        <v>661388</v>
      </c>
      <c r="F202">
        <v>1</v>
      </c>
      <c r="G202">
        <v>0</v>
      </c>
      <c r="H202">
        <v>1</v>
      </c>
      <c r="I202" t="s">
        <v>163</v>
      </c>
      <c r="J202">
        <v>7</v>
      </c>
      <c r="K202">
        <v>2</v>
      </c>
      <c r="L202" t="s">
        <v>97</v>
      </c>
      <c r="M202" t="s">
        <v>132</v>
      </c>
      <c r="N202" t="s">
        <v>133</v>
      </c>
      <c r="O202">
        <f t="shared" si="48"/>
        <v>0</v>
      </c>
      <c r="P202">
        <f t="shared" si="49"/>
        <v>0</v>
      </c>
      <c r="Q202">
        <f t="shared" si="50"/>
        <v>0</v>
      </c>
      <c r="R202">
        <f t="shared" si="51"/>
        <v>0</v>
      </c>
      <c r="S202">
        <f t="shared" si="52"/>
        <v>0</v>
      </c>
      <c r="T202">
        <f t="shared" si="53"/>
        <v>0</v>
      </c>
      <c r="U202">
        <f t="shared" si="54"/>
        <v>0</v>
      </c>
      <c r="V202">
        <f t="shared" si="55"/>
        <v>0</v>
      </c>
      <c r="W202">
        <f t="shared" si="56"/>
        <v>1</v>
      </c>
      <c r="X202">
        <f t="shared" si="57"/>
        <v>0</v>
      </c>
      <c r="Y202">
        <f t="shared" si="58"/>
        <v>0</v>
      </c>
      <c r="Z202">
        <f t="shared" si="59"/>
        <v>0</v>
      </c>
      <c r="AA202">
        <f t="shared" si="60"/>
        <v>0</v>
      </c>
      <c r="AB202">
        <f t="shared" si="61"/>
        <v>0</v>
      </c>
      <c r="AC202">
        <f t="shared" si="62"/>
        <v>0</v>
      </c>
      <c r="AD202">
        <f t="shared" si="63"/>
        <v>0</v>
      </c>
      <c r="AE202">
        <v>86.9</v>
      </c>
      <c r="AF202">
        <v>2.09</v>
      </c>
      <c r="AG202">
        <v>6.42</v>
      </c>
      <c r="AH202" t="s">
        <v>113</v>
      </c>
      <c r="AI202" t="s">
        <v>97</v>
      </c>
      <c r="AJ202" t="s">
        <v>97</v>
      </c>
      <c r="AK202" t="s">
        <v>97</v>
      </c>
      <c r="AL202" t="s">
        <v>97</v>
      </c>
      <c r="AM202">
        <v>6</v>
      </c>
      <c r="AN202" t="s">
        <v>114</v>
      </c>
      <c r="AO202" t="s">
        <v>103</v>
      </c>
      <c r="AP202" t="s">
        <v>122</v>
      </c>
      <c r="AQ202" t="s">
        <v>103</v>
      </c>
      <c r="AR202" t="s">
        <v>190</v>
      </c>
      <c r="AS202" t="s">
        <v>104</v>
      </c>
      <c r="AT202" t="s">
        <v>110</v>
      </c>
      <c r="AU202" t="s">
        <v>97</v>
      </c>
      <c r="AV202" t="s">
        <v>97</v>
      </c>
      <c r="AW202">
        <v>1.17</v>
      </c>
      <c r="AX202">
        <v>0.73</v>
      </c>
      <c r="AY202">
        <v>0.46</v>
      </c>
      <c r="AZ202">
        <v>2.38</v>
      </c>
      <c r="BA202" t="s">
        <v>97</v>
      </c>
      <c r="BB202" t="s">
        <v>97</v>
      </c>
      <c r="BC202" t="s">
        <v>97</v>
      </c>
      <c r="BD202">
        <v>2</v>
      </c>
      <c r="BE202" t="s">
        <v>97</v>
      </c>
      <c r="BF202" t="s">
        <v>97</v>
      </c>
      <c r="BG202" t="s">
        <v>97</v>
      </c>
      <c r="BH202" t="s">
        <v>97</v>
      </c>
      <c r="BI202">
        <v>669257</v>
      </c>
      <c r="BJ202">
        <v>669257</v>
      </c>
      <c r="BK202" t="s">
        <v>97</v>
      </c>
      <c r="BL202" t="s">
        <v>97</v>
      </c>
      <c r="BM202">
        <v>-6.3505901680000001</v>
      </c>
      <c r="BN202">
        <v>-126.3323348</v>
      </c>
      <c r="BO202">
        <v>-4.9818315059999998</v>
      </c>
      <c r="BP202">
        <v>13.88866559</v>
      </c>
      <c r="BQ202">
        <v>27.303121910000002</v>
      </c>
      <c r="BR202">
        <v>-23.474108229999999</v>
      </c>
      <c r="BS202">
        <v>3.42</v>
      </c>
      <c r="BT202">
        <v>1.61</v>
      </c>
      <c r="BU202" t="s">
        <v>97</v>
      </c>
      <c r="BV202" t="s">
        <v>97</v>
      </c>
      <c r="BW202" t="s">
        <v>97</v>
      </c>
      <c r="BX202">
        <v>87.2</v>
      </c>
      <c r="BY202">
        <v>1988</v>
      </c>
      <c r="BZ202">
        <v>6.7</v>
      </c>
      <c r="CA202">
        <v>813036</v>
      </c>
      <c r="CB202">
        <v>669257</v>
      </c>
      <c r="CC202">
        <v>669257</v>
      </c>
      <c r="CD202">
        <v>518692</v>
      </c>
      <c r="CE202">
        <v>669242</v>
      </c>
      <c r="CF202">
        <v>571970</v>
      </c>
      <c r="CG202">
        <v>605141</v>
      </c>
      <c r="CH202">
        <v>571771</v>
      </c>
      <c r="CI202">
        <v>681624</v>
      </c>
      <c r="CJ202">
        <v>606192</v>
      </c>
      <c r="CK202">
        <v>53.82</v>
      </c>
      <c r="CL202" t="s">
        <v>97</v>
      </c>
      <c r="CM202" t="s">
        <v>97</v>
      </c>
      <c r="CN202" t="s">
        <v>97</v>
      </c>
      <c r="CO202" t="s">
        <v>97</v>
      </c>
      <c r="CP202" t="s">
        <v>97</v>
      </c>
      <c r="CQ202" t="s">
        <v>97</v>
      </c>
      <c r="CR202" t="s">
        <v>97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 t="s">
        <v>107</v>
      </c>
      <c r="DB202" t="s">
        <v>107</v>
      </c>
      <c r="DC202">
        <v>135</v>
      </c>
      <c r="DD202">
        <v>0</v>
      </c>
      <c r="DE202">
        <v>-5.2999999999999999E-2</v>
      </c>
      <c r="DF202">
        <v>75.400000000000006</v>
      </c>
      <c r="DG202">
        <v>8.5</v>
      </c>
    </row>
    <row r="203" spans="1:111" x14ac:dyDescent="0.2">
      <c r="A203">
        <v>2025</v>
      </c>
      <c r="B203" s="1">
        <v>45943</v>
      </c>
      <c r="C203" t="s">
        <v>95</v>
      </c>
      <c r="D203">
        <v>605483</v>
      </c>
      <c r="E203">
        <v>661388</v>
      </c>
      <c r="F203">
        <v>1</v>
      </c>
      <c r="G203">
        <v>1</v>
      </c>
      <c r="H203">
        <v>1</v>
      </c>
      <c r="I203" t="s">
        <v>163</v>
      </c>
      <c r="J203">
        <v>7</v>
      </c>
      <c r="K203">
        <v>3</v>
      </c>
      <c r="L203" t="s">
        <v>97</v>
      </c>
      <c r="M203" t="s">
        <v>132</v>
      </c>
      <c r="N203" t="s">
        <v>133</v>
      </c>
      <c r="O203">
        <f t="shared" si="48"/>
        <v>0</v>
      </c>
      <c r="P203">
        <f t="shared" si="49"/>
        <v>0</v>
      </c>
      <c r="Q203">
        <f t="shared" si="50"/>
        <v>0</v>
      </c>
      <c r="R203">
        <f t="shared" si="51"/>
        <v>0</v>
      </c>
      <c r="S203">
        <f t="shared" si="52"/>
        <v>0</v>
      </c>
      <c r="T203">
        <f t="shared" si="53"/>
        <v>0</v>
      </c>
      <c r="U203">
        <f t="shared" si="54"/>
        <v>0</v>
      </c>
      <c r="V203">
        <f t="shared" si="55"/>
        <v>0</v>
      </c>
      <c r="W203">
        <f t="shared" si="56"/>
        <v>1</v>
      </c>
      <c r="X203">
        <f t="shared" si="57"/>
        <v>0</v>
      </c>
      <c r="Y203">
        <f t="shared" si="58"/>
        <v>0</v>
      </c>
      <c r="Z203">
        <f t="shared" si="59"/>
        <v>0</v>
      </c>
      <c r="AA203">
        <f t="shared" si="60"/>
        <v>0</v>
      </c>
      <c r="AB203">
        <f t="shared" si="61"/>
        <v>0</v>
      </c>
      <c r="AC203">
        <f t="shared" si="62"/>
        <v>0</v>
      </c>
      <c r="AD203">
        <f t="shared" si="63"/>
        <v>0</v>
      </c>
      <c r="AE203">
        <v>85.9</v>
      </c>
      <c r="AF203">
        <v>2.23</v>
      </c>
      <c r="AG203">
        <v>6.33</v>
      </c>
      <c r="AH203" t="s">
        <v>113</v>
      </c>
      <c r="AI203" t="s">
        <v>97</v>
      </c>
      <c r="AJ203" t="s">
        <v>97</v>
      </c>
      <c r="AK203" t="s">
        <v>97</v>
      </c>
      <c r="AL203" t="s">
        <v>97</v>
      </c>
      <c r="AM203">
        <v>9</v>
      </c>
      <c r="AN203" t="s">
        <v>114</v>
      </c>
      <c r="AO203" t="s">
        <v>103</v>
      </c>
      <c r="AP203" t="s">
        <v>122</v>
      </c>
      <c r="AQ203" t="s">
        <v>103</v>
      </c>
      <c r="AR203" t="s">
        <v>190</v>
      </c>
      <c r="AS203" t="s">
        <v>104</v>
      </c>
      <c r="AT203" t="s">
        <v>110</v>
      </c>
      <c r="AU203" t="s">
        <v>97</v>
      </c>
      <c r="AV203" t="s">
        <v>97</v>
      </c>
      <c r="AW203">
        <v>1.22</v>
      </c>
      <c r="AX203">
        <v>0.37</v>
      </c>
      <c r="AY203">
        <v>0.8</v>
      </c>
      <c r="AZ203">
        <v>1.83</v>
      </c>
      <c r="BA203" t="s">
        <v>97</v>
      </c>
      <c r="BB203" t="s">
        <v>97</v>
      </c>
      <c r="BC203" t="s">
        <v>97</v>
      </c>
      <c r="BD203">
        <v>2</v>
      </c>
      <c r="BE203" t="s">
        <v>97</v>
      </c>
      <c r="BF203" t="s">
        <v>97</v>
      </c>
      <c r="BG203" t="s">
        <v>97</v>
      </c>
      <c r="BH203" t="s">
        <v>97</v>
      </c>
      <c r="BI203">
        <v>669257</v>
      </c>
      <c r="BJ203">
        <v>669257</v>
      </c>
      <c r="BK203" t="s">
        <v>97</v>
      </c>
      <c r="BL203" t="s">
        <v>97</v>
      </c>
      <c r="BM203">
        <v>-5.911834228</v>
      </c>
      <c r="BN203">
        <v>-124.9331608</v>
      </c>
      <c r="BO203">
        <v>-5.1570184530000001</v>
      </c>
      <c r="BP203">
        <v>13.9613169</v>
      </c>
      <c r="BQ203">
        <v>26.482951799999999</v>
      </c>
      <c r="BR203">
        <v>-27.39360843</v>
      </c>
      <c r="BS203">
        <v>3.42</v>
      </c>
      <c r="BT203">
        <v>1.61</v>
      </c>
      <c r="BU203" t="s">
        <v>97</v>
      </c>
      <c r="BV203" t="s">
        <v>97</v>
      </c>
      <c r="BW203" t="s">
        <v>97</v>
      </c>
      <c r="BX203">
        <v>86.4</v>
      </c>
      <c r="BY203">
        <v>1840</v>
      </c>
      <c r="BZ203">
        <v>6.8</v>
      </c>
      <c r="CA203">
        <v>813036</v>
      </c>
      <c r="CB203">
        <v>669257</v>
      </c>
      <c r="CC203">
        <v>669257</v>
      </c>
      <c r="CD203">
        <v>518692</v>
      </c>
      <c r="CE203">
        <v>669242</v>
      </c>
      <c r="CF203">
        <v>571970</v>
      </c>
      <c r="CG203">
        <v>605141</v>
      </c>
      <c r="CH203">
        <v>571771</v>
      </c>
      <c r="CI203">
        <v>681624</v>
      </c>
      <c r="CJ203">
        <v>606192</v>
      </c>
      <c r="CK203">
        <v>53.72</v>
      </c>
      <c r="CL203" t="s">
        <v>97</v>
      </c>
      <c r="CM203" t="s">
        <v>97</v>
      </c>
      <c r="CN203" t="s">
        <v>97</v>
      </c>
      <c r="CO203" t="s">
        <v>97</v>
      </c>
      <c r="CP203" t="s">
        <v>97</v>
      </c>
      <c r="CQ203" t="s">
        <v>97</v>
      </c>
      <c r="CR203" t="s">
        <v>97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 t="s">
        <v>107</v>
      </c>
      <c r="DB203" t="s">
        <v>107</v>
      </c>
      <c r="DC203">
        <v>128</v>
      </c>
      <c r="DD203">
        <v>0</v>
      </c>
      <c r="DE203">
        <v>-6.2E-2</v>
      </c>
      <c r="DF203">
        <v>70</v>
      </c>
      <c r="DG203">
        <v>7.9</v>
      </c>
    </row>
    <row r="204" spans="1:111" x14ac:dyDescent="0.2">
      <c r="A204">
        <v>2025</v>
      </c>
      <c r="B204" s="1">
        <v>45943</v>
      </c>
      <c r="C204" t="s">
        <v>95</v>
      </c>
      <c r="D204">
        <v>605483</v>
      </c>
      <c r="E204">
        <v>661388</v>
      </c>
      <c r="F204">
        <v>1</v>
      </c>
      <c r="G204">
        <v>2</v>
      </c>
      <c r="H204">
        <v>1</v>
      </c>
      <c r="I204" t="s">
        <v>163</v>
      </c>
      <c r="J204">
        <v>7</v>
      </c>
      <c r="K204">
        <v>4</v>
      </c>
      <c r="L204" t="s">
        <v>97</v>
      </c>
      <c r="M204" t="s">
        <v>132</v>
      </c>
      <c r="N204" t="s">
        <v>133</v>
      </c>
      <c r="O204">
        <f t="shared" si="48"/>
        <v>0</v>
      </c>
      <c r="P204">
        <f t="shared" si="49"/>
        <v>0</v>
      </c>
      <c r="Q204">
        <f t="shared" si="50"/>
        <v>0</v>
      </c>
      <c r="R204">
        <f t="shared" si="51"/>
        <v>0</v>
      </c>
      <c r="S204">
        <f t="shared" si="52"/>
        <v>0</v>
      </c>
      <c r="T204">
        <f t="shared" si="53"/>
        <v>0</v>
      </c>
      <c r="U204">
        <f t="shared" si="54"/>
        <v>0</v>
      </c>
      <c r="V204">
        <f t="shared" si="55"/>
        <v>0</v>
      </c>
      <c r="W204">
        <f t="shared" si="56"/>
        <v>0</v>
      </c>
      <c r="X204">
        <f t="shared" si="57"/>
        <v>0</v>
      </c>
      <c r="Y204">
        <f t="shared" si="58"/>
        <v>1</v>
      </c>
      <c r="Z204">
        <f t="shared" si="59"/>
        <v>0</v>
      </c>
      <c r="AA204">
        <f t="shared" si="60"/>
        <v>0</v>
      </c>
      <c r="AB204">
        <f t="shared" si="61"/>
        <v>0</v>
      </c>
      <c r="AC204">
        <f t="shared" si="62"/>
        <v>0</v>
      </c>
      <c r="AD204">
        <f t="shared" si="63"/>
        <v>0</v>
      </c>
      <c r="AE204">
        <v>82.7</v>
      </c>
      <c r="AF204">
        <v>2.17</v>
      </c>
      <c r="AG204">
        <v>6.28</v>
      </c>
      <c r="AH204" t="s">
        <v>100</v>
      </c>
      <c r="AI204" t="s">
        <v>97</v>
      </c>
      <c r="AJ204" t="s">
        <v>97</v>
      </c>
      <c r="AK204" t="s">
        <v>97</v>
      </c>
      <c r="AL204" t="s">
        <v>97</v>
      </c>
      <c r="AM204">
        <v>14</v>
      </c>
      <c r="AN204" t="s">
        <v>101</v>
      </c>
      <c r="AO204" t="s">
        <v>103</v>
      </c>
      <c r="AP204" t="s">
        <v>122</v>
      </c>
      <c r="AQ204" t="s">
        <v>103</v>
      </c>
      <c r="AR204" t="s">
        <v>190</v>
      </c>
      <c r="AS204" t="s">
        <v>104</v>
      </c>
      <c r="AT204" t="s">
        <v>106</v>
      </c>
      <c r="AU204" t="s">
        <v>97</v>
      </c>
      <c r="AV204" t="s">
        <v>97</v>
      </c>
      <c r="AW204">
        <v>1.35</v>
      </c>
      <c r="AX204">
        <v>0.39</v>
      </c>
      <c r="AY204">
        <v>0.98</v>
      </c>
      <c r="AZ204">
        <v>0.4</v>
      </c>
      <c r="BA204" t="s">
        <v>97</v>
      </c>
      <c r="BB204" t="s">
        <v>97</v>
      </c>
      <c r="BC204" t="s">
        <v>97</v>
      </c>
      <c r="BD204">
        <v>2</v>
      </c>
      <c r="BE204" t="s">
        <v>97</v>
      </c>
      <c r="BF204" t="s">
        <v>97</v>
      </c>
      <c r="BG204" t="s">
        <v>97</v>
      </c>
      <c r="BH204" t="s">
        <v>97</v>
      </c>
      <c r="BI204">
        <v>669257</v>
      </c>
      <c r="BJ204">
        <v>669257</v>
      </c>
      <c r="BK204" t="s">
        <v>97</v>
      </c>
      <c r="BL204" t="s">
        <v>97</v>
      </c>
      <c r="BM204">
        <v>-5.3970917710000004</v>
      </c>
      <c r="BN204">
        <v>-120.08673589999999</v>
      </c>
      <c r="BO204">
        <v>-7.673734595</v>
      </c>
      <c r="BP204">
        <v>14.11271951</v>
      </c>
      <c r="BQ204">
        <v>25.308136480000002</v>
      </c>
      <c r="BR204">
        <v>-26.970457249999999</v>
      </c>
      <c r="BS204">
        <v>3.48</v>
      </c>
      <c r="BT204">
        <v>1.61</v>
      </c>
      <c r="BU204" t="s">
        <v>97</v>
      </c>
      <c r="BV204" t="s">
        <v>97</v>
      </c>
      <c r="BW204" t="s">
        <v>97</v>
      </c>
      <c r="BX204">
        <v>83.1</v>
      </c>
      <c r="BY204">
        <v>1869</v>
      </c>
      <c r="BZ204">
        <v>6.9</v>
      </c>
      <c r="CA204">
        <v>813036</v>
      </c>
      <c r="CB204">
        <v>669257</v>
      </c>
      <c r="CC204">
        <v>669257</v>
      </c>
      <c r="CD204">
        <v>518692</v>
      </c>
      <c r="CE204">
        <v>669242</v>
      </c>
      <c r="CF204">
        <v>571970</v>
      </c>
      <c r="CG204">
        <v>605141</v>
      </c>
      <c r="CH204">
        <v>571771</v>
      </c>
      <c r="CI204">
        <v>681624</v>
      </c>
      <c r="CJ204">
        <v>606192</v>
      </c>
      <c r="CK204">
        <v>53.6</v>
      </c>
      <c r="CL204" t="s">
        <v>97</v>
      </c>
      <c r="CM204" t="s">
        <v>97</v>
      </c>
      <c r="CN204" t="s">
        <v>97</v>
      </c>
      <c r="CO204" t="s">
        <v>97</v>
      </c>
      <c r="CP204" t="s">
        <v>97</v>
      </c>
      <c r="CQ204" t="s">
        <v>97</v>
      </c>
      <c r="CR204" t="s">
        <v>97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 t="s">
        <v>107</v>
      </c>
      <c r="DB204" t="s">
        <v>107</v>
      </c>
      <c r="DC204">
        <v>125</v>
      </c>
      <c r="DD204">
        <v>0</v>
      </c>
      <c r="DE204">
        <v>4.2000000000000003E-2</v>
      </c>
      <c r="DF204" t="s">
        <v>97</v>
      </c>
      <c r="DG204" t="s">
        <v>97</v>
      </c>
    </row>
    <row r="205" spans="1:111" x14ac:dyDescent="0.2">
      <c r="A205">
        <v>2025</v>
      </c>
      <c r="B205" s="1">
        <v>45943</v>
      </c>
      <c r="C205" t="s">
        <v>95</v>
      </c>
      <c r="D205">
        <v>605483</v>
      </c>
      <c r="E205">
        <v>661388</v>
      </c>
      <c r="F205">
        <v>2</v>
      </c>
      <c r="G205">
        <v>2</v>
      </c>
      <c r="H205">
        <v>1</v>
      </c>
      <c r="I205" t="s">
        <v>163</v>
      </c>
      <c r="J205">
        <v>7</v>
      </c>
      <c r="K205">
        <v>5</v>
      </c>
      <c r="L205" t="s">
        <v>116</v>
      </c>
      <c r="M205" t="s">
        <v>111</v>
      </c>
      <c r="N205" t="s">
        <v>112</v>
      </c>
      <c r="O205">
        <f t="shared" si="48"/>
        <v>0</v>
      </c>
      <c r="P205">
        <f t="shared" si="49"/>
        <v>0</v>
      </c>
      <c r="Q205">
        <f t="shared" si="50"/>
        <v>0</v>
      </c>
      <c r="R205">
        <f t="shared" si="51"/>
        <v>0</v>
      </c>
      <c r="S205">
        <f t="shared" si="52"/>
        <v>0</v>
      </c>
      <c r="T205">
        <f t="shared" si="53"/>
        <v>1</v>
      </c>
      <c r="U205">
        <f t="shared" si="54"/>
        <v>0</v>
      </c>
      <c r="V205">
        <f t="shared" si="55"/>
        <v>0</v>
      </c>
      <c r="W205">
        <f t="shared" si="56"/>
        <v>0</v>
      </c>
      <c r="X205">
        <f t="shared" si="57"/>
        <v>0</v>
      </c>
      <c r="Y205">
        <f t="shared" si="58"/>
        <v>0</v>
      </c>
      <c r="Z205">
        <f t="shared" si="59"/>
        <v>0</v>
      </c>
      <c r="AA205">
        <f t="shared" si="60"/>
        <v>0</v>
      </c>
      <c r="AB205">
        <f t="shared" si="61"/>
        <v>0</v>
      </c>
      <c r="AC205">
        <f t="shared" si="62"/>
        <v>0</v>
      </c>
      <c r="AD205">
        <f t="shared" si="63"/>
        <v>0</v>
      </c>
      <c r="AE205">
        <v>83.2</v>
      </c>
      <c r="AF205">
        <v>1.85</v>
      </c>
      <c r="AG205">
        <v>6.51</v>
      </c>
      <c r="AH205" t="s">
        <v>117</v>
      </c>
      <c r="AI205" t="s">
        <v>97</v>
      </c>
      <c r="AJ205" t="s">
        <v>97</v>
      </c>
      <c r="AK205" t="s">
        <v>97</v>
      </c>
      <c r="AL205" t="s">
        <v>97</v>
      </c>
      <c r="AM205">
        <v>13</v>
      </c>
      <c r="AN205" t="s">
        <v>193</v>
      </c>
      <c r="AO205" t="s">
        <v>103</v>
      </c>
      <c r="AP205" t="s">
        <v>122</v>
      </c>
      <c r="AQ205" t="s">
        <v>103</v>
      </c>
      <c r="AR205" t="s">
        <v>190</v>
      </c>
      <c r="AS205" t="s">
        <v>104</v>
      </c>
      <c r="AT205" t="s">
        <v>110</v>
      </c>
      <c r="AU205">
        <v>2</v>
      </c>
      <c r="AV205" t="s">
        <v>97</v>
      </c>
      <c r="AW205">
        <v>-0.72</v>
      </c>
      <c r="AX205">
        <v>-0.56999999999999995</v>
      </c>
      <c r="AY205">
        <v>-0.25</v>
      </c>
      <c r="AZ205">
        <v>0.55000000000000004</v>
      </c>
      <c r="BA205" t="s">
        <v>97</v>
      </c>
      <c r="BB205" t="s">
        <v>97</v>
      </c>
      <c r="BC205" t="s">
        <v>97</v>
      </c>
      <c r="BD205">
        <v>2</v>
      </c>
      <c r="BE205" t="s">
        <v>97</v>
      </c>
      <c r="BF205" t="s">
        <v>97</v>
      </c>
      <c r="BG205" t="s">
        <v>97</v>
      </c>
      <c r="BH205" t="s">
        <v>97</v>
      </c>
      <c r="BI205">
        <v>669257</v>
      </c>
      <c r="BJ205">
        <v>669257</v>
      </c>
      <c r="BK205" t="s">
        <v>97</v>
      </c>
      <c r="BL205" t="s">
        <v>97</v>
      </c>
      <c r="BM205">
        <v>-3.4172860100000002</v>
      </c>
      <c r="BN205">
        <v>-121.0019865</v>
      </c>
      <c r="BO205">
        <v>-6.0554091530000003</v>
      </c>
      <c r="BP205">
        <v>-6.2361888580000002</v>
      </c>
      <c r="BQ205">
        <v>26.290414470000002</v>
      </c>
      <c r="BR205">
        <v>-36.639845860000001</v>
      </c>
      <c r="BS205">
        <v>3.42</v>
      </c>
      <c r="BT205">
        <v>1.61</v>
      </c>
      <c r="BU205" t="s">
        <v>97</v>
      </c>
      <c r="BV205" t="s">
        <v>97</v>
      </c>
      <c r="BW205" t="s">
        <v>97</v>
      </c>
      <c r="BX205">
        <v>83.4</v>
      </c>
      <c r="BY205">
        <v>2681</v>
      </c>
      <c r="BZ205">
        <v>6.7</v>
      </c>
      <c r="CA205">
        <v>813036</v>
      </c>
      <c r="CB205">
        <v>669257</v>
      </c>
      <c r="CC205">
        <v>669257</v>
      </c>
      <c r="CD205">
        <v>518692</v>
      </c>
      <c r="CE205">
        <v>669242</v>
      </c>
      <c r="CF205">
        <v>571970</v>
      </c>
      <c r="CG205">
        <v>605141</v>
      </c>
      <c r="CH205">
        <v>571771</v>
      </c>
      <c r="CI205">
        <v>681624</v>
      </c>
      <c r="CJ205">
        <v>606192</v>
      </c>
      <c r="CK205">
        <v>53.76</v>
      </c>
      <c r="CL205" t="s">
        <v>97</v>
      </c>
      <c r="CM205">
        <v>0</v>
      </c>
      <c r="CN205">
        <v>0</v>
      </c>
      <c r="CO205">
        <v>1</v>
      </c>
      <c r="CP205">
        <v>0</v>
      </c>
      <c r="CQ205">
        <v>0</v>
      </c>
      <c r="CR205" t="s">
        <v>97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 t="s">
        <v>107</v>
      </c>
      <c r="DB205" t="s">
        <v>107</v>
      </c>
      <c r="DC205">
        <v>326</v>
      </c>
      <c r="DD205">
        <v>-0.01</v>
      </c>
      <c r="DE205">
        <v>-0.224</v>
      </c>
      <c r="DF205">
        <v>70.599999999999994</v>
      </c>
      <c r="DG205">
        <v>8.8000000000000007</v>
      </c>
    </row>
    <row r="206" spans="1:111" x14ac:dyDescent="0.2">
      <c r="A206">
        <v>2025</v>
      </c>
      <c r="B206" s="1">
        <v>45943</v>
      </c>
      <c r="C206" t="s">
        <v>95</v>
      </c>
      <c r="D206">
        <v>605483</v>
      </c>
      <c r="E206">
        <v>668930</v>
      </c>
      <c r="F206">
        <v>0</v>
      </c>
      <c r="G206">
        <v>0</v>
      </c>
      <c r="H206">
        <v>2</v>
      </c>
      <c r="I206" t="s">
        <v>163</v>
      </c>
      <c r="J206">
        <v>12</v>
      </c>
      <c r="K206">
        <v>1</v>
      </c>
      <c r="L206" t="s">
        <v>97</v>
      </c>
      <c r="M206" t="s">
        <v>98</v>
      </c>
      <c r="N206" t="s">
        <v>99</v>
      </c>
      <c r="O206">
        <f t="shared" si="48"/>
        <v>1</v>
      </c>
      <c r="P206">
        <f t="shared" si="49"/>
        <v>0</v>
      </c>
      <c r="Q206">
        <f t="shared" si="50"/>
        <v>0</v>
      </c>
      <c r="R206">
        <f t="shared" si="51"/>
        <v>0</v>
      </c>
      <c r="S206">
        <f t="shared" si="52"/>
        <v>0</v>
      </c>
      <c r="T206">
        <f t="shared" si="53"/>
        <v>0</v>
      </c>
      <c r="U206">
        <f t="shared" si="54"/>
        <v>0</v>
      </c>
      <c r="V206">
        <f t="shared" si="55"/>
        <v>0</v>
      </c>
      <c r="W206">
        <f t="shared" si="56"/>
        <v>0</v>
      </c>
      <c r="X206">
        <f t="shared" si="57"/>
        <v>0</v>
      </c>
      <c r="Y206">
        <f t="shared" si="58"/>
        <v>0</v>
      </c>
      <c r="Z206">
        <f t="shared" si="59"/>
        <v>0</v>
      </c>
      <c r="AA206">
        <f t="shared" si="60"/>
        <v>0</v>
      </c>
      <c r="AB206">
        <f t="shared" si="61"/>
        <v>0</v>
      </c>
      <c r="AC206">
        <f t="shared" si="62"/>
        <v>0</v>
      </c>
      <c r="AD206">
        <f t="shared" si="63"/>
        <v>0</v>
      </c>
      <c r="AE206">
        <v>95.3</v>
      </c>
      <c r="AF206">
        <v>1.98</v>
      </c>
      <c r="AG206">
        <v>6.49</v>
      </c>
      <c r="AH206" t="s">
        <v>108</v>
      </c>
      <c r="AI206" t="s">
        <v>97</v>
      </c>
      <c r="AJ206" t="s">
        <v>97</v>
      </c>
      <c r="AK206" t="s">
        <v>97</v>
      </c>
      <c r="AL206" t="s">
        <v>97</v>
      </c>
      <c r="AM206">
        <v>4</v>
      </c>
      <c r="AN206" t="s">
        <v>109</v>
      </c>
      <c r="AO206" t="s">
        <v>103</v>
      </c>
      <c r="AP206" t="s">
        <v>103</v>
      </c>
      <c r="AQ206" t="s">
        <v>103</v>
      </c>
      <c r="AR206" t="s">
        <v>190</v>
      </c>
      <c r="AS206" t="s">
        <v>104</v>
      </c>
      <c r="AT206" t="s">
        <v>110</v>
      </c>
      <c r="AU206" t="s">
        <v>97</v>
      </c>
      <c r="AV206" t="s">
        <v>97</v>
      </c>
      <c r="AW206">
        <v>0.43</v>
      </c>
      <c r="AX206">
        <v>1.61</v>
      </c>
      <c r="AY206">
        <v>-0.8</v>
      </c>
      <c r="AZ206">
        <v>2.0299999999999998</v>
      </c>
      <c r="BA206" t="s">
        <v>97</v>
      </c>
      <c r="BB206" t="s">
        <v>97</v>
      </c>
      <c r="BC206" t="s">
        <v>97</v>
      </c>
      <c r="BD206">
        <v>0</v>
      </c>
      <c r="BE206" t="s">
        <v>97</v>
      </c>
      <c r="BF206" t="s">
        <v>97</v>
      </c>
      <c r="BG206" t="s">
        <v>97</v>
      </c>
      <c r="BH206" t="s">
        <v>97</v>
      </c>
      <c r="BI206">
        <v>669257</v>
      </c>
      <c r="BJ206">
        <v>669257</v>
      </c>
      <c r="BK206" t="s">
        <v>97</v>
      </c>
      <c r="BL206" t="s">
        <v>97</v>
      </c>
      <c r="BM206">
        <v>-8.3437740189999996</v>
      </c>
      <c r="BN206">
        <v>-138.23037120000001</v>
      </c>
      <c r="BO206">
        <v>-9.7211035070000005</v>
      </c>
      <c r="BP206">
        <v>7.4377349260000001</v>
      </c>
      <c r="BQ206">
        <v>32.109333929999998</v>
      </c>
      <c r="BR206">
        <v>-9.4462826769999992</v>
      </c>
      <c r="BS206">
        <v>2.88</v>
      </c>
      <c r="BT206">
        <v>1.29</v>
      </c>
      <c r="BU206" t="s">
        <v>97</v>
      </c>
      <c r="BV206" t="s">
        <v>97</v>
      </c>
      <c r="BW206" t="s">
        <v>97</v>
      </c>
      <c r="BX206">
        <v>95.9</v>
      </c>
      <c r="BY206">
        <v>2467</v>
      </c>
      <c r="BZ206">
        <v>6.9</v>
      </c>
      <c r="CA206">
        <v>813036</v>
      </c>
      <c r="CB206">
        <v>669257</v>
      </c>
      <c r="CC206">
        <v>669257</v>
      </c>
      <c r="CD206">
        <v>518692</v>
      </c>
      <c r="CE206">
        <v>669242</v>
      </c>
      <c r="CF206">
        <v>571970</v>
      </c>
      <c r="CG206">
        <v>605141</v>
      </c>
      <c r="CH206">
        <v>571771</v>
      </c>
      <c r="CI206">
        <v>681624</v>
      </c>
      <c r="CJ206">
        <v>606192</v>
      </c>
      <c r="CK206">
        <v>53.62</v>
      </c>
      <c r="CL206" t="s">
        <v>97</v>
      </c>
      <c r="CM206" t="s">
        <v>97</v>
      </c>
      <c r="CN206" t="s">
        <v>97</v>
      </c>
      <c r="CO206" t="s">
        <v>97</v>
      </c>
      <c r="CP206" t="s">
        <v>97</v>
      </c>
      <c r="CQ206" t="s">
        <v>97</v>
      </c>
      <c r="CR206" t="s">
        <v>97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 t="s">
        <v>107</v>
      </c>
      <c r="DB206" t="s">
        <v>115</v>
      </c>
      <c r="DC206">
        <v>161</v>
      </c>
      <c r="DD206">
        <v>0</v>
      </c>
      <c r="DE206">
        <v>-3.9E-2</v>
      </c>
      <c r="DF206" t="s">
        <v>97</v>
      </c>
      <c r="DG206" t="s">
        <v>97</v>
      </c>
    </row>
    <row r="207" spans="1:111" x14ac:dyDescent="0.2">
      <c r="A207">
        <v>2025</v>
      </c>
      <c r="B207" s="1">
        <v>45943</v>
      </c>
      <c r="C207" t="s">
        <v>95</v>
      </c>
      <c r="D207">
        <v>605483</v>
      </c>
      <c r="E207">
        <v>668930</v>
      </c>
      <c r="F207">
        <v>0</v>
      </c>
      <c r="G207">
        <v>1</v>
      </c>
      <c r="H207">
        <v>2</v>
      </c>
      <c r="I207" t="s">
        <v>163</v>
      </c>
      <c r="J207">
        <v>12</v>
      </c>
      <c r="K207">
        <v>2</v>
      </c>
      <c r="L207" t="s">
        <v>97</v>
      </c>
      <c r="M207" t="s">
        <v>98</v>
      </c>
      <c r="N207" t="s">
        <v>99</v>
      </c>
      <c r="O207">
        <f t="shared" si="48"/>
        <v>1</v>
      </c>
      <c r="P207">
        <f t="shared" si="49"/>
        <v>0</v>
      </c>
      <c r="Q207">
        <f t="shared" si="50"/>
        <v>0</v>
      </c>
      <c r="R207">
        <f t="shared" si="51"/>
        <v>0</v>
      </c>
      <c r="S207">
        <f t="shared" si="52"/>
        <v>0</v>
      </c>
      <c r="T207">
        <f t="shared" si="53"/>
        <v>0</v>
      </c>
      <c r="U207">
        <f t="shared" si="54"/>
        <v>0</v>
      </c>
      <c r="V207">
        <f t="shared" si="55"/>
        <v>0</v>
      </c>
      <c r="W207">
        <f t="shared" si="56"/>
        <v>0</v>
      </c>
      <c r="X207">
        <f t="shared" si="57"/>
        <v>0</v>
      </c>
      <c r="Y207">
        <f t="shared" si="58"/>
        <v>0</v>
      </c>
      <c r="Z207">
        <f t="shared" si="59"/>
        <v>0</v>
      </c>
      <c r="AA207">
        <f t="shared" si="60"/>
        <v>0</v>
      </c>
      <c r="AB207">
        <f t="shared" si="61"/>
        <v>0</v>
      </c>
      <c r="AC207">
        <f t="shared" si="62"/>
        <v>0</v>
      </c>
      <c r="AD207">
        <f t="shared" si="63"/>
        <v>0</v>
      </c>
      <c r="AE207">
        <v>95.6</v>
      </c>
      <c r="AF207">
        <v>2.02</v>
      </c>
      <c r="AG207">
        <v>6.43</v>
      </c>
      <c r="AH207" t="s">
        <v>129</v>
      </c>
      <c r="AI207" t="s">
        <v>97</v>
      </c>
      <c r="AJ207" t="s">
        <v>97</v>
      </c>
      <c r="AK207" t="s">
        <v>97</v>
      </c>
      <c r="AL207" t="s">
        <v>97</v>
      </c>
      <c r="AM207">
        <v>5</v>
      </c>
      <c r="AN207" t="s">
        <v>130</v>
      </c>
      <c r="AO207" t="s">
        <v>103</v>
      </c>
      <c r="AP207" t="s">
        <v>103</v>
      </c>
      <c r="AQ207" t="s">
        <v>103</v>
      </c>
      <c r="AR207" t="s">
        <v>190</v>
      </c>
      <c r="AS207" t="s">
        <v>104</v>
      </c>
      <c r="AT207" t="s">
        <v>110</v>
      </c>
      <c r="AU207" t="s">
        <v>97</v>
      </c>
      <c r="AV207" t="s">
        <v>97</v>
      </c>
      <c r="AW207">
        <v>0.34</v>
      </c>
      <c r="AX207">
        <v>1.74</v>
      </c>
      <c r="AY207">
        <v>0</v>
      </c>
      <c r="AZ207">
        <v>2.19</v>
      </c>
      <c r="BA207" t="s">
        <v>97</v>
      </c>
      <c r="BB207" t="s">
        <v>97</v>
      </c>
      <c r="BC207" t="s">
        <v>97</v>
      </c>
      <c r="BD207">
        <v>0</v>
      </c>
      <c r="BE207" t="s">
        <v>97</v>
      </c>
      <c r="BF207" t="s">
        <v>97</v>
      </c>
      <c r="BG207" t="s">
        <v>97</v>
      </c>
      <c r="BH207" t="s">
        <v>97</v>
      </c>
      <c r="BI207">
        <v>669257</v>
      </c>
      <c r="BJ207">
        <v>669257</v>
      </c>
      <c r="BK207" t="s">
        <v>97</v>
      </c>
      <c r="BL207" t="s">
        <v>97</v>
      </c>
      <c r="BM207">
        <v>-6.1722554069999997</v>
      </c>
      <c r="BN207">
        <v>-138.83911079999999</v>
      </c>
      <c r="BO207">
        <v>-9.5217883269999994</v>
      </c>
      <c r="BP207">
        <v>5.896224224</v>
      </c>
      <c r="BQ207">
        <v>32.700688069999998</v>
      </c>
      <c r="BR207">
        <v>-7.6945600599999997</v>
      </c>
      <c r="BS207">
        <v>3.43</v>
      </c>
      <c r="BT207">
        <v>1.62</v>
      </c>
      <c r="BU207">
        <v>203</v>
      </c>
      <c r="BV207">
        <v>77.5</v>
      </c>
      <c r="BW207">
        <v>21</v>
      </c>
      <c r="BX207">
        <v>96.3</v>
      </c>
      <c r="BY207">
        <v>2451</v>
      </c>
      <c r="BZ207">
        <v>6.9</v>
      </c>
      <c r="CA207">
        <v>813036</v>
      </c>
      <c r="CB207">
        <v>669257</v>
      </c>
      <c r="CC207">
        <v>669257</v>
      </c>
      <c r="CD207">
        <v>518692</v>
      </c>
      <c r="CE207">
        <v>669242</v>
      </c>
      <c r="CF207">
        <v>571970</v>
      </c>
      <c r="CG207">
        <v>605141</v>
      </c>
      <c r="CH207">
        <v>571771</v>
      </c>
      <c r="CI207">
        <v>681624</v>
      </c>
      <c r="CJ207">
        <v>606192</v>
      </c>
      <c r="CK207">
        <v>53.59</v>
      </c>
      <c r="CL207" t="s">
        <v>97</v>
      </c>
      <c r="CM207" t="s">
        <v>97</v>
      </c>
      <c r="CN207" t="s">
        <v>97</v>
      </c>
      <c r="CO207" t="s">
        <v>97</v>
      </c>
      <c r="CP207" t="s">
        <v>97</v>
      </c>
      <c r="CQ207" t="s">
        <v>97</v>
      </c>
      <c r="CR207" t="s">
        <v>97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 t="s">
        <v>107</v>
      </c>
      <c r="DB207" t="s">
        <v>115</v>
      </c>
      <c r="DC207">
        <v>162</v>
      </c>
      <c r="DD207">
        <v>0</v>
      </c>
      <c r="DE207">
        <v>-5.5E-2</v>
      </c>
      <c r="DF207">
        <v>76</v>
      </c>
      <c r="DG207">
        <v>7.1</v>
      </c>
    </row>
    <row r="208" spans="1:111" x14ac:dyDescent="0.2">
      <c r="A208">
        <v>2025</v>
      </c>
      <c r="B208" s="1">
        <v>45943</v>
      </c>
      <c r="C208" t="s">
        <v>95</v>
      </c>
      <c r="D208">
        <v>605483</v>
      </c>
      <c r="E208">
        <v>668930</v>
      </c>
      <c r="F208">
        <v>0</v>
      </c>
      <c r="G208">
        <v>2</v>
      </c>
      <c r="H208">
        <v>2</v>
      </c>
      <c r="I208" t="s">
        <v>163</v>
      </c>
      <c r="J208">
        <v>12</v>
      </c>
      <c r="K208">
        <v>3</v>
      </c>
      <c r="L208" t="s">
        <v>119</v>
      </c>
      <c r="M208" t="s">
        <v>98</v>
      </c>
      <c r="N208" t="s">
        <v>99</v>
      </c>
      <c r="O208">
        <f t="shared" si="48"/>
        <v>1</v>
      </c>
      <c r="P208">
        <f t="shared" si="49"/>
        <v>0</v>
      </c>
      <c r="Q208">
        <f t="shared" si="50"/>
        <v>0</v>
      </c>
      <c r="R208">
        <f t="shared" si="51"/>
        <v>0</v>
      </c>
      <c r="S208">
        <f t="shared" si="52"/>
        <v>0</v>
      </c>
      <c r="T208">
        <f t="shared" si="53"/>
        <v>0</v>
      </c>
      <c r="U208">
        <f t="shared" si="54"/>
        <v>0</v>
      </c>
      <c r="V208">
        <f t="shared" si="55"/>
        <v>0</v>
      </c>
      <c r="W208">
        <f t="shared" si="56"/>
        <v>0</v>
      </c>
      <c r="X208">
        <f t="shared" si="57"/>
        <v>0</v>
      </c>
      <c r="Y208">
        <f t="shared" si="58"/>
        <v>0</v>
      </c>
      <c r="Z208">
        <f t="shared" si="59"/>
        <v>0</v>
      </c>
      <c r="AA208">
        <f t="shared" si="60"/>
        <v>0</v>
      </c>
      <c r="AB208">
        <f t="shared" si="61"/>
        <v>0</v>
      </c>
      <c r="AC208">
        <f t="shared" si="62"/>
        <v>0</v>
      </c>
      <c r="AD208">
        <f t="shared" si="63"/>
        <v>0</v>
      </c>
      <c r="AE208">
        <v>96.2</v>
      </c>
      <c r="AF208">
        <v>2.02</v>
      </c>
      <c r="AG208">
        <v>6.52</v>
      </c>
      <c r="AH208" t="s">
        <v>120</v>
      </c>
      <c r="AI208" t="s">
        <v>97</v>
      </c>
      <c r="AJ208" t="s">
        <v>97</v>
      </c>
      <c r="AK208" t="s">
        <v>97</v>
      </c>
      <c r="AL208" t="s">
        <v>97</v>
      </c>
      <c r="AM208">
        <v>2</v>
      </c>
      <c r="AN208" t="s">
        <v>194</v>
      </c>
      <c r="AO208" t="s">
        <v>103</v>
      </c>
      <c r="AP208" t="s">
        <v>103</v>
      </c>
      <c r="AQ208" t="s">
        <v>103</v>
      </c>
      <c r="AR208" t="s">
        <v>190</v>
      </c>
      <c r="AS208" t="s">
        <v>104</v>
      </c>
      <c r="AT208" t="s">
        <v>123</v>
      </c>
      <c r="AU208">
        <v>7</v>
      </c>
      <c r="AV208" t="s">
        <v>124</v>
      </c>
      <c r="AW208">
        <v>0.35</v>
      </c>
      <c r="AX208">
        <v>1.43</v>
      </c>
      <c r="AY208">
        <v>0.13</v>
      </c>
      <c r="AZ208">
        <v>3</v>
      </c>
      <c r="BA208" t="s">
        <v>97</v>
      </c>
      <c r="BB208" t="s">
        <v>97</v>
      </c>
      <c r="BC208" t="s">
        <v>97</v>
      </c>
      <c r="BD208">
        <v>0</v>
      </c>
      <c r="BE208">
        <v>42</v>
      </c>
      <c r="BF208">
        <v>122.07</v>
      </c>
      <c r="BG208" t="s">
        <v>97</v>
      </c>
      <c r="BH208" t="s">
        <v>97</v>
      </c>
      <c r="BI208">
        <v>669257</v>
      </c>
      <c r="BJ208">
        <v>669257</v>
      </c>
      <c r="BK208" t="s">
        <v>97</v>
      </c>
      <c r="BL208" t="s">
        <v>97</v>
      </c>
      <c r="BM208">
        <v>-5.8500940860000004</v>
      </c>
      <c r="BN208">
        <v>-139.8183933</v>
      </c>
      <c r="BO208">
        <v>-7.0216701029999999</v>
      </c>
      <c r="BP208">
        <v>5.9840134110000003</v>
      </c>
      <c r="BQ208">
        <v>34.548414110000003</v>
      </c>
      <c r="BR208">
        <v>-11.987606769999999</v>
      </c>
      <c r="BS208">
        <v>3.43</v>
      </c>
      <c r="BT208">
        <v>1.62</v>
      </c>
      <c r="BU208">
        <v>281</v>
      </c>
      <c r="BV208">
        <v>95.7</v>
      </c>
      <c r="BW208">
        <v>48</v>
      </c>
      <c r="BX208">
        <v>96.6</v>
      </c>
      <c r="BY208">
        <v>2493</v>
      </c>
      <c r="BZ208">
        <v>6.8</v>
      </c>
      <c r="CA208">
        <v>813036</v>
      </c>
      <c r="CB208">
        <v>669257</v>
      </c>
      <c r="CC208">
        <v>669257</v>
      </c>
      <c r="CD208">
        <v>518692</v>
      </c>
      <c r="CE208">
        <v>669242</v>
      </c>
      <c r="CF208">
        <v>571970</v>
      </c>
      <c r="CG208">
        <v>605141</v>
      </c>
      <c r="CH208">
        <v>571771</v>
      </c>
      <c r="CI208">
        <v>681624</v>
      </c>
      <c r="CJ208">
        <v>606192</v>
      </c>
      <c r="CK208">
        <v>53.7</v>
      </c>
      <c r="CL208">
        <v>1E-3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3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 t="s">
        <v>107</v>
      </c>
      <c r="DB208" t="s">
        <v>115</v>
      </c>
      <c r="DC208">
        <v>153</v>
      </c>
      <c r="DD208">
        <v>-2.3E-2</v>
      </c>
      <c r="DE208">
        <v>-0.16500000000000001</v>
      </c>
      <c r="DF208">
        <v>71.7</v>
      </c>
      <c r="DG208">
        <v>6.6</v>
      </c>
    </row>
    <row r="209" spans="1:111" x14ac:dyDescent="0.2">
      <c r="A209">
        <v>2025</v>
      </c>
      <c r="B209" s="1">
        <v>45943</v>
      </c>
      <c r="C209" t="s">
        <v>95</v>
      </c>
      <c r="D209">
        <v>605483</v>
      </c>
      <c r="E209">
        <v>683734</v>
      </c>
      <c r="F209">
        <v>0</v>
      </c>
      <c r="G209">
        <v>0</v>
      </c>
      <c r="H209">
        <v>2</v>
      </c>
      <c r="I209" t="s">
        <v>163</v>
      </c>
      <c r="J209">
        <v>13</v>
      </c>
      <c r="K209">
        <v>1</v>
      </c>
      <c r="L209" t="s">
        <v>97</v>
      </c>
      <c r="M209" t="s">
        <v>98</v>
      </c>
      <c r="N209" t="s">
        <v>99</v>
      </c>
      <c r="O209">
        <f t="shared" si="48"/>
        <v>1</v>
      </c>
      <c r="P209">
        <f t="shared" si="49"/>
        <v>0</v>
      </c>
      <c r="Q209">
        <f t="shared" si="50"/>
        <v>0</v>
      </c>
      <c r="R209">
        <f t="shared" si="51"/>
        <v>0</v>
      </c>
      <c r="S209">
        <f t="shared" si="52"/>
        <v>0</v>
      </c>
      <c r="T209">
        <f t="shared" si="53"/>
        <v>0</v>
      </c>
      <c r="U209">
        <f t="shared" si="54"/>
        <v>0</v>
      </c>
      <c r="V209">
        <f t="shared" si="55"/>
        <v>0</v>
      </c>
      <c r="W209">
        <f t="shared" si="56"/>
        <v>0</v>
      </c>
      <c r="X209">
        <f t="shared" si="57"/>
        <v>0</v>
      </c>
      <c r="Y209">
        <f t="shared" si="58"/>
        <v>0</v>
      </c>
      <c r="Z209">
        <f t="shared" si="59"/>
        <v>0</v>
      </c>
      <c r="AA209">
        <f t="shared" si="60"/>
        <v>0</v>
      </c>
      <c r="AB209">
        <f t="shared" si="61"/>
        <v>0</v>
      </c>
      <c r="AC209">
        <f t="shared" si="62"/>
        <v>0</v>
      </c>
      <c r="AD209">
        <f t="shared" si="63"/>
        <v>0</v>
      </c>
      <c r="AE209">
        <v>96.6</v>
      </c>
      <c r="AF209">
        <v>1.84</v>
      </c>
      <c r="AG209">
        <v>6.53</v>
      </c>
      <c r="AH209" t="s">
        <v>129</v>
      </c>
      <c r="AI209" t="s">
        <v>97</v>
      </c>
      <c r="AJ209" t="s">
        <v>97</v>
      </c>
      <c r="AK209" t="s">
        <v>97</v>
      </c>
      <c r="AL209" t="s">
        <v>97</v>
      </c>
      <c r="AM209">
        <v>1</v>
      </c>
      <c r="AN209" t="s">
        <v>130</v>
      </c>
      <c r="AO209" t="s">
        <v>103</v>
      </c>
      <c r="AP209" t="s">
        <v>122</v>
      </c>
      <c r="AQ209" t="s">
        <v>103</v>
      </c>
      <c r="AR209" t="s">
        <v>190</v>
      </c>
      <c r="AS209" t="s">
        <v>104</v>
      </c>
      <c r="AT209" t="s">
        <v>110</v>
      </c>
      <c r="AU209" t="s">
        <v>97</v>
      </c>
      <c r="AV209" t="s">
        <v>97</v>
      </c>
      <c r="AW209">
        <v>0.56999999999999995</v>
      </c>
      <c r="AX209">
        <v>1.5</v>
      </c>
      <c r="AY209">
        <v>-0.36</v>
      </c>
      <c r="AZ209">
        <v>2.96</v>
      </c>
      <c r="BA209" t="s">
        <v>97</v>
      </c>
      <c r="BB209" t="s">
        <v>97</v>
      </c>
      <c r="BC209" t="s">
        <v>97</v>
      </c>
      <c r="BD209">
        <v>1</v>
      </c>
      <c r="BE209" t="s">
        <v>97</v>
      </c>
      <c r="BF209" t="s">
        <v>97</v>
      </c>
      <c r="BG209" t="s">
        <v>97</v>
      </c>
      <c r="BH209" t="s">
        <v>97</v>
      </c>
      <c r="BI209">
        <v>669257</v>
      </c>
      <c r="BJ209">
        <v>669257</v>
      </c>
      <c r="BK209" t="s">
        <v>97</v>
      </c>
      <c r="BL209" t="s">
        <v>97</v>
      </c>
      <c r="BM209">
        <v>-7.238788488</v>
      </c>
      <c r="BN209">
        <v>-140.3003568</v>
      </c>
      <c r="BO209">
        <v>-7.376183149</v>
      </c>
      <c r="BP209">
        <v>9.3029784089999996</v>
      </c>
      <c r="BQ209">
        <v>34.59741262</v>
      </c>
      <c r="BR209">
        <v>-10.898624939999999</v>
      </c>
      <c r="BS209">
        <v>3.16</v>
      </c>
      <c r="BT209">
        <v>1.49</v>
      </c>
      <c r="BU209">
        <v>215</v>
      </c>
      <c r="BV209">
        <v>76.8</v>
      </c>
      <c r="BW209">
        <v>53</v>
      </c>
      <c r="BX209">
        <v>97.1</v>
      </c>
      <c r="BY209">
        <v>2505</v>
      </c>
      <c r="BZ209">
        <v>6.9</v>
      </c>
      <c r="CA209">
        <v>813036</v>
      </c>
      <c r="CB209">
        <v>669257</v>
      </c>
      <c r="CC209">
        <v>669257</v>
      </c>
      <c r="CD209">
        <v>518692</v>
      </c>
      <c r="CE209">
        <v>669242</v>
      </c>
      <c r="CF209">
        <v>571970</v>
      </c>
      <c r="CG209">
        <v>605141</v>
      </c>
      <c r="CH209">
        <v>571771</v>
      </c>
      <c r="CI209">
        <v>681624</v>
      </c>
      <c r="CJ209">
        <v>606192</v>
      </c>
      <c r="CK209">
        <v>53.61</v>
      </c>
      <c r="CL209" t="s">
        <v>97</v>
      </c>
      <c r="CM209" t="s">
        <v>97</v>
      </c>
      <c r="CN209" t="s">
        <v>97</v>
      </c>
      <c r="CO209" t="s">
        <v>97</v>
      </c>
      <c r="CP209" t="s">
        <v>97</v>
      </c>
      <c r="CQ209" t="s">
        <v>97</v>
      </c>
      <c r="CR209" t="s">
        <v>97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 t="s">
        <v>107</v>
      </c>
      <c r="DB209" t="s">
        <v>107</v>
      </c>
      <c r="DC209">
        <v>158</v>
      </c>
      <c r="DD209">
        <v>0</v>
      </c>
      <c r="DE209">
        <v>-3.9E-2</v>
      </c>
      <c r="DF209">
        <v>68.5</v>
      </c>
      <c r="DG209">
        <v>6.3</v>
      </c>
    </row>
    <row r="210" spans="1:111" x14ac:dyDescent="0.2">
      <c r="A210">
        <v>2025</v>
      </c>
      <c r="B210" s="1">
        <v>45943</v>
      </c>
      <c r="C210" t="s">
        <v>95</v>
      </c>
      <c r="D210">
        <v>605483</v>
      </c>
      <c r="E210">
        <v>683734</v>
      </c>
      <c r="F210">
        <v>0</v>
      </c>
      <c r="G210">
        <v>1</v>
      </c>
      <c r="H210">
        <v>2</v>
      </c>
      <c r="I210" t="s">
        <v>163</v>
      </c>
      <c r="J210">
        <v>13</v>
      </c>
      <c r="K210">
        <v>2</v>
      </c>
      <c r="L210" t="s">
        <v>97</v>
      </c>
      <c r="M210" t="s">
        <v>98</v>
      </c>
      <c r="N210" t="s">
        <v>99</v>
      </c>
      <c r="O210">
        <f t="shared" si="48"/>
        <v>0</v>
      </c>
      <c r="P210">
        <f t="shared" si="49"/>
        <v>0</v>
      </c>
      <c r="Q210">
        <f t="shared" si="50"/>
        <v>1</v>
      </c>
      <c r="R210">
        <f t="shared" si="51"/>
        <v>0</v>
      </c>
      <c r="S210">
        <f t="shared" si="52"/>
        <v>0</v>
      </c>
      <c r="T210">
        <f t="shared" si="53"/>
        <v>0</v>
      </c>
      <c r="U210">
        <f t="shared" si="54"/>
        <v>0</v>
      </c>
      <c r="V210">
        <f t="shared" si="55"/>
        <v>0</v>
      </c>
      <c r="W210">
        <f t="shared" si="56"/>
        <v>0</v>
      </c>
      <c r="X210">
        <f t="shared" si="57"/>
        <v>0</v>
      </c>
      <c r="Y210">
        <f t="shared" si="58"/>
        <v>0</v>
      </c>
      <c r="Z210">
        <f t="shared" si="59"/>
        <v>0</v>
      </c>
      <c r="AA210">
        <f t="shared" si="60"/>
        <v>0</v>
      </c>
      <c r="AB210">
        <f t="shared" si="61"/>
        <v>0</v>
      </c>
      <c r="AC210">
        <f t="shared" si="62"/>
        <v>0</v>
      </c>
      <c r="AD210">
        <f t="shared" si="63"/>
        <v>0</v>
      </c>
      <c r="AE210">
        <v>95.5</v>
      </c>
      <c r="AF210">
        <v>1.9</v>
      </c>
      <c r="AG210">
        <v>6.5</v>
      </c>
      <c r="AH210" t="s">
        <v>100</v>
      </c>
      <c r="AI210" t="s">
        <v>97</v>
      </c>
      <c r="AJ210" t="s">
        <v>97</v>
      </c>
      <c r="AK210" t="s">
        <v>97</v>
      </c>
      <c r="AL210" t="s">
        <v>97</v>
      </c>
      <c r="AM210">
        <v>12</v>
      </c>
      <c r="AN210" t="s">
        <v>101</v>
      </c>
      <c r="AO210" t="s">
        <v>103</v>
      </c>
      <c r="AP210" t="s">
        <v>122</v>
      </c>
      <c r="AQ210" t="s">
        <v>103</v>
      </c>
      <c r="AR210" t="s">
        <v>190</v>
      </c>
      <c r="AS210" t="s">
        <v>104</v>
      </c>
      <c r="AT210" t="s">
        <v>106</v>
      </c>
      <c r="AU210" t="s">
        <v>97</v>
      </c>
      <c r="AV210" t="s">
        <v>97</v>
      </c>
      <c r="AW210">
        <v>0.27</v>
      </c>
      <c r="AX210">
        <v>1.64</v>
      </c>
      <c r="AY210">
        <v>0.14000000000000001</v>
      </c>
      <c r="AZ210">
        <v>3.82</v>
      </c>
      <c r="BA210" t="s">
        <v>97</v>
      </c>
      <c r="BB210" t="s">
        <v>97</v>
      </c>
      <c r="BC210" t="s">
        <v>97</v>
      </c>
      <c r="BD210">
        <v>1</v>
      </c>
      <c r="BE210" t="s">
        <v>97</v>
      </c>
      <c r="BF210" t="s">
        <v>97</v>
      </c>
      <c r="BG210" t="s">
        <v>97</v>
      </c>
      <c r="BH210" t="s">
        <v>97</v>
      </c>
      <c r="BI210">
        <v>669257</v>
      </c>
      <c r="BJ210">
        <v>669257</v>
      </c>
      <c r="BK210" t="s">
        <v>97</v>
      </c>
      <c r="BL210" t="s">
        <v>97</v>
      </c>
      <c r="BM210">
        <v>-5.2995034160000003</v>
      </c>
      <c r="BN210">
        <v>-138.94816599999999</v>
      </c>
      <c r="BO210">
        <v>-5.1433068879999997</v>
      </c>
      <c r="BP210">
        <v>4.761298611</v>
      </c>
      <c r="BQ210">
        <v>33.466813199999997</v>
      </c>
      <c r="BR210">
        <v>-10.00417661</v>
      </c>
      <c r="BS210">
        <v>3.15</v>
      </c>
      <c r="BT210">
        <v>1.5</v>
      </c>
      <c r="BU210" t="s">
        <v>97</v>
      </c>
      <c r="BV210" t="s">
        <v>97</v>
      </c>
      <c r="BW210" t="s">
        <v>97</v>
      </c>
      <c r="BX210">
        <v>96.1</v>
      </c>
      <c r="BY210">
        <v>2470</v>
      </c>
      <c r="BZ210">
        <v>6.8</v>
      </c>
      <c r="CA210">
        <v>813036</v>
      </c>
      <c r="CB210">
        <v>669257</v>
      </c>
      <c r="CC210">
        <v>669257</v>
      </c>
      <c r="CD210">
        <v>518692</v>
      </c>
      <c r="CE210">
        <v>669242</v>
      </c>
      <c r="CF210">
        <v>571970</v>
      </c>
      <c r="CG210">
        <v>605141</v>
      </c>
      <c r="CH210">
        <v>571771</v>
      </c>
      <c r="CI210">
        <v>681624</v>
      </c>
      <c r="CJ210">
        <v>606192</v>
      </c>
      <c r="CK210">
        <v>53.7</v>
      </c>
      <c r="CL210" t="s">
        <v>97</v>
      </c>
      <c r="CM210" t="s">
        <v>97</v>
      </c>
      <c r="CN210" t="s">
        <v>97</v>
      </c>
      <c r="CO210" t="s">
        <v>97</v>
      </c>
      <c r="CP210" t="s">
        <v>97</v>
      </c>
      <c r="CQ210" t="s">
        <v>97</v>
      </c>
      <c r="CR210" t="s">
        <v>97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 t="s">
        <v>107</v>
      </c>
      <c r="DB210" t="s">
        <v>107</v>
      </c>
      <c r="DC210">
        <v>157</v>
      </c>
      <c r="DD210">
        <v>0</v>
      </c>
      <c r="DE210">
        <v>2.8000000000000001E-2</v>
      </c>
      <c r="DF210" t="s">
        <v>97</v>
      </c>
      <c r="DG210" t="s">
        <v>97</v>
      </c>
    </row>
    <row r="211" spans="1:111" x14ac:dyDescent="0.2">
      <c r="A211">
        <v>2025</v>
      </c>
      <c r="B211" s="1">
        <v>45943</v>
      </c>
      <c r="C211" t="s">
        <v>95</v>
      </c>
      <c r="D211">
        <v>605483</v>
      </c>
      <c r="E211">
        <v>683734</v>
      </c>
      <c r="F211">
        <v>1</v>
      </c>
      <c r="G211">
        <v>1</v>
      </c>
      <c r="H211">
        <v>2</v>
      </c>
      <c r="I211" t="s">
        <v>163</v>
      </c>
      <c r="J211">
        <v>13</v>
      </c>
      <c r="K211">
        <v>3</v>
      </c>
      <c r="L211" t="s">
        <v>119</v>
      </c>
      <c r="M211" t="s">
        <v>132</v>
      </c>
      <c r="N211" t="s">
        <v>133</v>
      </c>
      <c r="O211">
        <f t="shared" si="48"/>
        <v>0</v>
      </c>
      <c r="P211">
        <f t="shared" si="49"/>
        <v>0</v>
      </c>
      <c r="Q211">
        <f t="shared" si="50"/>
        <v>0</v>
      </c>
      <c r="R211">
        <f t="shared" si="51"/>
        <v>0</v>
      </c>
      <c r="S211">
        <f t="shared" si="52"/>
        <v>0</v>
      </c>
      <c r="T211">
        <f t="shared" si="53"/>
        <v>0</v>
      </c>
      <c r="U211">
        <f t="shared" si="54"/>
        <v>0</v>
      </c>
      <c r="V211">
        <f t="shared" si="55"/>
        <v>0</v>
      </c>
      <c r="W211">
        <f t="shared" si="56"/>
        <v>0</v>
      </c>
      <c r="X211">
        <f t="shared" si="57"/>
        <v>0</v>
      </c>
      <c r="Y211">
        <f t="shared" si="58"/>
        <v>1</v>
      </c>
      <c r="Z211">
        <f t="shared" si="59"/>
        <v>0</v>
      </c>
      <c r="AA211">
        <f t="shared" si="60"/>
        <v>0</v>
      </c>
      <c r="AB211">
        <f t="shared" si="61"/>
        <v>0</v>
      </c>
      <c r="AC211">
        <f t="shared" si="62"/>
        <v>0</v>
      </c>
      <c r="AD211">
        <f t="shared" si="63"/>
        <v>0</v>
      </c>
      <c r="AE211">
        <v>85.8</v>
      </c>
      <c r="AF211">
        <v>2.21</v>
      </c>
      <c r="AG211">
        <v>6.34</v>
      </c>
      <c r="AH211" t="s">
        <v>120</v>
      </c>
      <c r="AI211" t="s">
        <v>97</v>
      </c>
      <c r="AJ211" t="s">
        <v>97</v>
      </c>
      <c r="AK211" t="s">
        <v>97</v>
      </c>
      <c r="AL211" t="s">
        <v>97</v>
      </c>
      <c r="AM211">
        <v>9</v>
      </c>
      <c r="AN211" t="s">
        <v>195</v>
      </c>
      <c r="AO211" t="s">
        <v>103</v>
      </c>
      <c r="AP211" t="s">
        <v>122</v>
      </c>
      <c r="AQ211" t="s">
        <v>103</v>
      </c>
      <c r="AR211" t="s">
        <v>190</v>
      </c>
      <c r="AS211" t="s">
        <v>104</v>
      </c>
      <c r="AT211" t="s">
        <v>123</v>
      </c>
      <c r="AU211">
        <v>6</v>
      </c>
      <c r="AV211" t="s">
        <v>127</v>
      </c>
      <c r="AW211">
        <v>1.29</v>
      </c>
      <c r="AX211">
        <v>0.48</v>
      </c>
      <c r="AY211">
        <v>0.65</v>
      </c>
      <c r="AZ211">
        <v>1.58</v>
      </c>
      <c r="BA211" t="s">
        <v>97</v>
      </c>
      <c r="BB211" t="s">
        <v>97</v>
      </c>
      <c r="BC211" t="s">
        <v>97</v>
      </c>
      <c r="BD211">
        <v>1</v>
      </c>
      <c r="BE211">
        <v>112.43</v>
      </c>
      <c r="BF211">
        <v>142.25</v>
      </c>
      <c r="BG211" t="s">
        <v>97</v>
      </c>
      <c r="BH211" t="s">
        <v>97</v>
      </c>
      <c r="BI211">
        <v>669257</v>
      </c>
      <c r="BJ211">
        <v>669257</v>
      </c>
      <c r="BK211" t="s">
        <v>97</v>
      </c>
      <c r="BL211" t="s">
        <v>97</v>
      </c>
      <c r="BM211">
        <v>-6.3409601950000001</v>
      </c>
      <c r="BN211">
        <v>-124.6181248</v>
      </c>
      <c r="BO211">
        <v>-5.9519980879999999</v>
      </c>
      <c r="BP211">
        <v>14.721769500000001</v>
      </c>
      <c r="BQ211">
        <v>26.62804482</v>
      </c>
      <c r="BR211">
        <v>-26.154485680000001</v>
      </c>
      <c r="BS211">
        <v>3.16</v>
      </c>
      <c r="BT211">
        <v>1.49</v>
      </c>
      <c r="BU211">
        <v>133</v>
      </c>
      <c r="BV211">
        <v>80.3</v>
      </c>
      <c r="BW211">
        <v>11</v>
      </c>
      <c r="BX211">
        <v>86.3</v>
      </c>
      <c r="BY211">
        <v>1868</v>
      </c>
      <c r="BZ211">
        <v>6.8</v>
      </c>
      <c r="CA211">
        <v>813036</v>
      </c>
      <c r="CB211">
        <v>669257</v>
      </c>
      <c r="CC211">
        <v>669257</v>
      </c>
      <c r="CD211">
        <v>518692</v>
      </c>
      <c r="CE211">
        <v>669242</v>
      </c>
      <c r="CF211">
        <v>571970</v>
      </c>
      <c r="CG211">
        <v>605141</v>
      </c>
      <c r="CH211">
        <v>571771</v>
      </c>
      <c r="CI211">
        <v>681624</v>
      </c>
      <c r="CJ211">
        <v>606192</v>
      </c>
      <c r="CK211">
        <v>53.67</v>
      </c>
      <c r="CL211">
        <v>0.434</v>
      </c>
      <c r="CM211">
        <v>0.39100000000000001</v>
      </c>
      <c r="CN211">
        <v>0</v>
      </c>
      <c r="CO211">
        <v>1</v>
      </c>
      <c r="CP211">
        <v>0</v>
      </c>
      <c r="CQ211">
        <v>0</v>
      </c>
      <c r="CR211">
        <v>4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 t="s">
        <v>107</v>
      </c>
      <c r="DB211" t="s">
        <v>107</v>
      </c>
      <c r="DC211">
        <v>128</v>
      </c>
      <c r="DD211">
        <v>-1.6E-2</v>
      </c>
      <c r="DE211">
        <v>-0.24399999999999999</v>
      </c>
      <c r="DF211">
        <v>74.400000000000006</v>
      </c>
      <c r="DG211">
        <v>7.8</v>
      </c>
    </row>
    <row r="212" spans="1:111" x14ac:dyDescent="0.2">
      <c r="A212">
        <v>2025</v>
      </c>
      <c r="B212" s="1">
        <v>45943</v>
      </c>
      <c r="C212" t="s">
        <v>95</v>
      </c>
      <c r="D212">
        <v>605483</v>
      </c>
      <c r="E212">
        <v>686217</v>
      </c>
      <c r="F212">
        <v>0</v>
      </c>
      <c r="G212">
        <v>0</v>
      </c>
      <c r="H212">
        <v>2</v>
      </c>
      <c r="I212" t="s">
        <v>163</v>
      </c>
      <c r="J212">
        <v>14</v>
      </c>
      <c r="K212">
        <v>1</v>
      </c>
      <c r="L212" t="s">
        <v>97</v>
      </c>
      <c r="M212" t="s">
        <v>111</v>
      </c>
      <c r="N212" t="s">
        <v>112</v>
      </c>
      <c r="O212">
        <f t="shared" si="48"/>
        <v>0</v>
      </c>
      <c r="P212">
        <f t="shared" si="49"/>
        <v>0</v>
      </c>
      <c r="Q212">
        <f t="shared" si="50"/>
        <v>0</v>
      </c>
      <c r="R212">
        <f t="shared" si="51"/>
        <v>0</v>
      </c>
      <c r="S212">
        <f t="shared" si="52"/>
        <v>1</v>
      </c>
      <c r="T212">
        <f t="shared" si="53"/>
        <v>0</v>
      </c>
      <c r="U212">
        <f t="shared" si="54"/>
        <v>0</v>
      </c>
      <c r="V212">
        <f t="shared" si="55"/>
        <v>0</v>
      </c>
      <c r="W212">
        <f t="shared" si="56"/>
        <v>0</v>
      </c>
      <c r="X212">
        <f t="shared" si="57"/>
        <v>0</v>
      </c>
      <c r="Y212">
        <f t="shared" si="58"/>
        <v>0</v>
      </c>
      <c r="Z212">
        <f t="shared" si="59"/>
        <v>0</v>
      </c>
      <c r="AA212">
        <f t="shared" si="60"/>
        <v>0</v>
      </c>
      <c r="AB212">
        <f t="shared" si="61"/>
        <v>0</v>
      </c>
      <c r="AC212">
        <f t="shared" si="62"/>
        <v>0</v>
      </c>
      <c r="AD212">
        <f t="shared" si="63"/>
        <v>0</v>
      </c>
      <c r="AE212">
        <v>82</v>
      </c>
      <c r="AF212">
        <v>1.75</v>
      </c>
      <c r="AG212">
        <v>6.54</v>
      </c>
      <c r="AH212" t="s">
        <v>108</v>
      </c>
      <c r="AI212" t="s">
        <v>97</v>
      </c>
      <c r="AJ212" t="s">
        <v>97</v>
      </c>
      <c r="AK212" t="s">
        <v>97</v>
      </c>
      <c r="AL212" t="s">
        <v>97</v>
      </c>
      <c r="AM212">
        <v>1</v>
      </c>
      <c r="AN212" t="s">
        <v>109</v>
      </c>
      <c r="AO212" t="s">
        <v>103</v>
      </c>
      <c r="AP212" t="s">
        <v>103</v>
      </c>
      <c r="AQ212" t="s">
        <v>103</v>
      </c>
      <c r="AR212" t="s">
        <v>190</v>
      </c>
      <c r="AS212" t="s">
        <v>104</v>
      </c>
      <c r="AT212" t="s">
        <v>110</v>
      </c>
      <c r="AU212" t="s">
        <v>97</v>
      </c>
      <c r="AV212" t="s">
        <v>97</v>
      </c>
      <c r="AW212">
        <v>-0.83</v>
      </c>
      <c r="AX212">
        <v>-0.09</v>
      </c>
      <c r="AY212">
        <v>-0.54</v>
      </c>
      <c r="AZ212">
        <v>2.67</v>
      </c>
      <c r="BA212" t="s">
        <v>97</v>
      </c>
      <c r="BB212" t="s">
        <v>97</v>
      </c>
      <c r="BC212" t="s">
        <v>97</v>
      </c>
      <c r="BD212">
        <v>2</v>
      </c>
      <c r="BE212" t="s">
        <v>97</v>
      </c>
      <c r="BF212" t="s">
        <v>97</v>
      </c>
      <c r="BG212" t="s">
        <v>97</v>
      </c>
      <c r="BH212" t="s">
        <v>97</v>
      </c>
      <c r="BI212">
        <v>669257</v>
      </c>
      <c r="BJ212">
        <v>669257</v>
      </c>
      <c r="BK212" t="s">
        <v>97</v>
      </c>
      <c r="BL212" t="s">
        <v>97</v>
      </c>
      <c r="BM212">
        <v>-3.5974705490000001</v>
      </c>
      <c r="BN212">
        <v>-119.4080021</v>
      </c>
      <c r="BO212">
        <v>-1.9836186469999999</v>
      </c>
      <c r="BP212">
        <v>-7.1392217540000003</v>
      </c>
      <c r="BQ212">
        <v>24.91234223</v>
      </c>
      <c r="BR212">
        <v>-32.853698520000002</v>
      </c>
      <c r="BS212">
        <v>3.13</v>
      </c>
      <c r="BT212">
        <v>1.45</v>
      </c>
      <c r="BU212" t="s">
        <v>97</v>
      </c>
      <c r="BV212" t="s">
        <v>97</v>
      </c>
      <c r="BW212" t="s">
        <v>97</v>
      </c>
      <c r="BX212">
        <v>82.3</v>
      </c>
      <c r="BY212">
        <v>2612</v>
      </c>
      <c r="BZ212">
        <v>6.7</v>
      </c>
      <c r="CA212">
        <v>813036</v>
      </c>
      <c r="CB212">
        <v>669257</v>
      </c>
      <c r="CC212">
        <v>669257</v>
      </c>
      <c r="CD212">
        <v>518692</v>
      </c>
      <c r="CE212">
        <v>669242</v>
      </c>
      <c r="CF212">
        <v>571970</v>
      </c>
      <c r="CG212">
        <v>605141</v>
      </c>
      <c r="CH212">
        <v>571771</v>
      </c>
      <c r="CI212">
        <v>681624</v>
      </c>
      <c r="CJ212">
        <v>606192</v>
      </c>
      <c r="CK212">
        <v>53.83</v>
      </c>
      <c r="CL212" t="s">
        <v>97</v>
      </c>
      <c r="CM212" t="s">
        <v>97</v>
      </c>
      <c r="CN212" t="s">
        <v>97</v>
      </c>
      <c r="CO212" t="s">
        <v>97</v>
      </c>
      <c r="CP212" t="s">
        <v>97</v>
      </c>
      <c r="CQ212" t="s">
        <v>97</v>
      </c>
      <c r="CR212" t="s">
        <v>97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 t="s">
        <v>107</v>
      </c>
      <c r="DB212" t="s">
        <v>107</v>
      </c>
      <c r="DC212">
        <v>320</v>
      </c>
      <c r="DD212">
        <v>0</v>
      </c>
      <c r="DE212">
        <v>-4.2999999999999997E-2</v>
      </c>
      <c r="DF212" t="s">
        <v>97</v>
      </c>
      <c r="DG212" t="s">
        <v>97</v>
      </c>
    </row>
    <row r="213" spans="1:111" x14ac:dyDescent="0.2">
      <c r="A213">
        <v>2025</v>
      </c>
      <c r="B213" s="1">
        <v>45943</v>
      </c>
      <c r="C213" t="s">
        <v>95</v>
      </c>
      <c r="D213">
        <v>605483</v>
      </c>
      <c r="E213">
        <v>686217</v>
      </c>
      <c r="F213">
        <v>0</v>
      </c>
      <c r="G213">
        <v>1</v>
      </c>
      <c r="H213">
        <v>2</v>
      </c>
      <c r="I213" t="s">
        <v>163</v>
      </c>
      <c r="J213">
        <v>14</v>
      </c>
      <c r="K213">
        <v>2</v>
      </c>
      <c r="L213" t="s">
        <v>97</v>
      </c>
      <c r="M213" t="s">
        <v>111</v>
      </c>
      <c r="N213" t="s">
        <v>112</v>
      </c>
      <c r="O213">
        <f t="shared" si="48"/>
        <v>0</v>
      </c>
      <c r="P213">
        <f t="shared" si="49"/>
        <v>0</v>
      </c>
      <c r="Q213">
        <f t="shared" si="50"/>
        <v>0</v>
      </c>
      <c r="R213">
        <f t="shared" si="51"/>
        <v>0</v>
      </c>
      <c r="S213">
        <f t="shared" si="52"/>
        <v>1</v>
      </c>
      <c r="T213">
        <f t="shared" si="53"/>
        <v>0</v>
      </c>
      <c r="U213">
        <f t="shared" si="54"/>
        <v>0</v>
      </c>
      <c r="V213">
        <f t="shared" si="55"/>
        <v>0</v>
      </c>
      <c r="W213">
        <f t="shared" si="56"/>
        <v>0</v>
      </c>
      <c r="X213">
        <f t="shared" si="57"/>
        <v>0</v>
      </c>
      <c r="Y213">
        <f t="shared" si="58"/>
        <v>0</v>
      </c>
      <c r="Z213">
        <f t="shared" si="59"/>
        <v>0</v>
      </c>
      <c r="AA213">
        <f t="shared" si="60"/>
        <v>0</v>
      </c>
      <c r="AB213">
        <f t="shared" si="61"/>
        <v>0</v>
      </c>
      <c r="AC213">
        <f t="shared" si="62"/>
        <v>0</v>
      </c>
      <c r="AD213">
        <f t="shared" si="63"/>
        <v>0</v>
      </c>
      <c r="AE213">
        <v>83.1</v>
      </c>
      <c r="AF213">
        <v>1.93</v>
      </c>
      <c r="AG213">
        <v>6.55</v>
      </c>
      <c r="AH213" t="s">
        <v>108</v>
      </c>
      <c r="AI213" t="s">
        <v>97</v>
      </c>
      <c r="AJ213" t="s">
        <v>97</v>
      </c>
      <c r="AK213" t="s">
        <v>97</v>
      </c>
      <c r="AL213" t="s">
        <v>97</v>
      </c>
      <c r="AM213">
        <v>6</v>
      </c>
      <c r="AN213" t="s">
        <v>109</v>
      </c>
      <c r="AO213" t="s">
        <v>103</v>
      </c>
      <c r="AP213" t="s">
        <v>103</v>
      </c>
      <c r="AQ213" t="s">
        <v>103</v>
      </c>
      <c r="AR213" t="s">
        <v>190</v>
      </c>
      <c r="AS213" t="s">
        <v>104</v>
      </c>
      <c r="AT213" t="s">
        <v>110</v>
      </c>
      <c r="AU213" t="s">
        <v>97</v>
      </c>
      <c r="AV213" t="s">
        <v>97</v>
      </c>
      <c r="AW213">
        <v>-1.05</v>
      </c>
      <c r="AX213">
        <v>-0.35</v>
      </c>
      <c r="AY213">
        <v>0.37</v>
      </c>
      <c r="AZ213">
        <v>2.29</v>
      </c>
      <c r="BA213" t="s">
        <v>97</v>
      </c>
      <c r="BB213" t="s">
        <v>97</v>
      </c>
      <c r="BC213" t="s">
        <v>97</v>
      </c>
      <c r="BD213">
        <v>2</v>
      </c>
      <c r="BE213" t="s">
        <v>97</v>
      </c>
      <c r="BF213" t="s">
        <v>97</v>
      </c>
      <c r="BG213" t="s">
        <v>97</v>
      </c>
      <c r="BH213" t="s">
        <v>97</v>
      </c>
      <c r="BI213">
        <v>669257</v>
      </c>
      <c r="BJ213">
        <v>669257</v>
      </c>
      <c r="BK213" t="s">
        <v>97</v>
      </c>
      <c r="BL213" t="s">
        <v>97</v>
      </c>
      <c r="BM213">
        <v>-1.525211273</v>
      </c>
      <c r="BN213">
        <v>-120.9072103</v>
      </c>
      <c r="BO213">
        <v>-2.5152236179999998</v>
      </c>
      <c r="BP213">
        <v>-9.793380719</v>
      </c>
      <c r="BQ213">
        <v>27.24918864</v>
      </c>
      <c r="BR213">
        <v>-35.287538750000003</v>
      </c>
      <c r="BS213">
        <v>3.1</v>
      </c>
      <c r="BT213">
        <v>1.44</v>
      </c>
      <c r="BU213" t="s">
        <v>97</v>
      </c>
      <c r="BV213" t="s">
        <v>97</v>
      </c>
      <c r="BW213" t="s">
        <v>97</v>
      </c>
      <c r="BX213">
        <v>83.1</v>
      </c>
      <c r="BY213">
        <v>2595</v>
      </c>
      <c r="BZ213">
        <v>6.7</v>
      </c>
      <c r="CA213">
        <v>813036</v>
      </c>
      <c r="CB213">
        <v>669257</v>
      </c>
      <c r="CC213">
        <v>669257</v>
      </c>
      <c r="CD213">
        <v>518692</v>
      </c>
      <c r="CE213">
        <v>669242</v>
      </c>
      <c r="CF213">
        <v>571970</v>
      </c>
      <c r="CG213">
        <v>605141</v>
      </c>
      <c r="CH213">
        <v>571771</v>
      </c>
      <c r="CI213">
        <v>681624</v>
      </c>
      <c r="CJ213">
        <v>606192</v>
      </c>
      <c r="CK213">
        <v>53.83</v>
      </c>
      <c r="CL213" t="s">
        <v>97</v>
      </c>
      <c r="CM213" t="s">
        <v>97</v>
      </c>
      <c r="CN213" t="s">
        <v>97</v>
      </c>
      <c r="CO213" t="s">
        <v>97</v>
      </c>
      <c r="CP213" t="s">
        <v>97</v>
      </c>
      <c r="CQ213" t="s">
        <v>97</v>
      </c>
      <c r="CR213" t="s">
        <v>97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 t="s">
        <v>107</v>
      </c>
      <c r="DB213" t="s">
        <v>107</v>
      </c>
      <c r="DC213">
        <v>317</v>
      </c>
      <c r="DD213">
        <v>0</v>
      </c>
      <c r="DE213">
        <v>-5.7000000000000002E-2</v>
      </c>
      <c r="DF213" t="s">
        <v>97</v>
      </c>
      <c r="DG213" t="s">
        <v>97</v>
      </c>
    </row>
    <row r="214" spans="1:111" x14ac:dyDescent="0.2">
      <c r="A214">
        <v>2025</v>
      </c>
      <c r="B214" s="1">
        <v>45943</v>
      </c>
      <c r="C214" t="s">
        <v>95</v>
      </c>
      <c r="D214">
        <v>605483</v>
      </c>
      <c r="E214">
        <v>686217</v>
      </c>
      <c r="F214">
        <v>0</v>
      </c>
      <c r="G214">
        <v>2</v>
      </c>
      <c r="H214">
        <v>2</v>
      </c>
      <c r="I214" t="s">
        <v>163</v>
      </c>
      <c r="J214">
        <v>14</v>
      </c>
      <c r="K214">
        <v>3</v>
      </c>
      <c r="L214" t="s">
        <v>97</v>
      </c>
      <c r="M214" t="s">
        <v>111</v>
      </c>
      <c r="N214" t="s">
        <v>112</v>
      </c>
      <c r="O214">
        <f t="shared" si="48"/>
        <v>0</v>
      </c>
      <c r="P214">
        <f t="shared" si="49"/>
        <v>0</v>
      </c>
      <c r="Q214">
        <f t="shared" si="50"/>
        <v>0</v>
      </c>
      <c r="R214">
        <f t="shared" si="51"/>
        <v>0</v>
      </c>
      <c r="S214">
        <f t="shared" si="52"/>
        <v>0</v>
      </c>
      <c r="T214">
        <f t="shared" si="53"/>
        <v>1</v>
      </c>
      <c r="U214">
        <f t="shared" si="54"/>
        <v>0</v>
      </c>
      <c r="V214">
        <f t="shared" si="55"/>
        <v>0</v>
      </c>
      <c r="W214">
        <f t="shared" si="56"/>
        <v>0</v>
      </c>
      <c r="X214">
        <f t="shared" si="57"/>
        <v>0</v>
      </c>
      <c r="Y214">
        <f t="shared" si="58"/>
        <v>0</v>
      </c>
      <c r="Z214">
        <f t="shared" si="59"/>
        <v>0</v>
      </c>
      <c r="AA214">
        <f t="shared" si="60"/>
        <v>0</v>
      </c>
      <c r="AB214">
        <f t="shared" si="61"/>
        <v>0</v>
      </c>
      <c r="AC214">
        <f t="shared" si="62"/>
        <v>0</v>
      </c>
      <c r="AD214">
        <f t="shared" si="63"/>
        <v>0</v>
      </c>
      <c r="AE214">
        <v>83.5</v>
      </c>
      <c r="AF214">
        <v>1.85</v>
      </c>
      <c r="AG214">
        <v>6.44</v>
      </c>
      <c r="AH214" t="s">
        <v>100</v>
      </c>
      <c r="AI214" t="s">
        <v>97</v>
      </c>
      <c r="AJ214" t="s">
        <v>97</v>
      </c>
      <c r="AK214" t="s">
        <v>97</v>
      </c>
      <c r="AL214" t="s">
        <v>97</v>
      </c>
      <c r="AM214">
        <v>13</v>
      </c>
      <c r="AN214" t="s">
        <v>101</v>
      </c>
      <c r="AO214" t="s">
        <v>103</v>
      </c>
      <c r="AP214" t="s">
        <v>103</v>
      </c>
      <c r="AQ214" t="s">
        <v>103</v>
      </c>
      <c r="AR214" t="s">
        <v>190</v>
      </c>
      <c r="AS214" t="s">
        <v>104</v>
      </c>
      <c r="AT214" t="s">
        <v>106</v>
      </c>
      <c r="AU214" t="s">
        <v>97</v>
      </c>
      <c r="AV214" t="s">
        <v>97</v>
      </c>
      <c r="AW214">
        <v>-0.73</v>
      </c>
      <c r="AX214">
        <v>-0.1</v>
      </c>
      <c r="AY214">
        <v>-0.32</v>
      </c>
      <c r="AZ214">
        <v>-7.0000000000000007E-2</v>
      </c>
      <c r="BA214" t="s">
        <v>97</v>
      </c>
      <c r="BB214" t="s">
        <v>97</v>
      </c>
      <c r="BC214" t="s">
        <v>97</v>
      </c>
      <c r="BD214">
        <v>2</v>
      </c>
      <c r="BE214" t="s">
        <v>97</v>
      </c>
      <c r="BF214" t="s">
        <v>97</v>
      </c>
      <c r="BG214" t="s">
        <v>97</v>
      </c>
      <c r="BH214" t="s">
        <v>97</v>
      </c>
      <c r="BI214">
        <v>669257</v>
      </c>
      <c r="BJ214">
        <v>669257</v>
      </c>
      <c r="BK214" t="s">
        <v>97</v>
      </c>
      <c r="BL214" t="s">
        <v>97</v>
      </c>
      <c r="BM214">
        <v>-3.585891943</v>
      </c>
      <c r="BN214">
        <v>-121.3031027</v>
      </c>
      <c r="BO214">
        <v>-8.3296508629999995</v>
      </c>
      <c r="BP214">
        <v>-6.4042977260000002</v>
      </c>
      <c r="BQ214">
        <v>25.73320885</v>
      </c>
      <c r="BR214">
        <v>-31.60003541</v>
      </c>
      <c r="BS214">
        <v>3.15</v>
      </c>
      <c r="BT214">
        <v>1.44</v>
      </c>
      <c r="BU214" t="s">
        <v>97</v>
      </c>
      <c r="BV214" t="s">
        <v>97</v>
      </c>
      <c r="BW214" t="s">
        <v>97</v>
      </c>
      <c r="BX214">
        <v>83.8</v>
      </c>
      <c r="BY214">
        <v>2555</v>
      </c>
      <c r="BZ214">
        <v>6.8</v>
      </c>
      <c r="CA214">
        <v>813036</v>
      </c>
      <c r="CB214">
        <v>669257</v>
      </c>
      <c r="CC214">
        <v>669257</v>
      </c>
      <c r="CD214">
        <v>518692</v>
      </c>
      <c r="CE214">
        <v>669242</v>
      </c>
      <c r="CF214">
        <v>571970</v>
      </c>
      <c r="CG214">
        <v>605141</v>
      </c>
      <c r="CH214">
        <v>571771</v>
      </c>
      <c r="CI214">
        <v>681624</v>
      </c>
      <c r="CJ214">
        <v>606192</v>
      </c>
      <c r="CK214">
        <v>53.71</v>
      </c>
      <c r="CL214" t="s">
        <v>97</v>
      </c>
      <c r="CM214" t="s">
        <v>97</v>
      </c>
      <c r="CN214" t="s">
        <v>97</v>
      </c>
      <c r="CO214" t="s">
        <v>97</v>
      </c>
      <c r="CP214" t="s">
        <v>97</v>
      </c>
      <c r="CQ214" t="s">
        <v>97</v>
      </c>
      <c r="CR214" t="s">
        <v>97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 t="s">
        <v>107</v>
      </c>
      <c r="DB214" t="s">
        <v>107</v>
      </c>
      <c r="DC214">
        <v>320</v>
      </c>
      <c r="DD214">
        <v>0</v>
      </c>
      <c r="DE214">
        <v>2.1999999999999999E-2</v>
      </c>
      <c r="DF214" t="s">
        <v>97</v>
      </c>
      <c r="DG214" t="s">
        <v>97</v>
      </c>
    </row>
    <row r="215" spans="1:111" x14ac:dyDescent="0.2">
      <c r="A215">
        <v>2025</v>
      </c>
      <c r="B215" s="1">
        <v>45943</v>
      </c>
      <c r="C215" t="s">
        <v>95</v>
      </c>
      <c r="D215">
        <v>605483</v>
      </c>
      <c r="E215">
        <v>686217</v>
      </c>
      <c r="F215">
        <v>1</v>
      </c>
      <c r="G215">
        <v>2</v>
      </c>
      <c r="H215">
        <v>2</v>
      </c>
      <c r="I215" t="s">
        <v>163</v>
      </c>
      <c r="J215">
        <v>14</v>
      </c>
      <c r="K215">
        <v>4</v>
      </c>
      <c r="L215" t="s">
        <v>97</v>
      </c>
      <c r="M215" t="s">
        <v>98</v>
      </c>
      <c r="N215" t="s">
        <v>99</v>
      </c>
      <c r="O215">
        <f t="shared" si="48"/>
        <v>0</v>
      </c>
      <c r="P215">
        <f t="shared" si="49"/>
        <v>0</v>
      </c>
      <c r="Q215">
        <f t="shared" si="50"/>
        <v>1</v>
      </c>
      <c r="R215">
        <f t="shared" si="51"/>
        <v>0</v>
      </c>
      <c r="S215">
        <f t="shared" si="52"/>
        <v>0</v>
      </c>
      <c r="T215">
        <f t="shared" si="53"/>
        <v>0</v>
      </c>
      <c r="U215">
        <f t="shared" si="54"/>
        <v>0</v>
      </c>
      <c r="V215">
        <f t="shared" si="55"/>
        <v>0</v>
      </c>
      <c r="W215">
        <f t="shared" si="56"/>
        <v>0</v>
      </c>
      <c r="X215">
        <f t="shared" si="57"/>
        <v>0</v>
      </c>
      <c r="Y215">
        <f t="shared" si="58"/>
        <v>0</v>
      </c>
      <c r="Z215">
        <f t="shared" si="59"/>
        <v>0</v>
      </c>
      <c r="AA215">
        <f t="shared" si="60"/>
        <v>0</v>
      </c>
      <c r="AB215">
        <f t="shared" si="61"/>
        <v>0</v>
      </c>
      <c r="AC215">
        <f t="shared" si="62"/>
        <v>0</v>
      </c>
      <c r="AD215">
        <f t="shared" si="63"/>
        <v>0</v>
      </c>
      <c r="AE215">
        <v>97.1</v>
      </c>
      <c r="AF215">
        <v>1.94</v>
      </c>
      <c r="AG215">
        <v>6.52</v>
      </c>
      <c r="AH215" t="s">
        <v>100</v>
      </c>
      <c r="AI215" t="s">
        <v>97</v>
      </c>
      <c r="AJ215" t="s">
        <v>97</v>
      </c>
      <c r="AK215" t="s">
        <v>97</v>
      </c>
      <c r="AL215" t="s">
        <v>97</v>
      </c>
      <c r="AM215">
        <v>12</v>
      </c>
      <c r="AN215" t="s">
        <v>101</v>
      </c>
      <c r="AO215" t="s">
        <v>103</v>
      </c>
      <c r="AP215" t="s">
        <v>103</v>
      </c>
      <c r="AQ215" t="s">
        <v>103</v>
      </c>
      <c r="AR215" t="s">
        <v>190</v>
      </c>
      <c r="AS215" t="s">
        <v>104</v>
      </c>
      <c r="AT215" t="s">
        <v>106</v>
      </c>
      <c r="AU215" t="s">
        <v>97</v>
      </c>
      <c r="AV215" t="s">
        <v>97</v>
      </c>
      <c r="AW215">
        <v>0.32</v>
      </c>
      <c r="AX215">
        <v>1.69</v>
      </c>
      <c r="AY215">
        <v>0.32</v>
      </c>
      <c r="AZ215">
        <v>5.13</v>
      </c>
      <c r="BA215" t="s">
        <v>97</v>
      </c>
      <c r="BB215" t="s">
        <v>97</v>
      </c>
      <c r="BC215" t="s">
        <v>97</v>
      </c>
      <c r="BD215">
        <v>2</v>
      </c>
      <c r="BE215" t="s">
        <v>97</v>
      </c>
      <c r="BF215" t="s">
        <v>97</v>
      </c>
      <c r="BG215" t="s">
        <v>97</v>
      </c>
      <c r="BH215" t="s">
        <v>97</v>
      </c>
      <c r="BI215">
        <v>669257</v>
      </c>
      <c r="BJ215">
        <v>669257</v>
      </c>
      <c r="BK215" t="s">
        <v>97</v>
      </c>
      <c r="BL215" t="s">
        <v>97</v>
      </c>
      <c r="BM215">
        <v>-5.1099624649999997</v>
      </c>
      <c r="BN215">
        <v>-141.31331829999999</v>
      </c>
      <c r="BO215">
        <v>-2.0020668540000002</v>
      </c>
      <c r="BP215">
        <v>5.5085966129999999</v>
      </c>
      <c r="BQ215">
        <v>35.729949079999997</v>
      </c>
      <c r="BR215">
        <v>-9.4954789989999995</v>
      </c>
      <c r="BS215">
        <v>3.15</v>
      </c>
      <c r="BT215">
        <v>1.44</v>
      </c>
      <c r="BU215" t="s">
        <v>97</v>
      </c>
      <c r="BV215" t="s">
        <v>97</v>
      </c>
      <c r="BW215" t="s">
        <v>97</v>
      </c>
      <c r="BX215">
        <v>97.5</v>
      </c>
      <c r="BY215">
        <v>2502</v>
      </c>
      <c r="BZ215">
        <v>6.8</v>
      </c>
      <c r="CA215">
        <v>813036</v>
      </c>
      <c r="CB215">
        <v>669257</v>
      </c>
      <c r="CC215">
        <v>669257</v>
      </c>
      <c r="CD215">
        <v>518692</v>
      </c>
      <c r="CE215">
        <v>669242</v>
      </c>
      <c r="CF215">
        <v>571970</v>
      </c>
      <c r="CG215">
        <v>605141</v>
      </c>
      <c r="CH215">
        <v>571771</v>
      </c>
      <c r="CI215">
        <v>681624</v>
      </c>
      <c r="CJ215">
        <v>606192</v>
      </c>
      <c r="CK215">
        <v>53.72</v>
      </c>
      <c r="CL215" t="s">
        <v>97</v>
      </c>
      <c r="CM215" t="s">
        <v>97</v>
      </c>
      <c r="CN215" t="s">
        <v>97</v>
      </c>
      <c r="CO215" t="s">
        <v>97</v>
      </c>
      <c r="CP215" t="s">
        <v>97</v>
      </c>
      <c r="CQ215" t="s">
        <v>97</v>
      </c>
      <c r="CR215" t="s">
        <v>97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 t="s">
        <v>115</v>
      </c>
      <c r="DB215" t="s">
        <v>107</v>
      </c>
      <c r="DC215">
        <v>159</v>
      </c>
      <c r="DD215">
        <v>0</v>
      </c>
      <c r="DE215">
        <v>4.2000000000000003E-2</v>
      </c>
      <c r="DF215" t="s">
        <v>97</v>
      </c>
      <c r="DG215" t="s">
        <v>97</v>
      </c>
    </row>
    <row r="216" spans="1:111" x14ac:dyDescent="0.2">
      <c r="A216">
        <v>2025</v>
      </c>
      <c r="B216" s="1">
        <v>45943</v>
      </c>
      <c r="C216" t="s">
        <v>95</v>
      </c>
      <c r="D216">
        <v>605483</v>
      </c>
      <c r="E216">
        <v>686217</v>
      </c>
      <c r="F216">
        <v>2</v>
      </c>
      <c r="G216">
        <v>2</v>
      </c>
      <c r="H216">
        <v>2</v>
      </c>
      <c r="I216" t="s">
        <v>163</v>
      </c>
      <c r="J216">
        <v>14</v>
      </c>
      <c r="K216">
        <v>5</v>
      </c>
      <c r="L216" t="s">
        <v>97</v>
      </c>
      <c r="M216" t="s">
        <v>132</v>
      </c>
      <c r="N216" t="s">
        <v>133</v>
      </c>
      <c r="O216">
        <f t="shared" si="48"/>
        <v>0</v>
      </c>
      <c r="P216">
        <f t="shared" si="49"/>
        <v>0</v>
      </c>
      <c r="Q216">
        <f t="shared" si="50"/>
        <v>0</v>
      </c>
      <c r="R216">
        <f t="shared" si="51"/>
        <v>0</v>
      </c>
      <c r="S216">
        <f t="shared" si="52"/>
        <v>0</v>
      </c>
      <c r="T216">
        <f t="shared" si="53"/>
        <v>0</v>
      </c>
      <c r="U216">
        <f t="shared" si="54"/>
        <v>0</v>
      </c>
      <c r="V216">
        <f t="shared" si="55"/>
        <v>0</v>
      </c>
      <c r="W216">
        <f t="shared" si="56"/>
        <v>0</v>
      </c>
      <c r="X216">
        <f t="shared" si="57"/>
        <v>0</v>
      </c>
      <c r="Y216">
        <f t="shared" si="58"/>
        <v>1</v>
      </c>
      <c r="Z216">
        <f t="shared" si="59"/>
        <v>0</v>
      </c>
      <c r="AA216">
        <f t="shared" si="60"/>
        <v>0</v>
      </c>
      <c r="AB216">
        <f t="shared" si="61"/>
        <v>0</v>
      </c>
      <c r="AC216">
        <f t="shared" si="62"/>
        <v>0</v>
      </c>
      <c r="AD216">
        <f t="shared" si="63"/>
        <v>0</v>
      </c>
      <c r="AE216">
        <v>86</v>
      </c>
      <c r="AF216">
        <v>2.27</v>
      </c>
      <c r="AG216">
        <v>6.3</v>
      </c>
      <c r="AH216" t="s">
        <v>100</v>
      </c>
      <c r="AI216" t="s">
        <v>97</v>
      </c>
      <c r="AJ216" t="s">
        <v>97</v>
      </c>
      <c r="AK216" t="s">
        <v>97</v>
      </c>
      <c r="AL216" t="s">
        <v>97</v>
      </c>
      <c r="AM216">
        <v>14</v>
      </c>
      <c r="AN216" t="s">
        <v>101</v>
      </c>
      <c r="AO216" t="s">
        <v>103</v>
      </c>
      <c r="AP216" t="s">
        <v>103</v>
      </c>
      <c r="AQ216" t="s">
        <v>103</v>
      </c>
      <c r="AR216" t="s">
        <v>190</v>
      </c>
      <c r="AS216" t="s">
        <v>104</v>
      </c>
      <c r="AT216" t="s">
        <v>106</v>
      </c>
      <c r="AU216" t="s">
        <v>97</v>
      </c>
      <c r="AV216" t="s">
        <v>97</v>
      </c>
      <c r="AW216">
        <v>1.29</v>
      </c>
      <c r="AX216">
        <v>0.74</v>
      </c>
      <c r="AY216">
        <v>1.53</v>
      </c>
      <c r="AZ216">
        <v>2.15</v>
      </c>
      <c r="BA216" t="s">
        <v>97</v>
      </c>
      <c r="BB216" t="s">
        <v>97</v>
      </c>
      <c r="BC216" t="s">
        <v>97</v>
      </c>
      <c r="BD216">
        <v>2</v>
      </c>
      <c r="BE216" t="s">
        <v>97</v>
      </c>
      <c r="BF216" t="s">
        <v>97</v>
      </c>
      <c r="BG216" t="s">
        <v>97</v>
      </c>
      <c r="BH216" t="s">
        <v>97</v>
      </c>
      <c r="BI216">
        <v>669257</v>
      </c>
      <c r="BJ216">
        <v>669257</v>
      </c>
      <c r="BK216" t="s">
        <v>97</v>
      </c>
      <c r="BL216" t="s">
        <v>97</v>
      </c>
      <c r="BM216">
        <v>-4.4022825020000003</v>
      </c>
      <c r="BN216">
        <v>-125.0670717</v>
      </c>
      <c r="BO216">
        <v>-5.1218665860000003</v>
      </c>
      <c r="BP216">
        <v>14.377370490000001</v>
      </c>
      <c r="BQ216">
        <v>26.268306679999998</v>
      </c>
      <c r="BR216">
        <v>-23.513345770000001</v>
      </c>
      <c r="BS216">
        <v>3.17</v>
      </c>
      <c r="BT216">
        <v>1.44</v>
      </c>
      <c r="BU216" t="s">
        <v>97</v>
      </c>
      <c r="BV216" t="s">
        <v>97</v>
      </c>
      <c r="BW216" t="s">
        <v>97</v>
      </c>
      <c r="BX216">
        <v>86.6</v>
      </c>
      <c r="BY216">
        <v>1793</v>
      </c>
      <c r="BZ216">
        <v>6.8</v>
      </c>
      <c r="CA216">
        <v>813036</v>
      </c>
      <c r="CB216">
        <v>669257</v>
      </c>
      <c r="CC216">
        <v>669257</v>
      </c>
      <c r="CD216">
        <v>518692</v>
      </c>
      <c r="CE216">
        <v>669242</v>
      </c>
      <c r="CF216">
        <v>571970</v>
      </c>
      <c r="CG216">
        <v>605141</v>
      </c>
      <c r="CH216">
        <v>571771</v>
      </c>
      <c r="CI216">
        <v>681624</v>
      </c>
      <c r="CJ216">
        <v>606192</v>
      </c>
      <c r="CK216">
        <v>53.71</v>
      </c>
      <c r="CL216" t="s">
        <v>97</v>
      </c>
      <c r="CM216" t="s">
        <v>97</v>
      </c>
      <c r="CN216" t="s">
        <v>97</v>
      </c>
      <c r="CO216" t="s">
        <v>97</v>
      </c>
      <c r="CP216" t="s">
        <v>97</v>
      </c>
      <c r="CQ216" t="s">
        <v>97</v>
      </c>
      <c r="CR216" t="s">
        <v>97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 t="s">
        <v>115</v>
      </c>
      <c r="DB216" t="s">
        <v>107</v>
      </c>
      <c r="DC216">
        <v>131</v>
      </c>
      <c r="DD216">
        <v>0</v>
      </c>
      <c r="DE216">
        <v>0.104</v>
      </c>
      <c r="DF216" t="s">
        <v>97</v>
      </c>
      <c r="DG216" t="s">
        <v>97</v>
      </c>
    </row>
    <row r="217" spans="1:111" x14ac:dyDescent="0.2">
      <c r="A217">
        <v>2025</v>
      </c>
      <c r="B217" s="1">
        <v>45943</v>
      </c>
      <c r="C217" t="s">
        <v>95</v>
      </c>
      <c r="D217">
        <v>605483</v>
      </c>
      <c r="E217">
        <v>686217</v>
      </c>
      <c r="F217">
        <v>3</v>
      </c>
      <c r="G217">
        <v>2</v>
      </c>
      <c r="H217">
        <v>2</v>
      </c>
      <c r="I217" t="s">
        <v>163</v>
      </c>
      <c r="J217">
        <v>14</v>
      </c>
      <c r="K217">
        <v>6</v>
      </c>
      <c r="L217" t="s">
        <v>119</v>
      </c>
      <c r="M217" t="s">
        <v>111</v>
      </c>
      <c r="N217" t="s">
        <v>112</v>
      </c>
      <c r="O217">
        <f t="shared" si="48"/>
        <v>0</v>
      </c>
      <c r="P217">
        <f t="shared" si="49"/>
        <v>0</v>
      </c>
      <c r="Q217">
        <f t="shared" si="50"/>
        <v>0</v>
      </c>
      <c r="R217">
        <f t="shared" si="51"/>
        <v>0</v>
      </c>
      <c r="S217">
        <f t="shared" si="52"/>
        <v>0</v>
      </c>
      <c r="T217">
        <f t="shared" si="53"/>
        <v>1</v>
      </c>
      <c r="U217">
        <f t="shared" si="54"/>
        <v>0</v>
      </c>
      <c r="V217">
        <f t="shared" si="55"/>
        <v>0</v>
      </c>
      <c r="W217">
        <f t="shared" si="56"/>
        <v>0</v>
      </c>
      <c r="X217">
        <f t="shared" si="57"/>
        <v>0</v>
      </c>
      <c r="Y217">
        <f t="shared" si="58"/>
        <v>0</v>
      </c>
      <c r="Z217">
        <f t="shared" si="59"/>
        <v>0</v>
      </c>
      <c r="AA217">
        <f t="shared" si="60"/>
        <v>0</v>
      </c>
      <c r="AB217">
        <f t="shared" si="61"/>
        <v>0</v>
      </c>
      <c r="AC217">
        <f t="shared" si="62"/>
        <v>0</v>
      </c>
      <c r="AD217">
        <f t="shared" si="63"/>
        <v>0</v>
      </c>
      <c r="AE217">
        <v>82.8</v>
      </c>
      <c r="AF217">
        <v>1.87</v>
      </c>
      <c r="AG217">
        <v>6.56</v>
      </c>
      <c r="AH217" t="s">
        <v>120</v>
      </c>
      <c r="AI217" t="s">
        <v>97</v>
      </c>
      <c r="AJ217" t="s">
        <v>97</v>
      </c>
      <c r="AK217" t="s">
        <v>97</v>
      </c>
      <c r="AL217" t="s">
        <v>97</v>
      </c>
      <c r="AM217">
        <v>4</v>
      </c>
      <c r="AN217" t="s">
        <v>196</v>
      </c>
      <c r="AO217" t="s">
        <v>103</v>
      </c>
      <c r="AP217" t="s">
        <v>103</v>
      </c>
      <c r="AQ217" t="s">
        <v>103</v>
      </c>
      <c r="AR217" t="s">
        <v>190</v>
      </c>
      <c r="AS217" t="s">
        <v>104</v>
      </c>
      <c r="AT217" t="s">
        <v>123</v>
      </c>
      <c r="AU217">
        <v>8</v>
      </c>
      <c r="AV217" t="s">
        <v>124</v>
      </c>
      <c r="AW217">
        <v>-1.04</v>
      </c>
      <c r="AX217">
        <v>-0.31</v>
      </c>
      <c r="AY217">
        <v>-0.28999999999999998</v>
      </c>
      <c r="AZ217">
        <v>2.35</v>
      </c>
      <c r="BA217" t="s">
        <v>97</v>
      </c>
      <c r="BB217" t="s">
        <v>97</v>
      </c>
      <c r="BC217" t="s">
        <v>97</v>
      </c>
      <c r="BD217">
        <v>2</v>
      </c>
      <c r="BE217">
        <v>131.08000000000001</v>
      </c>
      <c r="BF217">
        <v>82.84</v>
      </c>
      <c r="BG217" t="s">
        <v>97</v>
      </c>
      <c r="BH217" t="s">
        <v>97</v>
      </c>
      <c r="BI217">
        <v>669257</v>
      </c>
      <c r="BJ217">
        <v>669257</v>
      </c>
      <c r="BK217" t="s">
        <v>97</v>
      </c>
      <c r="BL217" t="s">
        <v>97</v>
      </c>
      <c r="BM217">
        <v>-2.9509335280000002</v>
      </c>
      <c r="BN217">
        <v>-120.58715599999999</v>
      </c>
      <c r="BO217">
        <v>-2.4614927579999999</v>
      </c>
      <c r="BP217">
        <v>-9.3937670220000005</v>
      </c>
      <c r="BQ217">
        <v>25.92007499</v>
      </c>
      <c r="BR217">
        <v>-34.895307099999997</v>
      </c>
      <c r="BS217">
        <v>3.06</v>
      </c>
      <c r="BT217">
        <v>1.44</v>
      </c>
      <c r="BU217">
        <v>290</v>
      </c>
      <c r="BV217">
        <v>87.4</v>
      </c>
      <c r="BW217">
        <v>40</v>
      </c>
      <c r="BX217">
        <v>83.2</v>
      </c>
      <c r="BY217">
        <v>2614</v>
      </c>
      <c r="BZ217">
        <v>6.8</v>
      </c>
      <c r="CA217">
        <v>813036</v>
      </c>
      <c r="CB217">
        <v>669257</v>
      </c>
      <c r="CC217">
        <v>669257</v>
      </c>
      <c r="CD217">
        <v>518692</v>
      </c>
      <c r="CE217">
        <v>669242</v>
      </c>
      <c r="CF217">
        <v>571970</v>
      </c>
      <c r="CG217">
        <v>605141</v>
      </c>
      <c r="CH217">
        <v>571771</v>
      </c>
      <c r="CI217">
        <v>681624</v>
      </c>
      <c r="CJ217">
        <v>606192</v>
      </c>
      <c r="CK217">
        <v>53.73</v>
      </c>
      <c r="CL217">
        <v>3.0000000000000001E-3</v>
      </c>
      <c r="CM217">
        <v>3.0000000000000001E-3</v>
      </c>
      <c r="CN217">
        <v>0</v>
      </c>
      <c r="CO217">
        <v>1</v>
      </c>
      <c r="CP217">
        <v>0</v>
      </c>
      <c r="CQ217">
        <v>0</v>
      </c>
      <c r="CR217">
        <v>3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 t="s">
        <v>115</v>
      </c>
      <c r="DB217" t="s">
        <v>107</v>
      </c>
      <c r="DC217">
        <v>314</v>
      </c>
      <c r="DD217">
        <v>-1.0999999999999999E-2</v>
      </c>
      <c r="DE217">
        <v>-0.32800000000000001</v>
      </c>
      <c r="DF217">
        <v>64</v>
      </c>
      <c r="DG217">
        <v>7.5</v>
      </c>
    </row>
    <row r="218" spans="1:111" x14ac:dyDescent="0.2">
      <c r="A218">
        <v>2025</v>
      </c>
      <c r="B218" s="1">
        <v>45943</v>
      </c>
      <c r="C218" t="s">
        <v>95</v>
      </c>
      <c r="D218">
        <v>605483</v>
      </c>
      <c r="E218">
        <v>702332</v>
      </c>
      <c r="F218">
        <v>0</v>
      </c>
      <c r="G218">
        <v>0</v>
      </c>
      <c r="H218">
        <v>3</v>
      </c>
      <c r="I218" t="s">
        <v>163</v>
      </c>
      <c r="J218">
        <v>18</v>
      </c>
      <c r="K218">
        <v>1</v>
      </c>
      <c r="L218" t="s">
        <v>97</v>
      </c>
      <c r="M218" t="s">
        <v>98</v>
      </c>
      <c r="N218" t="s">
        <v>99</v>
      </c>
      <c r="O218">
        <f t="shared" si="48"/>
        <v>0</v>
      </c>
      <c r="P218">
        <f t="shared" si="49"/>
        <v>0</v>
      </c>
      <c r="Q218">
        <f t="shared" si="50"/>
        <v>1</v>
      </c>
      <c r="R218">
        <f t="shared" si="51"/>
        <v>0</v>
      </c>
      <c r="S218">
        <f t="shared" si="52"/>
        <v>0</v>
      </c>
      <c r="T218">
        <f t="shared" si="53"/>
        <v>0</v>
      </c>
      <c r="U218">
        <f t="shared" si="54"/>
        <v>0</v>
      </c>
      <c r="V218">
        <f t="shared" si="55"/>
        <v>0</v>
      </c>
      <c r="W218">
        <f t="shared" si="56"/>
        <v>0</v>
      </c>
      <c r="X218">
        <f t="shared" si="57"/>
        <v>0</v>
      </c>
      <c r="Y218">
        <f t="shared" si="58"/>
        <v>0</v>
      </c>
      <c r="Z218">
        <f t="shared" si="59"/>
        <v>0</v>
      </c>
      <c r="AA218">
        <f t="shared" si="60"/>
        <v>0</v>
      </c>
      <c r="AB218">
        <f t="shared" si="61"/>
        <v>0</v>
      </c>
      <c r="AC218">
        <f t="shared" si="62"/>
        <v>0</v>
      </c>
      <c r="AD218">
        <f t="shared" si="63"/>
        <v>0</v>
      </c>
      <c r="AE218">
        <v>94.2</v>
      </c>
      <c r="AF218">
        <v>2.0099999999999998</v>
      </c>
      <c r="AG218">
        <v>6.53</v>
      </c>
      <c r="AH218" t="s">
        <v>100</v>
      </c>
      <c r="AI218" t="s">
        <v>97</v>
      </c>
      <c r="AJ218" t="s">
        <v>97</v>
      </c>
      <c r="AK218" t="s">
        <v>97</v>
      </c>
      <c r="AL218" t="s">
        <v>97</v>
      </c>
      <c r="AM218">
        <v>12</v>
      </c>
      <c r="AN218" t="s">
        <v>101</v>
      </c>
      <c r="AO218" t="s">
        <v>103</v>
      </c>
      <c r="AP218" t="s">
        <v>122</v>
      </c>
      <c r="AQ218" t="s">
        <v>103</v>
      </c>
      <c r="AR218" t="s">
        <v>190</v>
      </c>
      <c r="AS218" t="s">
        <v>104</v>
      </c>
      <c r="AT218" t="s">
        <v>106</v>
      </c>
      <c r="AU218" t="s">
        <v>97</v>
      </c>
      <c r="AV218" t="s">
        <v>97</v>
      </c>
      <c r="AW218">
        <v>0.5</v>
      </c>
      <c r="AX218">
        <v>1.34</v>
      </c>
      <c r="AY218">
        <v>0.67</v>
      </c>
      <c r="AZ218">
        <v>3.71</v>
      </c>
      <c r="BA218" t="s">
        <v>97</v>
      </c>
      <c r="BB218" t="s">
        <v>97</v>
      </c>
      <c r="BC218" t="s">
        <v>97</v>
      </c>
      <c r="BD218">
        <v>0</v>
      </c>
      <c r="BE218" t="s">
        <v>97</v>
      </c>
      <c r="BF218" t="s">
        <v>97</v>
      </c>
      <c r="BG218" t="s">
        <v>97</v>
      </c>
      <c r="BH218" t="s">
        <v>97</v>
      </c>
      <c r="BI218">
        <v>669257</v>
      </c>
      <c r="BJ218">
        <v>669257</v>
      </c>
      <c r="BK218" t="s">
        <v>97</v>
      </c>
      <c r="BL218" t="s">
        <v>97</v>
      </c>
      <c r="BM218">
        <v>-4.6360693250000002</v>
      </c>
      <c r="BN218">
        <v>-137.06950749999999</v>
      </c>
      <c r="BO218">
        <v>-4.6077733639999998</v>
      </c>
      <c r="BP218">
        <v>7.3860139900000004</v>
      </c>
      <c r="BQ218">
        <v>32.21227786</v>
      </c>
      <c r="BR218">
        <v>-14.508243119999999</v>
      </c>
      <c r="BS218">
        <v>3.22</v>
      </c>
      <c r="BT218">
        <v>1.45</v>
      </c>
      <c r="BU218" t="s">
        <v>97</v>
      </c>
      <c r="BV218" t="s">
        <v>97</v>
      </c>
      <c r="BW218" t="s">
        <v>97</v>
      </c>
      <c r="BX218">
        <v>94.7</v>
      </c>
      <c r="BY218">
        <v>2462</v>
      </c>
      <c r="BZ218">
        <v>6.7</v>
      </c>
      <c r="CA218">
        <v>813036</v>
      </c>
      <c r="CB218">
        <v>669257</v>
      </c>
      <c r="CC218">
        <v>669257</v>
      </c>
      <c r="CD218">
        <v>518692</v>
      </c>
      <c r="CE218">
        <v>669242</v>
      </c>
      <c r="CF218">
        <v>571970</v>
      </c>
      <c r="CG218">
        <v>605141</v>
      </c>
      <c r="CH218">
        <v>571771</v>
      </c>
      <c r="CI218">
        <v>681624</v>
      </c>
      <c r="CJ218">
        <v>606192</v>
      </c>
      <c r="CK218">
        <v>53.8</v>
      </c>
      <c r="CL218" t="s">
        <v>97</v>
      </c>
      <c r="CM218" t="s">
        <v>97</v>
      </c>
      <c r="CN218" t="s">
        <v>97</v>
      </c>
      <c r="CO218" t="s">
        <v>97</v>
      </c>
      <c r="CP218" t="s">
        <v>97</v>
      </c>
      <c r="CQ218" t="s">
        <v>97</v>
      </c>
      <c r="CR218" t="s">
        <v>97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 t="s">
        <v>107</v>
      </c>
      <c r="DB218" t="s">
        <v>107</v>
      </c>
      <c r="DC218">
        <v>160</v>
      </c>
      <c r="DD218">
        <v>0</v>
      </c>
      <c r="DE218">
        <v>4.1000000000000002E-2</v>
      </c>
      <c r="DF218" t="s">
        <v>97</v>
      </c>
      <c r="DG218" t="s">
        <v>97</v>
      </c>
    </row>
    <row r="219" spans="1:111" x14ac:dyDescent="0.2">
      <c r="A219">
        <v>2025</v>
      </c>
      <c r="B219" s="1">
        <v>45943</v>
      </c>
      <c r="C219" t="s">
        <v>95</v>
      </c>
      <c r="D219">
        <v>605483</v>
      </c>
      <c r="E219">
        <v>702332</v>
      </c>
      <c r="F219">
        <v>1</v>
      </c>
      <c r="G219">
        <v>0</v>
      </c>
      <c r="H219">
        <v>3</v>
      </c>
      <c r="I219" t="s">
        <v>163</v>
      </c>
      <c r="J219">
        <v>18</v>
      </c>
      <c r="K219">
        <v>2</v>
      </c>
      <c r="L219" t="s">
        <v>97</v>
      </c>
      <c r="M219" t="s">
        <v>132</v>
      </c>
      <c r="N219" t="s">
        <v>133</v>
      </c>
      <c r="O219">
        <f t="shared" si="48"/>
        <v>0</v>
      </c>
      <c r="P219">
        <f t="shared" si="49"/>
        <v>0</v>
      </c>
      <c r="Q219">
        <f t="shared" si="50"/>
        <v>0</v>
      </c>
      <c r="R219">
        <f t="shared" si="51"/>
        <v>0</v>
      </c>
      <c r="S219">
        <f t="shared" si="52"/>
        <v>0</v>
      </c>
      <c r="T219">
        <f t="shared" si="53"/>
        <v>0</v>
      </c>
      <c r="U219">
        <f t="shared" si="54"/>
        <v>0</v>
      </c>
      <c r="V219">
        <f t="shared" si="55"/>
        <v>0</v>
      </c>
      <c r="W219">
        <f t="shared" si="56"/>
        <v>1</v>
      </c>
      <c r="X219">
        <f t="shared" si="57"/>
        <v>0</v>
      </c>
      <c r="Y219">
        <f t="shared" si="58"/>
        <v>0</v>
      </c>
      <c r="Z219">
        <f t="shared" si="59"/>
        <v>0</v>
      </c>
      <c r="AA219">
        <f t="shared" si="60"/>
        <v>0</v>
      </c>
      <c r="AB219">
        <f t="shared" si="61"/>
        <v>0</v>
      </c>
      <c r="AC219">
        <f t="shared" si="62"/>
        <v>0</v>
      </c>
      <c r="AD219">
        <f t="shared" si="63"/>
        <v>0</v>
      </c>
      <c r="AE219">
        <v>85.8</v>
      </c>
      <c r="AF219">
        <v>2.21</v>
      </c>
      <c r="AG219">
        <v>6.42</v>
      </c>
      <c r="AH219" t="s">
        <v>100</v>
      </c>
      <c r="AI219" t="s">
        <v>97</v>
      </c>
      <c r="AJ219" t="s">
        <v>97</v>
      </c>
      <c r="AK219" t="s">
        <v>97</v>
      </c>
      <c r="AL219" t="s">
        <v>97</v>
      </c>
      <c r="AM219">
        <v>12</v>
      </c>
      <c r="AN219" t="s">
        <v>101</v>
      </c>
      <c r="AO219" t="s">
        <v>103</v>
      </c>
      <c r="AP219" t="s">
        <v>122</v>
      </c>
      <c r="AQ219" t="s">
        <v>103</v>
      </c>
      <c r="AR219" t="s">
        <v>190</v>
      </c>
      <c r="AS219" t="s">
        <v>104</v>
      </c>
      <c r="AT219" t="s">
        <v>106</v>
      </c>
      <c r="AU219" t="s">
        <v>97</v>
      </c>
      <c r="AV219" t="s">
        <v>97</v>
      </c>
      <c r="AW219">
        <v>1.36</v>
      </c>
      <c r="AX219">
        <v>0.78</v>
      </c>
      <c r="AY219">
        <v>1.75</v>
      </c>
      <c r="AZ219">
        <v>3.37</v>
      </c>
      <c r="BA219" t="s">
        <v>97</v>
      </c>
      <c r="BB219" t="s">
        <v>97</v>
      </c>
      <c r="BC219" t="s">
        <v>97</v>
      </c>
      <c r="BD219">
        <v>0</v>
      </c>
      <c r="BE219" t="s">
        <v>97</v>
      </c>
      <c r="BF219" t="s">
        <v>97</v>
      </c>
      <c r="BG219" t="s">
        <v>97</v>
      </c>
      <c r="BH219" t="s">
        <v>97</v>
      </c>
      <c r="BI219">
        <v>669257</v>
      </c>
      <c r="BJ219">
        <v>669257</v>
      </c>
      <c r="BK219" t="s">
        <v>97</v>
      </c>
      <c r="BL219" t="s">
        <v>97</v>
      </c>
      <c r="BM219">
        <v>-3.8849018430000002</v>
      </c>
      <c r="BN219">
        <v>-124.8966051</v>
      </c>
      <c r="BO219">
        <v>-2.4991618940000002</v>
      </c>
      <c r="BP219">
        <v>15.009526749999999</v>
      </c>
      <c r="BQ219">
        <v>26.57806776</v>
      </c>
      <c r="BR219">
        <v>-23.784717180000001</v>
      </c>
      <c r="BS219">
        <v>3.27</v>
      </c>
      <c r="BT219">
        <v>1.45</v>
      </c>
      <c r="BU219" t="s">
        <v>97</v>
      </c>
      <c r="BV219" t="s">
        <v>97</v>
      </c>
      <c r="BW219" t="s">
        <v>97</v>
      </c>
      <c r="BX219">
        <v>86.4</v>
      </c>
      <c r="BY219">
        <v>1743</v>
      </c>
      <c r="BZ219">
        <v>6.8</v>
      </c>
      <c r="CA219">
        <v>813036</v>
      </c>
      <c r="CB219">
        <v>669257</v>
      </c>
      <c r="CC219">
        <v>669257</v>
      </c>
      <c r="CD219">
        <v>518692</v>
      </c>
      <c r="CE219">
        <v>669242</v>
      </c>
      <c r="CF219">
        <v>571970</v>
      </c>
      <c r="CG219">
        <v>605141</v>
      </c>
      <c r="CH219">
        <v>571771</v>
      </c>
      <c r="CI219">
        <v>681624</v>
      </c>
      <c r="CJ219">
        <v>606192</v>
      </c>
      <c r="CK219">
        <v>53.75</v>
      </c>
      <c r="CL219" t="s">
        <v>97</v>
      </c>
      <c r="CM219" t="s">
        <v>97</v>
      </c>
      <c r="CN219" t="s">
        <v>97</v>
      </c>
      <c r="CO219" t="s">
        <v>97</v>
      </c>
      <c r="CP219" t="s">
        <v>97</v>
      </c>
      <c r="CQ219" t="s">
        <v>97</v>
      </c>
      <c r="CR219" t="s">
        <v>97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 t="s">
        <v>107</v>
      </c>
      <c r="DB219" t="s">
        <v>107</v>
      </c>
      <c r="DC219">
        <v>135</v>
      </c>
      <c r="DD219">
        <v>0</v>
      </c>
      <c r="DE219">
        <v>7.6999999999999999E-2</v>
      </c>
      <c r="DF219" t="s">
        <v>97</v>
      </c>
      <c r="DG219" t="s">
        <v>97</v>
      </c>
    </row>
    <row r="220" spans="1:111" x14ac:dyDescent="0.2">
      <c r="A220">
        <v>2025</v>
      </c>
      <c r="B220" s="1">
        <v>45943</v>
      </c>
      <c r="C220" t="s">
        <v>95</v>
      </c>
      <c r="D220">
        <v>605483</v>
      </c>
      <c r="E220">
        <v>702332</v>
      </c>
      <c r="F220">
        <v>2</v>
      </c>
      <c r="G220">
        <v>0</v>
      </c>
      <c r="H220">
        <v>3</v>
      </c>
      <c r="I220" t="s">
        <v>163</v>
      </c>
      <c r="J220">
        <v>18</v>
      </c>
      <c r="K220">
        <v>3</v>
      </c>
      <c r="L220" t="s">
        <v>97</v>
      </c>
      <c r="M220" t="s">
        <v>132</v>
      </c>
      <c r="N220" t="s">
        <v>133</v>
      </c>
      <c r="O220">
        <f t="shared" si="48"/>
        <v>0</v>
      </c>
      <c r="P220">
        <f t="shared" si="49"/>
        <v>0</v>
      </c>
      <c r="Q220">
        <f t="shared" si="50"/>
        <v>0</v>
      </c>
      <c r="R220">
        <f t="shared" si="51"/>
        <v>0</v>
      </c>
      <c r="S220">
        <f t="shared" si="52"/>
        <v>0</v>
      </c>
      <c r="T220">
        <f t="shared" si="53"/>
        <v>0</v>
      </c>
      <c r="U220">
        <f t="shared" si="54"/>
        <v>0</v>
      </c>
      <c r="V220">
        <f t="shared" si="55"/>
        <v>0</v>
      </c>
      <c r="W220">
        <f t="shared" si="56"/>
        <v>0</v>
      </c>
      <c r="X220">
        <f t="shared" si="57"/>
        <v>1</v>
      </c>
      <c r="Y220">
        <f t="shared" si="58"/>
        <v>0</v>
      </c>
      <c r="Z220">
        <f t="shared" si="59"/>
        <v>0</v>
      </c>
      <c r="AA220">
        <f t="shared" si="60"/>
        <v>0</v>
      </c>
      <c r="AB220">
        <f t="shared" si="61"/>
        <v>0</v>
      </c>
      <c r="AC220">
        <f t="shared" si="62"/>
        <v>0</v>
      </c>
      <c r="AD220">
        <f t="shared" si="63"/>
        <v>0</v>
      </c>
      <c r="AE220">
        <v>86.2</v>
      </c>
      <c r="AF220">
        <v>2.19</v>
      </c>
      <c r="AG220">
        <v>6.38</v>
      </c>
      <c r="AH220" t="s">
        <v>108</v>
      </c>
      <c r="AI220" t="s">
        <v>97</v>
      </c>
      <c r="AJ220" t="s">
        <v>97</v>
      </c>
      <c r="AK220" t="s">
        <v>97</v>
      </c>
      <c r="AL220" t="s">
        <v>97</v>
      </c>
      <c r="AM220">
        <v>3</v>
      </c>
      <c r="AN220" t="s">
        <v>109</v>
      </c>
      <c r="AO220" t="s">
        <v>103</v>
      </c>
      <c r="AP220" t="s">
        <v>122</v>
      </c>
      <c r="AQ220" t="s">
        <v>103</v>
      </c>
      <c r="AR220" t="s">
        <v>190</v>
      </c>
      <c r="AS220" t="s">
        <v>104</v>
      </c>
      <c r="AT220" t="s">
        <v>110</v>
      </c>
      <c r="AU220" t="s">
        <v>97</v>
      </c>
      <c r="AV220" t="s">
        <v>97</v>
      </c>
      <c r="AW220">
        <v>1.22</v>
      </c>
      <c r="AX220">
        <v>1.07</v>
      </c>
      <c r="AY220">
        <v>0.44</v>
      </c>
      <c r="AZ220">
        <v>2.83</v>
      </c>
      <c r="BA220" t="s">
        <v>97</v>
      </c>
      <c r="BB220" t="s">
        <v>97</v>
      </c>
      <c r="BC220" t="s">
        <v>97</v>
      </c>
      <c r="BD220">
        <v>0</v>
      </c>
      <c r="BE220" t="s">
        <v>97</v>
      </c>
      <c r="BF220" t="s">
        <v>97</v>
      </c>
      <c r="BG220" t="s">
        <v>97</v>
      </c>
      <c r="BH220" t="s">
        <v>97</v>
      </c>
      <c r="BI220">
        <v>669257</v>
      </c>
      <c r="BJ220">
        <v>669257</v>
      </c>
      <c r="BK220" t="s">
        <v>97</v>
      </c>
      <c r="BL220" t="s">
        <v>97</v>
      </c>
      <c r="BM220">
        <v>-6.6880825970000002</v>
      </c>
      <c r="BN220">
        <v>-125.2709564</v>
      </c>
      <c r="BO220">
        <v>-4.4103664250000003</v>
      </c>
      <c r="BP220">
        <v>14.18812741</v>
      </c>
      <c r="BQ220">
        <v>25.283765290000002</v>
      </c>
      <c r="BR220">
        <v>-20.198775019999999</v>
      </c>
      <c r="BS220">
        <v>3.21</v>
      </c>
      <c r="BT220">
        <v>1.46</v>
      </c>
      <c r="BU220" t="s">
        <v>97</v>
      </c>
      <c r="BV220" t="s">
        <v>97</v>
      </c>
      <c r="BW220" t="s">
        <v>97</v>
      </c>
      <c r="BX220">
        <v>86.9</v>
      </c>
      <c r="BY220">
        <v>2089</v>
      </c>
      <c r="BZ220">
        <v>6.8</v>
      </c>
      <c r="CA220">
        <v>813036</v>
      </c>
      <c r="CB220">
        <v>669257</v>
      </c>
      <c r="CC220">
        <v>669257</v>
      </c>
      <c r="CD220">
        <v>518692</v>
      </c>
      <c r="CE220">
        <v>669242</v>
      </c>
      <c r="CF220">
        <v>571970</v>
      </c>
      <c r="CG220">
        <v>605141</v>
      </c>
      <c r="CH220">
        <v>571771</v>
      </c>
      <c r="CI220">
        <v>681624</v>
      </c>
      <c r="CJ220">
        <v>606192</v>
      </c>
      <c r="CK220">
        <v>53.7</v>
      </c>
      <c r="CL220" t="s">
        <v>97</v>
      </c>
      <c r="CM220" t="s">
        <v>97</v>
      </c>
      <c r="CN220" t="s">
        <v>97</v>
      </c>
      <c r="CO220" t="s">
        <v>97</v>
      </c>
      <c r="CP220" t="s">
        <v>97</v>
      </c>
      <c r="CQ220" t="s">
        <v>97</v>
      </c>
      <c r="CR220" t="s">
        <v>97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 t="s">
        <v>107</v>
      </c>
      <c r="DB220" t="s">
        <v>107</v>
      </c>
      <c r="DC220">
        <v>126</v>
      </c>
      <c r="DD220">
        <v>0</v>
      </c>
      <c r="DE220">
        <v>-7.2999999999999995E-2</v>
      </c>
      <c r="DF220" t="s">
        <v>97</v>
      </c>
      <c r="DG220" t="s">
        <v>97</v>
      </c>
    </row>
    <row r="221" spans="1:111" x14ac:dyDescent="0.2">
      <c r="A221">
        <v>2025</v>
      </c>
      <c r="B221" s="1">
        <v>45943</v>
      </c>
      <c r="C221" t="s">
        <v>95</v>
      </c>
      <c r="D221">
        <v>605483</v>
      </c>
      <c r="E221">
        <v>702332</v>
      </c>
      <c r="F221">
        <v>2</v>
      </c>
      <c r="G221">
        <v>1</v>
      </c>
      <c r="H221">
        <v>3</v>
      </c>
      <c r="I221" t="s">
        <v>163</v>
      </c>
      <c r="J221">
        <v>18</v>
      </c>
      <c r="K221">
        <v>4</v>
      </c>
      <c r="L221" t="s">
        <v>97</v>
      </c>
      <c r="M221" t="s">
        <v>98</v>
      </c>
      <c r="N221" t="s">
        <v>99</v>
      </c>
      <c r="O221">
        <f t="shared" si="48"/>
        <v>1</v>
      </c>
      <c r="P221">
        <f t="shared" si="49"/>
        <v>0</v>
      </c>
      <c r="Q221">
        <f t="shared" si="50"/>
        <v>0</v>
      </c>
      <c r="R221">
        <f t="shared" si="51"/>
        <v>0</v>
      </c>
      <c r="S221">
        <f t="shared" si="52"/>
        <v>0</v>
      </c>
      <c r="T221">
        <f t="shared" si="53"/>
        <v>0</v>
      </c>
      <c r="U221">
        <f t="shared" si="54"/>
        <v>0</v>
      </c>
      <c r="V221">
        <f t="shared" si="55"/>
        <v>0</v>
      </c>
      <c r="W221">
        <f t="shared" si="56"/>
        <v>0</v>
      </c>
      <c r="X221">
        <f t="shared" si="57"/>
        <v>0</v>
      </c>
      <c r="Y221">
        <f t="shared" si="58"/>
        <v>0</v>
      </c>
      <c r="Z221">
        <f t="shared" si="59"/>
        <v>0</v>
      </c>
      <c r="AA221">
        <f t="shared" si="60"/>
        <v>0</v>
      </c>
      <c r="AB221">
        <f t="shared" si="61"/>
        <v>0</v>
      </c>
      <c r="AC221">
        <f t="shared" si="62"/>
        <v>0</v>
      </c>
      <c r="AD221">
        <f t="shared" si="63"/>
        <v>0</v>
      </c>
      <c r="AE221">
        <v>95.9</v>
      </c>
      <c r="AF221">
        <v>1.98</v>
      </c>
      <c r="AG221">
        <v>6.44</v>
      </c>
      <c r="AH221" t="s">
        <v>129</v>
      </c>
      <c r="AI221" t="s">
        <v>97</v>
      </c>
      <c r="AJ221" t="s">
        <v>97</v>
      </c>
      <c r="AK221" t="s">
        <v>97</v>
      </c>
      <c r="AL221" t="s">
        <v>97</v>
      </c>
      <c r="AM221">
        <v>1</v>
      </c>
      <c r="AN221" t="s">
        <v>130</v>
      </c>
      <c r="AO221" t="s">
        <v>103</v>
      </c>
      <c r="AP221" t="s">
        <v>122</v>
      </c>
      <c r="AQ221" t="s">
        <v>103</v>
      </c>
      <c r="AR221" t="s">
        <v>190</v>
      </c>
      <c r="AS221" t="s">
        <v>104</v>
      </c>
      <c r="AT221" t="s">
        <v>110</v>
      </c>
      <c r="AU221" t="s">
        <v>97</v>
      </c>
      <c r="AV221" t="s">
        <v>97</v>
      </c>
      <c r="AW221">
        <v>0.28999999999999998</v>
      </c>
      <c r="AX221">
        <v>1.51</v>
      </c>
      <c r="AY221">
        <v>-0.36</v>
      </c>
      <c r="AZ221">
        <v>2.67</v>
      </c>
      <c r="BA221" t="s">
        <v>97</v>
      </c>
      <c r="BB221" t="s">
        <v>97</v>
      </c>
      <c r="BC221" t="s">
        <v>97</v>
      </c>
      <c r="BD221">
        <v>0</v>
      </c>
      <c r="BE221" t="s">
        <v>97</v>
      </c>
      <c r="BF221" t="s">
        <v>97</v>
      </c>
      <c r="BG221" t="s">
        <v>97</v>
      </c>
      <c r="BH221" t="s">
        <v>97</v>
      </c>
      <c r="BI221">
        <v>669257</v>
      </c>
      <c r="BJ221">
        <v>669257</v>
      </c>
      <c r="BK221" t="s">
        <v>97</v>
      </c>
      <c r="BL221" t="s">
        <v>97</v>
      </c>
      <c r="BM221">
        <v>-6.9173836910000004</v>
      </c>
      <c r="BN221">
        <v>-139.3559659</v>
      </c>
      <c r="BO221">
        <v>-7.8444725660000003</v>
      </c>
      <c r="BP221">
        <v>5.3739808279999997</v>
      </c>
      <c r="BQ221">
        <v>31.673103080000001</v>
      </c>
      <c r="BR221">
        <v>-10.921086539999999</v>
      </c>
      <c r="BS221">
        <v>3.2</v>
      </c>
      <c r="BT221">
        <v>1.45</v>
      </c>
      <c r="BU221">
        <v>197</v>
      </c>
      <c r="BV221">
        <v>72</v>
      </c>
      <c r="BW221">
        <v>51</v>
      </c>
      <c r="BX221">
        <v>96.8</v>
      </c>
      <c r="BY221">
        <v>2474</v>
      </c>
      <c r="BZ221">
        <v>6.9</v>
      </c>
      <c r="CA221">
        <v>813036</v>
      </c>
      <c r="CB221">
        <v>669257</v>
      </c>
      <c r="CC221">
        <v>669257</v>
      </c>
      <c r="CD221">
        <v>518692</v>
      </c>
      <c r="CE221">
        <v>669242</v>
      </c>
      <c r="CF221">
        <v>571970</v>
      </c>
      <c r="CG221">
        <v>605141</v>
      </c>
      <c r="CH221">
        <v>571771</v>
      </c>
      <c r="CI221">
        <v>681624</v>
      </c>
      <c r="CJ221">
        <v>606192</v>
      </c>
      <c r="CK221">
        <v>53.6</v>
      </c>
      <c r="CL221" t="s">
        <v>97</v>
      </c>
      <c r="CM221" t="s">
        <v>97</v>
      </c>
      <c r="CN221" t="s">
        <v>97</v>
      </c>
      <c r="CO221" t="s">
        <v>97</v>
      </c>
      <c r="CP221" t="s">
        <v>97</v>
      </c>
      <c r="CQ221" t="s">
        <v>97</v>
      </c>
      <c r="CR221" t="s">
        <v>97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 t="s">
        <v>107</v>
      </c>
      <c r="DB221" t="s">
        <v>107</v>
      </c>
      <c r="DC221">
        <v>161</v>
      </c>
      <c r="DD221">
        <v>0</v>
      </c>
      <c r="DE221">
        <v>-7.2999999999999995E-2</v>
      </c>
      <c r="DF221">
        <v>65.099999999999994</v>
      </c>
      <c r="DG221">
        <v>5.9</v>
      </c>
    </row>
    <row r="222" spans="1:111" x14ac:dyDescent="0.2">
      <c r="A222">
        <v>2025</v>
      </c>
      <c r="B222" s="1">
        <v>45943</v>
      </c>
      <c r="C222" t="s">
        <v>95</v>
      </c>
      <c r="D222">
        <v>605483</v>
      </c>
      <c r="E222">
        <v>702332</v>
      </c>
      <c r="F222">
        <v>2</v>
      </c>
      <c r="G222">
        <v>2</v>
      </c>
      <c r="H222">
        <v>3</v>
      </c>
      <c r="I222" t="s">
        <v>163</v>
      </c>
      <c r="J222">
        <v>18</v>
      </c>
      <c r="K222">
        <v>5</v>
      </c>
      <c r="L222" t="s">
        <v>155</v>
      </c>
      <c r="M222" t="s">
        <v>98</v>
      </c>
      <c r="N222" t="s">
        <v>99</v>
      </c>
      <c r="O222">
        <f t="shared" si="48"/>
        <v>0</v>
      </c>
      <c r="P222">
        <f t="shared" si="49"/>
        <v>1</v>
      </c>
      <c r="Q222">
        <f t="shared" si="50"/>
        <v>0</v>
      </c>
      <c r="R222">
        <f t="shared" si="51"/>
        <v>0</v>
      </c>
      <c r="S222">
        <f t="shared" si="52"/>
        <v>0</v>
      </c>
      <c r="T222">
        <f t="shared" si="53"/>
        <v>0</v>
      </c>
      <c r="U222">
        <f t="shared" si="54"/>
        <v>0</v>
      </c>
      <c r="V222">
        <f t="shared" si="55"/>
        <v>0</v>
      </c>
      <c r="W222">
        <f t="shared" si="56"/>
        <v>0</v>
      </c>
      <c r="X222">
        <f t="shared" si="57"/>
        <v>0</v>
      </c>
      <c r="Y222">
        <f t="shared" si="58"/>
        <v>0</v>
      </c>
      <c r="Z222">
        <f t="shared" si="59"/>
        <v>0</v>
      </c>
      <c r="AA222">
        <f t="shared" si="60"/>
        <v>0</v>
      </c>
      <c r="AB222">
        <f t="shared" si="61"/>
        <v>0</v>
      </c>
      <c r="AC222">
        <f t="shared" si="62"/>
        <v>0</v>
      </c>
      <c r="AD222">
        <f t="shared" si="63"/>
        <v>0</v>
      </c>
      <c r="AE222">
        <v>95.9</v>
      </c>
      <c r="AF222">
        <v>1.89</v>
      </c>
      <c r="AG222">
        <v>6.51</v>
      </c>
      <c r="AH222" t="s">
        <v>120</v>
      </c>
      <c r="AI222" t="s">
        <v>97</v>
      </c>
      <c r="AJ222" t="s">
        <v>97</v>
      </c>
      <c r="AK222" t="s">
        <v>97</v>
      </c>
      <c r="AL222" t="s">
        <v>97</v>
      </c>
      <c r="AM222">
        <v>2</v>
      </c>
      <c r="AN222" t="s">
        <v>197</v>
      </c>
      <c r="AO222" t="s">
        <v>103</v>
      </c>
      <c r="AP222" t="s">
        <v>122</v>
      </c>
      <c r="AQ222" t="s">
        <v>103</v>
      </c>
      <c r="AR222" t="s">
        <v>190</v>
      </c>
      <c r="AS222" t="s">
        <v>104</v>
      </c>
      <c r="AT222" t="s">
        <v>123</v>
      </c>
      <c r="AU222">
        <v>8</v>
      </c>
      <c r="AV222" t="s">
        <v>158</v>
      </c>
      <c r="AW222">
        <v>0.32</v>
      </c>
      <c r="AX222">
        <v>1.41</v>
      </c>
      <c r="AY222">
        <v>0.04</v>
      </c>
      <c r="AZ222">
        <v>2.93</v>
      </c>
      <c r="BA222" t="s">
        <v>97</v>
      </c>
      <c r="BB222" t="s">
        <v>97</v>
      </c>
      <c r="BC222" t="s">
        <v>97</v>
      </c>
      <c r="BD222">
        <v>0</v>
      </c>
      <c r="BE222">
        <v>134.68</v>
      </c>
      <c r="BF222">
        <v>96.45</v>
      </c>
      <c r="BG222" t="s">
        <v>97</v>
      </c>
      <c r="BH222" t="s">
        <v>97</v>
      </c>
      <c r="BI222">
        <v>669257</v>
      </c>
      <c r="BJ222">
        <v>669257</v>
      </c>
      <c r="BK222" t="s">
        <v>97</v>
      </c>
      <c r="BL222" t="s">
        <v>97</v>
      </c>
      <c r="BM222">
        <v>-5.684060863</v>
      </c>
      <c r="BN222">
        <v>-139.4352696</v>
      </c>
      <c r="BO222">
        <v>-7.066770075</v>
      </c>
      <c r="BP222">
        <v>5.4800978669999996</v>
      </c>
      <c r="BQ222">
        <v>33.671624450000003</v>
      </c>
      <c r="BR222">
        <v>-12.41794215</v>
      </c>
      <c r="BS222">
        <v>3.2</v>
      </c>
      <c r="BT222">
        <v>1.45</v>
      </c>
      <c r="BU222">
        <v>222</v>
      </c>
      <c r="BV222">
        <v>86</v>
      </c>
      <c r="BW222">
        <v>16</v>
      </c>
      <c r="BX222">
        <v>96.7</v>
      </c>
      <c r="BY222">
        <v>2428</v>
      </c>
      <c r="BZ222">
        <v>7</v>
      </c>
      <c r="CA222">
        <v>813036</v>
      </c>
      <c r="CB222">
        <v>669257</v>
      </c>
      <c r="CC222">
        <v>669257</v>
      </c>
      <c r="CD222">
        <v>518692</v>
      </c>
      <c r="CE222">
        <v>669242</v>
      </c>
      <c r="CF222">
        <v>571970</v>
      </c>
      <c r="CG222">
        <v>605141</v>
      </c>
      <c r="CH222">
        <v>571771</v>
      </c>
      <c r="CI222">
        <v>681624</v>
      </c>
      <c r="CJ222">
        <v>606192</v>
      </c>
      <c r="CK222">
        <v>53.53</v>
      </c>
      <c r="CL222">
        <v>0.98299999999999998</v>
      </c>
      <c r="CM222">
        <v>0.90600000000000003</v>
      </c>
      <c r="CN222">
        <v>0.9</v>
      </c>
      <c r="CO222">
        <v>1</v>
      </c>
      <c r="CP222">
        <v>1</v>
      </c>
      <c r="CQ222">
        <v>0</v>
      </c>
      <c r="CR222">
        <v>4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 t="s">
        <v>107</v>
      </c>
      <c r="DB222" t="s">
        <v>107</v>
      </c>
      <c r="DC222">
        <v>157</v>
      </c>
      <c r="DD222">
        <v>0.04</v>
      </c>
      <c r="DE222">
        <v>0.46500000000000002</v>
      </c>
      <c r="DF222">
        <v>68.5</v>
      </c>
      <c r="DG222">
        <v>6.4</v>
      </c>
    </row>
    <row r="223" spans="1:111" x14ac:dyDescent="0.2">
      <c r="A223">
        <v>2025</v>
      </c>
      <c r="B223" s="1">
        <v>45943</v>
      </c>
      <c r="C223" t="s">
        <v>95</v>
      </c>
      <c r="D223">
        <v>605483</v>
      </c>
      <c r="E223">
        <v>686555</v>
      </c>
      <c r="F223">
        <v>0</v>
      </c>
      <c r="G223">
        <v>0</v>
      </c>
      <c r="H223">
        <v>3</v>
      </c>
      <c r="I223" t="s">
        <v>163</v>
      </c>
      <c r="J223">
        <v>19</v>
      </c>
      <c r="K223">
        <v>1</v>
      </c>
      <c r="L223" t="s">
        <v>97</v>
      </c>
      <c r="M223" t="s">
        <v>111</v>
      </c>
      <c r="N223" t="s">
        <v>112</v>
      </c>
      <c r="O223">
        <f t="shared" si="48"/>
        <v>0</v>
      </c>
      <c r="P223">
        <f t="shared" si="49"/>
        <v>0</v>
      </c>
      <c r="Q223">
        <f t="shared" si="50"/>
        <v>0</v>
      </c>
      <c r="R223">
        <f t="shared" si="51"/>
        <v>0</v>
      </c>
      <c r="S223">
        <f t="shared" si="52"/>
        <v>0</v>
      </c>
      <c r="T223">
        <f t="shared" si="53"/>
        <v>0</v>
      </c>
      <c r="U223">
        <f t="shared" si="54"/>
        <v>1</v>
      </c>
      <c r="V223">
        <f t="shared" si="55"/>
        <v>0</v>
      </c>
      <c r="W223">
        <f t="shared" si="56"/>
        <v>0</v>
      </c>
      <c r="X223">
        <f t="shared" si="57"/>
        <v>0</v>
      </c>
      <c r="Y223">
        <f t="shared" si="58"/>
        <v>0</v>
      </c>
      <c r="Z223">
        <f t="shared" si="59"/>
        <v>0</v>
      </c>
      <c r="AA223">
        <f t="shared" si="60"/>
        <v>0</v>
      </c>
      <c r="AB223">
        <f t="shared" si="61"/>
        <v>0</v>
      </c>
      <c r="AC223">
        <f t="shared" si="62"/>
        <v>0</v>
      </c>
      <c r="AD223">
        <f t="shared" si="63"/>
        <v>0</v>
      </c>
      <c r="AE223">
        <v>79.900000000000006</v>
      </c>
      <c r="AF223">
        <v>1.97</v>
      </c>
      <c r="AG223">
        <v>6.53</v>
      </c>
      <c r="AH223" t="s">
        <v>108</v>
      </c>
      <c r="AI223" t="s">
        <v>97</v>
      </c>
      <c r="AJ223" t="s">
        <v>97</v>
      </c>
      <c r="AK223" t="s">
        <v>97</v>
      </c>
      <c r="AL223" t="s">
        <v>97</v>
      </c>
      <c r="AM223">
        <v>4</v>
      </c>
      <c r="AN223" t="s">
        <v>109</v>
      </c>
      <c r="AO223" t="s">
        <v>103</v>
      </c>
      <c r="AP223" t="s">
        <v>122</v>
      </c>
      <c r="AQ223" t="s">
        <v>103</v>
      </c>
      <c r="AR223" t="s">
        <v>190</v>
      </c>
      <c r="AS223" t="s">
        <v>104</v>
      </c>
      <c r="AT223" t="s">
        <v>110</v>
      </c>
      <c r="AU223" t="s">
        <v>97</v>
      </c>
      <c r="AV223" t="s">
        <v>97</v>
      </c>
      <c r="AW223">
        <v>-0.86</v>
      </c>
      <c r="AX223">
        <v>-0.27</v>
      </c>
      <c r="AY223">
        <v>-0.46</v>
      </c>
      <c r="AZ223">
        <v>2.69</v>
      </c>
      <c r="BA223" t="s">
        <v>97</v>
      </c>
      <c r="BB223" t="s">
        <v>97</v>
      </c>
      <c r="BC223">
        <v>702332</v>
      </c>
      <c r="BD223">
        <v>0</v>
      </c>
      <c r="BE223" t="s">
        <v>97</v>
      </c>
      <c r="BF223" t="s">
        <v>97</v>
      </c>
      <c r="BG223" t="s">
        <v>97</v>
      </c>
      <c r="BH223" t="s">
        <v>97</v>
      </c>
      <c r="BI223">
        <v>669257</v>
      </c>
      <c r="BJ223">
        <v>669257</v>
      </c>
      <c r="BK223" t="s">
        <v>97</v>
      </c>
      <c r="BL223" t="s">
        <v>97</v>
      </c>
      <c r="BM223">
        <v>-3.7627422720000001</v>
      </c>
      <c r="BN223">
        <v>-116.24880330000001</v>
      </c>
      <c r="BO223">
        <v>-1.148729388</v>
      </c>
      <c r="BP223">
        <v>-6.9846837380000002</v>
      </c>
      <c r="BQ223">
        <v>24.314637479999998</v>
      </c>
      <c r="BR223">
        <v>-34.610567009999997</v>
      </c>
      <c r="BS223">
        <v>3.19</v>
      </c>
      <c r="BT223">
        <v>1.57</v>
      </c>
      <c r="BU223" t="s">
        <v>97</v>
      </c>
      <c r="BV223" t="s">
        <v>97</v>
      </c>
      <c r="BW223" t="s">
        <v>97</v>
      </c>
      <c r="BX223">
        <v>80.099999999999994</v>
      </c>
      <c r="BY223">
        <v>2607</v>
      </c>
      <c r="BZ223">
        <v>6.7</v>
      </c>
      <c r="CA223">
        <v>813036</v>
      </c>
      <c r="CB223">
        <v>669257</v>
      </c>
      <c r="CC223">
        <v>669257</v>
      </c>
      <c r="CD223">
        <v>518692</v>
      </c>
      <c r="CE223">
        <v>669242</v>
      </c>
      <c r="CF223">
        <v>571970</v>
      </c>
      <c r="CG223">
        <v>605141</v>
      </c>
      <c r="CH223">
        <v>571771</v>
      </c>
      <c r="CI223">
        <v>681624</v>
      </c>
      <c r="CJ223">
        <v>606192</v>
      </c>
      <c r="CK223">
        <v>53.78</v>
      </c>
      <c r="CL223" t="s">
        <v>97</v>
      </c>
      <c r="CM223" t="s">
        <v>97</v>
      </c>
      <c r="CN223" t="s">
        <v>97</v>
      </c>
      <c r="CO223" t="s">
        <v>97</v>
      </c>
      <c r="CP223" t="s">
        <v>97</v>
      </c>
      <c r="CQ223" t="s">
        <v>97</v>
      </c>
      <c r="CR223" t="s">
        <v>97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 t="s">
        <v>107</v>
      </c>
      <c r="DB223" t="s">
        <v>107</v>
      </c>
      <c r="DC223">
        <v>316</v>
      </c>
      <c r="DD223">
        <v>0</v>
      </c>
      <c r="DE223">
        <v>-4.2999999999999997E-2</v>
      </c>
      <c r="DF223" t="s">
        <v>97</v>
      </c>
      <c r="DG223" t="s">
        <v>97</v>
      </c>
    </row>
    <row r="224" spans="1:111" x14ac:dyDescent="0.2">
      <c r="A224">
        <v>2025</v>
      </c>
      <c r="B224" s="1">
        <v>45943</v>
      </c>
      <c r="C224" t="s">
        <v>95</v>
      </c>
      <c r="D224">
        <v>605483</v>
      </c>
      <c r="E224">
        <v>686555</v>
      </c>
      <c r="F224">
        <v>0</v>
      </c>
      <c r="G224">
        <v>1</v>
      </c>
      <c r="H224">
        <v>3</v>
      </c>
      <c r="I224" t="s">
        <v>163</v>
      </c>
      <c r="J224">
        <v>19</v>
      </c>
      <c r="K224">
        <v>2</v>
      </c>
      <c r="L224" t="s">
        <v>97</v>
      </c>
      <c r="M224" t="s">
        <v>132</v>
      </c>
      <c r="N224" t="s">
        <v>133</v>
      </c>
      <c r="O224">
        <f t="shared" si="48"/>
        <v>0</v>
      </c>
      <c r="P224">
        <f t="shared" si="49"/>
        <v>0</v>
      </c>
      <c r="Q224">
        <f t="shared" si="50"/>
        <v>0</v>
      </c>
      <c r="R224">
        <f t="shared" si="51"/>
        <v>0</v>
      </c>
      <c r="S224">
        <f t="shared" si="52"/>
        <v>0</v>
      </c>
      <c r="T224">
        <f t="shared" si="53"/>
        <v>0</v>
      </c>
      <c r="U224">
        <f t="shared" si="54"/>
        <v>0</v>
      </c>
      <c r="V224">
        <f t="shared" si="55"/>
        <v>0</v>
      </c>
      <c r="W224">
        <f t="shared" si="56"/>
        <v>1</v>
      </c>
      <c r="X224">
        <f t="shared" si="57"/>
        <v>0</v>
      </c>
      <c r="Y224">
        <f t="shared" si="58"/>
        <v>0</v>
      </c>
      <c r="Z224">
        <f t="shared" si="59"/>
        <v>0</v>
      </c>
      <c r="AA224">
        <f t="shared" si="60"/>
        <v>0</v>
      </c>
      <c r="AB224">
        <f t="shared" si="61"/>
        <v>0</v>
      </c>
      <c r="AC224">
        <f t="shared" si="62"/>
        <v>0</v>
      </c>
      <c r="AD224">
        <f t="shared" si="63"/>
        <v>0</v>
      </c>
      <c r="AE224">
        <v>85.7</v>
      </c>
      <c r="AF224">
        <v>1.98</v>
      </c>
      <c r="AG224">
        <v>6.45</v>
      </c>
      <c r="AH224" t="s">
        <v>113</v>
      </c>
      <c r="AI224" t="s">
        <v>97</v>
      </c>
      <c r="AJ224" t="s">
        <v>97</v>
      </c>
      <c r="AK224" t="s">
        <v>97</v>
      </c>
      <c r="AL224" t="s">
        <v>97</v>
      </c>
      <c r="AM224">
        <v>6</v>
      </c>
      <c r="AN224" t="s">
        <v>114</v>
      </c>
      <c r="AO224" t="s">
        <v>103</v>
      </c>
      <c r="AP224" t="s">
        <v>122</v>
      </c>
      <c r="AQ224" t="s">
        <v>103</v>
      </c>
      <c r="AR224" t="s">
        <v>190</v>
      </c>
      <c r="AS224" t="s">
        <v>104</v>
      </c>
      <c r="AT224" t="s">
        <v>110</v>
      </c>
      <c r="AU224" t="s">
        <v>97</v>
      </c>
      <c r="AV224" t="s">
        <v>97</v>
      </c>
      <c r="AW224">
        <v>1.0900000000000001</v>
      </c>
      <c r="AX224">
        <v>1.1200000000000001</v>
      </c>
      <c r="AY224">
        <v>0.55000000000000004</v>
      </c>
      <c r="AZ224">
        <v>2.59</v>
      </c>
      <c r="BA224" t="s">
        <v>97</v>
      </c>
      <c r="BB224" t="s">
        <v>97</v>
      </c>
      <c r="BC224">
        <v>702332</v>
      </c>
      <c r="BD224">
        <v>0</v>
      </c>
      <c r="BE224" t="s">
        <v>97</v>
      </c>
      <c r="BF224" t="s">
        <v>97</v>
      </c>
      <c r="BG224" t="s">
        <v>97</v>
      </c>
      <c r="BH224" t="s">
        <v>97</v>
      </c>
      <c r="BI224">
        <v>669257</v>
      </c>
      <c r="BJ224">
        <v>669257</v>
      </c>
      <c r="BK224" t="s">
        <v>97</v>
      </c>
      <c r="BL224" t="s">
        <v>97</v>
      </c>
      <c r="BM224">
        <v>-5.6255947900000001</v>
      </c>
      <c r="BN224">
        <v>-124.525594</v>
      </c>
      <c r="BO224">
        <v>-5.0762209560000002</v>
      </c>
      <c r="BP224">
        <v>12.52967419</v>
      </c>
      <c r="BQ224">
        <v>26.341618069999999</v>
      </c>
      <c r="BR224">
        <v>-19.743712980000002</v>
      </c>
      <c r="BS224">
        <v>3.28</v>
      </c>
      <c r="BT224">
        <v>1.56</v>
      </c>
      <c r="BU224" t="s">
        <v>97</v>
      </c>
      <c r="BV224" t="s">
        <v>97</v>
      </c>
      <c r="BW224" t="s">
        <v>97</v>
      </c>
      <c r="BX224">
        <v>85.9</v>
      </c>
      <c r="BY224">
        <v>1773</v>
      </c>
      <c r="BZ224">
        <v>6.6</v>
      </c>
      <c r="CA224">
        <v>813036</v>
      </c>
      <c r="CB224">
        <v>669257</v>
      </c>
      <c r="CC224">
        <v>669257</v>
      </c>
      <c r="CD224">
        <v>518692</v>
      </c>
      <c r="CE224">
        <v>669242</v>
      </c>
      <c r="CF224">
        <v>571970</v>
      </c>
      <c r="CG224">
        <v>605141</v>
      </c>
      <c r="CH224">
        <v>571771</v>
      </c>
      <c r="CI224">
        <v>681624</v>
      </c>
      <c r="CJ224">
        <v>606192</v>
      </c>
      <c r="CK224">
        <v>53.87</v>
      </c>
      <c r="CL224" t="s">
        <v>97</v>
      </c>
      <c r="CM224" t="s">
        <v>97</v>
      </c>
      <c r="CN224" t="s">
        <v>97</v>
      </c>
      <c r="CO224" t="s">
        <v>97</v>
      </c>
      <c r="CP224" t="s">
        <v>97</v>
      </c>
      <c r="CQ224" t="s">
        <v>97</v>
      </c>
      <c r="CR224" t="s">
        <v>97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 t="s">
        <v>107</v>
      </c>
      <c r="DB224" t="s">
        <v>107</v>
      </c>
      <c r="DC224">
        <v>130</v>
      </c>
      <c r="DD224">
        <v>0</v>
      </c>
      <c r="DE224">
        <v>-5.2999999999999999E-2</v>
      </c>
      <c r="DF224">
        <v>75.2</v>
      </c>
      <c r="DG224">
        <v>7.7</v>
      </c>
    </row>
    <row r="225" spans="1:111" x14ac:dyDescent="0.2">
      <c r="A225">
        <v>2025</v>
      </c>
      <c r="B225" s="1">
        <v>45943</v>
      </c>
      <c r="C225" t="s">
        <v>95</v>
      </c>
      <c r="D225">
        <v>605483</v>
      </c>
      <c r="E225">
        <v>686555</v>
      </c>
      <c r="F225">
        <v>0</v>
      </c>
      <c r="G225">
        <v>2</v>
      </c>
      <c r="H225">
        <v>3</v>
      </c>
      <c r="I225" t="s">
        <v>163</v>
      </c>
      <c r="J225">
        <v>19</v>
      </c>
      <c r="K225">
        <v>3</v>
      </c>
      <c r="L225" t="s">
        <v>116</v>
      </c>
      <c r="M225" t="s">
        <v>132</v>
      </c>
      <c r="N225" t="s">
        <v>133</v>
      </c>
      <c r="O225">
        <f t="shared" si="48"/>
        <v>0</v>
      </c>
      <c r="P225">
        <f t="shared" si="49"/>
        <v>0</v>
      </c>
      <c r="Q225">
        <f t="shared" si="50"/>
        <v>0</v>
      </c>
      <c r="R225">
        <f t="shared" si="51"/>
        <v>0</v>
      </c>
      <c r="S225">
        <f t="shared" si="52"/>
        <v>0</v>
      </c>
      <c r="T225">
        <f t="shared" si="53"/>
        <v>0</v>
      </c>
      <c r="U225">
        <f t="shared" si="54"/>
        <v>0</v>
      </c>
      <c r="V225">
        <f t="shared" si="55"/>
        <v>0</v>
      </c>
      <c r="W225">
        <f t="shared" si="56"/>
        <v>0</v>
      </c>
      <c r="X225">
        <f t="shared" si="57"/>
        <v>1</v>
      </c>
      <c r="Y225">
        <f t="shared" si="58"/>
        <v>0</v>
      </c>
      <c r="Z225">
        <f t="shared" si="59"/>
        <v>0</v>
      </c>
      <c r="AA225">
        <f t="shared" si="60"/>
        <v>0</v>
      </c>
      <c r="AB225">
        <f t="shared" si="61"/>
        <v>0</v>
      </c>
      <c r="AC225">
        <f t="shared" si="62"/>
        <v>0</v>
      </c>
      <c r="AD225">
        <f t="shared" si="63"/>
        <v>0</v>
      </c>
      <c r="AE225">
        <v>85.4</v>
      </c>
      <c r="AF225">
        <v>2.0299999999999998</v>
      </c>
      <c r="AG225">
        <v>6.36</v>
      </c>
      <c r="AH225" t="s">
        <v>113</v>
      </c>
      <c r="AI225" t="s">
        <v>97</v>
      </c>
      <c r="AJ225" t="s">
        <v>97</v>
      </c>
      <c r="AK225" t="s">
        <v>97</v>
      </c>
      <c r="AL225" t="s">
        <v>97</v>
      </c>
      <c r="AM225">
        <v>12</v>
      </c>
      <c r="AN225" t="s">
        <v>198</v>
      </c>
      <c r="AO225" t="s">
        <v>103</v>
      </c>
      <c r="AP225" t="s">
        <v>122</v>
      </c>
      <c r="AQ225" t="s">
        <v>103</v>
      </c>
      <c r="AR225" t="s">
        <v>190</v>
      </c>
      <c r="AS225" t="s">
        <v>104</v>
      </c>
      <c r="AT225" t="s">
        <v>110</v>
      </c>
      <c r="AU225">
        <v>2</v>
      </c>
      <c r="AV225" t="s">
        <v>97</v>
      </c>
      <c r="AW225">
        <v>1.45</v>
      </c>
      <c r="AX225">
        <v>0.82</v>
      </c>
      <c r="AY225">
        <v>1.06</v>
      </c>
      <c r="AZ225">
        <v>2.65</v>
      </c>
      <c r="BA225" t="s">
        <v>97</v>
      </c>
      <c r="BB225" t="s">
        <v>97</v>
      </c>
      <c r="BC225">
        <v>702332</v>
      </c>
      <c r="BD225">
        <v>0</v>
      </c>
      <c r="BE225" t="s">
        <v>97</v>
      </c>
      <c r="BF225" t="s">
        <v>97</v>
      </c>
      <c r="BG225" t="s">
        <v>97</v>
      </c>
      <c r="BH225" t="s">
        <v>97</v>
      </c>
      <c r="BI225">
        <v>669257</v>
      </c>
      <c r="BJ225">
        <v>669257</v>
      </c>
      <c r="BK225" t="s">
        <v>97</v>
      </c>
      <c r="BL225" t="s">
        <v>97</v>
      </c>
      <c r="BM225">
        <v>-5.2426242810000003</v>
      </c>
      <c r="BN225">
        <v>-124.2467305</v>
      </c>
      <c r="BO225">
        <v>-4.078551</v>
      </c>
      <c r="BP225">
        <v>16.01618496</v>
      </c>
      <c r="BQ225">
        <v>26.393620179999999</v>
      </c>
      <c r="BR225">
        <v>-23.092676749999999</v>
      </c>
      <c r="BS225">
        <v>3.28</v>
      </c>
      <c r="BT225">
        <v>1.56</v>
      </c>
      <c r="BU225" t="s">
        <v>97</v>
      </c>
      <c r="BV225" t="s">
        <v>97</v>
      </c>
      <c r="BW225" t="s">
        <v>97</v>
      </c>
      <c r="BX225">
        <v>85.9</v>
      </c>
      <c r="BY225">
        <v>1939</v>
      </c>
      <c r="BZ225">
        <v>6.8</v>
      </c>
      <c r="CA225">
        <v>813036</v>
      </c>
      <c r="CB225">
        <v>669257</v>
      </c>
      <c r="CC225">
        <v>669257</v>
      </c>
      <c r="CD225">
        <v>518692</v>
      </c>
      <c r="CE225">
        <v>669242</v>
      </c>
      <c r="CF225">
        <v>571970</v>
      </c>
      <c r="CG225">
        <v>605141</v>
      </c>
      <c r="CH225">
        <v>571771</v>
      </c>
      <c r="CI225">
        <v>681624</v>
      </c>
      <c r="CJ225">
        <v>606192</v>
      </c>
      <c r="CK225">
        <v>53.72</v>
      </c>
      <c r="CL225" t="s">
        <v>97</v>
      </c>
      <c r="CM225">
        <v>0</v>
      </c>
      <c r="CN225">
        <v>0</v>
      </c>
      <c r="CO225">
        <v>1</v>
      </c>
      <c r="CP225">
        <v>0</v>
      </c>
      <c r="CQ225">
        <v>0</v>
      </c>
      <c r="CR225" t="s">
        <v>97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 t="s">
        <v>107</v>
      </c>
      <c r="DB225" t="s">
        <v>107</v>
      </c>
      <c r="DC225">
        <v>127</v>
      </c>
      <c r="DD225">
        <v>-3.6999999999999998E-2</v>
      </c>
      <c r="DE225">
        <v>-0.14799999999999999</v>
      </c>
      <c r="DF225">
        <v>37.799999999999997</v>
      </c>
      <c r="DG225">
        <v>6</v>
      </c>
    </row>
    <row r="226" spans="1:111" x14ac:dyDescent="0.2">
      <c r="A226">
        <v>2025</v>
      </c>
      <c r="B226" s="1">
        <v>45943</v>
      </c>
      <c r="C226" t="s">
        <v>95</v>
      </c>
      <c r="D226">
        <v>605483</v>
      </c>
      <c r="E226">
        <v>687401</v>
      </c>
      <c r="F226">
        <v>0</v>
      </c>
      <c r="G226">
        <v>0</v>
      </c>
      <c r="H226">
        <v>3</v>
      </c>
      <c r="I226" t="s">
        <v>163</v>
      </c>
      <c r="J226">
        <v>20</v>
      </c>
      <c r="K226">
        <v>1</v>
      </c>
      <c r="L226" t="s">
        <v>97</v>
      </c>
      <c r="M226" t="s">
        <v>98</v>
      </c>
      <c r="N226" t="s">
        <v>99</v>
      </c>
      <c r="O226">
        <f t="shared" si="48"/>
        <v>1</v>
      </c>
      <c r="P226">
        <f t="shared" si="49"/>
        <v>0</v>
      </c>
      <c r="Q226">
        <f t="shared" si="50"/>
        <v>0</v>
      </c>
      <c r="R226">
        <f t="shared" si="51"/>
        <v>0</v>
      </c>
      <c r="S226">
        <f t="shared" si="52"/>
        <v>0</v>
      </c>
      <c r="T226">
        <f t="shared" si="53"/>
        <v>0</v>
      </c>
      <c r="U226">
        <f t="shared" si="54"/>
        <v>0</v>
      </c>
      <c r="V226">
        <f t="shared" si="55"/>
        <v>0</v>
      </c>
      <c r="W226">
        <f t="shared" si="56"/>
        <v>0</v>
      </c>
      <c r="X226">
        <f t="shared" si="57"/>
        <v>0</v>
      </c>
      <c r="Y226">
        <f t="shared" si="58"/>
        <v>0</v>
      </c>
      <c r="Z226">
        <f t="shared" si="59"/>
        <v>0</v>
      </c>
      <c r="AA226">
        <f t="shared" si="60"/>
        <v>0</v>
      </c>
      <c r="AB226">
        <f t="shared" si="61"/>
        <v>0</v>
      </c>
      <c r="AC226">
        <f t="shared" si="62"/>
        <v>0</v>
      </c>
      <c r="AD226">
        <f t="shared" si="63"/>
        <v>0</v>
      </c>
      <c r="AE226">
        <v>95.2</v>
      </c>
      <c r="AF226">
        <v>1.75</v>
      </c>
      <c r="AG226">
        <v>6.51</v>
      </c>
      <c r="AH226" t="s">
        <v>100</v>
      </c>
      <c r="AI226" t="s">
        <v>97</v>
      </c>
      <c r="AJ226" t="s">
        <v>97</v>
      </c>
      <c r="AK226" t="s">
        <v>97</v>
      </c>
      <c r="AL226" t="s">
        <v>97</v>
      </c>
      <c r="AM226">
        <v>11</v>
      </c>
      <c r="AN226" t="s">
        <v>101</v>
      </c>
      <c r="AO226" t="s">
        <v>103</v>
      </c>
      <c r="AP226" t="s">
        <v>122</v>
      </c>
      <c r="AQ226" t="s">
        <v>103</v>
      </c>
      <c r="AR226" t="s">
        <v>190</v>
      </c>
      <c r="AS226" t="s">
        <v>104</v>
      </c>
      <c r="AT226" t="s">
        <v>106</v>
      </c>
      <c r="AU226" t="s">
        <v>97</v>
      </c>
      <c r="AV226" t="s">
        <v>97</v>
      </c>
      <c r="AW226">
        <v>-0.08</v>
      </c>
      <c r="AX226">
        <v>1.46</v>
      </c>
      <c r="AY226">
        <v>-1</v>
      </c>
      <c r="AZ226">
        <v>4</v>
      </c>
      <c r="BA226" t="s">
        <v>97</v>
      </c>
      <c r="BB226" t="s">
        <v>97</v>
      </c>
      <c r="BC226">
        <v>702332</v>
      </c>
      <c r="BD226">
        <v>1</v>
      </c>
      <c r="BE226" t="s">
        <v>97</v>
      </c>
      <c r="BF226" t="s">
        <v>97</v>
      </c>
      <c r="BG226" t="s">
        <v>97</v>
      </c>
      <c r="BH226" t="s">
        <v>97</v>
      </c>
      <c r="BI226">
        <v>669257</v>
      </c>
      <c r="BJ226">
        <v>669257</v>
      </c>
      <c r="BK226" t="s">
        <v>97</v>
      </c>
      <c r="BL226" t="s">
        <v>97</v>
      </c>
      <c r="BM226">
        <v>-7.0996922590000002</v>
      </c>
      <c r="BN226">
        <v>-138.35013649999999</v>
      </c>
      <c r="BO226">
        <v>-4.2241382270000001</v>
      </c>
      <c r="BP226">
        <v>0.74553987099999997</v>
      </c>
      <c r="BQ226">
        <v>33.386606270000001</v>
      </c>
      <c r="BR226">
        <v>-12.68142185</v>
      </c>
      <c r="BS226">
        <v>3.28</v>
      </c>
      <c r="BT226">
        <v>1.43</v>
      </c>
      <c r="BU226" t="s">
        <v>97</v>
      </c>
      <c r="BV226" t="s">
        <v>97</v>
      </c>
      <c r="BW226" t="s">
        <v>97</v>
      </c>
      <c r="BX226">
        <v>95.5</v>
      </c>
      <c r="BY226">
        <v>2525</v>
      </c>
      <c r="BZ226">
        <v>6.7</v>
      </c>
      <c r="CA226">
        <v>813036</v>
      </c>
      <c r="CB226">
        <v>669257</v>
      </c>
      <c r="CC226">
        <v>669257</v>
      </c>
      <c r="CD226">
        <v>518692</v>
      </c>
      <c r="CE226">
        <v>669242</v>
      </c>
      <c r="CF226">
        <v>571970</v>
      </c>
      <c r="CG226">
        <v>605141</v>
      </c>
      <c r="CH226">
        <v>571771</v>
      </c>
      <c r="CI226">
        <v>681624</v>
      </c>
      <c r="CJ226">
        <v>606192</v>
      </c>
      <c r="CK226">
        <v>53.78</v>
      </c>
      <c r="CL226" t="s">
        <v>97</v>
      </c>
      <c r="CM226" t="s">
        <v>97</v>
      </c>
      <c r="CN226" t="s">
        <v>97</v>
      </c>
      <c r="CO226" t="s">
        <v>97</v>
      </c>
      <c r="CP226" t="s">
        <v>97</v>
      </c>
      <c r="CQ226" t="s">
        <v>97</v>
      </c>
      <c r="CR226" t="s">
        <v>97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 t="s">
        <v>107</v>
      </c>
      <c r="DB226" t="s">
        <v>107</v>
      </c>
      <c r="DC226">
        <v>162</v>
      </c>
      <c r="DD226">
        <v>0</v>
      </c>
      <c r="DE226">
        <v>3.5000000000000003E-2</v>
      </c>
      <c r="DF226" t="s">
        <v>97</v>
      </c>
      <c r="DG226" t="s">
        <v>97</v>
      </c>
    </row>
    <row r="227" spans="1:111" x14ac:dyDescent="0.2">
      <c r="A227">
        <v>2025</v>
      </c>
      <c r="B227" s="1">
        <v>45943</v>
      </c>
      <c r="C227" t="s">
        <v>95</v>
      </c>
      <c r="D227">
        <v>605483</v>
      </c>
      <c r="E227">
        <v>687401</v>
      </c>
      <c r="F227">
        <v>1</v>
      </c>
      <c r="G227">
        <v>0</v>
      </c>
      <c r="H227">
        <v>3</v>
      </c>
      <c r="I227" t="s">
        <v>163</v>
      </c>
      <c r="J227">
        <v>20</v>
      </c>
      <c r="K227">
        <v>2</v>
      </c>
      <c r="L227" t="s">
        <v>97</v>
      </c>
      <c r="M227" t="s">
        <v>98</v>
      </c>
      <c r="N227" t="s">
        <v>99</v>
      </c>
      <c r="O227">
        <f t="shared" si="48"/>
        <v>1</v>
      </c>
      <c r="P227">
        <f t="shared" si="49"/>
        <v>0</v>
      </c>
      <c r="Q227">
        <f t="shared" si="50"/>
        <v>0</v>
      </c>
      <c r="R227">
        <f t="shared" si="51"/>
        <v>0</v>
      </c>
      <c r="S227">
        <f t="shared" si="52"/>
        <v>0</v>
      </c>
      <c r="T227">
        <f t="shared" si="53"/>
        <v>0</v>
      </c>
      <c r="U227">
        <f t="shared" si="54"/>
        <v>0</v>
      </c>
      <c r="V227">
        <f t="shared" si="55"/>
        <v>0</v>
      </c>
      <c r="W227">
        <f t="shared" si="56"/>
        <v>0</v>
      </c>
      <c r="X227">
        <f t="shared" si="57"/>
        <v>0</v>
      </c>
      <c r="Y227">
        <f t="shared" si="58"/>
        <v>0</v>
      </c>
      <c r="Z227">
        <f t="shared" si="59"/>
        <v>0</v>
      </c>
      <c r="AA227">
        <f t="shared" si="60"/>
        <v>0</v>
      </c>
      <c r="AB227">
        <f t="shared" si="61"/>
        <v>0</v>
      </c>
      <c r="AC227">
        <f t="shared" si="62"/>
        <v>0</v>
      </c>
      <c r="AD227">
        <f t="shared" si="63"/>
        <v>0</v>
      </c>
      <c r="AE227">
        <v>94</v>
      </c>
      <c r="AF227">
        <v>1.82</v>
      </c>
      <c r="AG227">
        <v>6.5</v>
      </c>
      <c r="AH227" t="s">
        <v>108</v>
      </c>
      <c r="AI227" t="s">
        <v>97</v>
      </c>
      <c r="AJ227" t="s">
        <v>97</v>
      </c>
      <c r="AK227" t="s">
        <v>97</v>
      </c>
      <c r="AL227" t="s">
        <v>97</v>
      </c>
      <c r="AM227">
        <v>1</v>
      </c>
      <c r="AN227" t="s">
        <v>109</v>
      </c>
      <c r="AO227" t="s">
        <v>103</v>
      </c>
      <c r="AP227" t="s">
        <v>122</v>
      </c>
      <c r="AQ227" t="s">
        <v>103</v>
      </c>
      <c r="AR227" t="s">
        <v>190</v>
      </c>
      <c r="AS227" t="s">
        <v>104</v>
      </c>
      <c r="AT227" t="s">
        <v>110</v>
      </c>
      <c r="AU227" t="s">
        <v>97</v>
      </c>
      <c r="AV227" t="s">
        <v>97</v>
      </c>
      <c r="AW227">
        <v>0.45</v>
      </c>
      <c r="AX227">
        <v>1.42</v>
      </c>
      <c r="AY227">
        <v>-0.45</v>
      </c>
      <c r="AZ227">
        <v>3.28</v>
      </c>
      <c r="BA227" t="s">
        <v>97</v>
      </c>
      <c r="BB227" t="s">
        <v>97</v>
      </c>
      <c r="BC227">
        <v>702332</v>
      </c>
      <c r="BD227">
        <v>1</v>
      </c>
      <c r="BE227" t="s">
        <v>97</v>
      </c>
      <c r="BF227" t="s">
        <v>97</v>
      </c>
      <c r="BG227" t="s">
        <v>97</v>
      </c>
      <c r="BH227" t="s">
        <v>97</v>
      </c>
      <c r="BI227">
        <v>669257</v>
      </c>
      <c r="BJ227">
        <v>669257</v>
      </c>
      <c r="BK227" t="s">
        <v>97</v>
      </c>
      <c r="BL227" t="s">
        <v>97</v>
      </c>
      <c r="BM227">
        <v>-6.9577504140000004</v>
      </c>
      <c r="BN227">
        <v>-136.66529009999999</v>
      </c>
      <c r="BO227">
        <v>-5.7980537160000001</v>
      </c>
      <c r="BP227">
        <v>7.2549872830000002</v>
      </c>
      <c r="BQ227">
        <v>31.359486839999999</v>
      </c>
      <c r="BR227">
        <v>-13.3391991</v>
      </c>
      <c r="BS227">
        <v>3.32</v>
      </c>
      <c r="BT227">
        <v>1.53</v>
      </c>
      <c r="BU227" t="s">
        <v>97</v>
      </c>
      <c r="BV227" t="s">
        <v>97</v>
      </c>
      <c r="BW227" t="s">
        <v>97</v>
      </c>
      <c r="BX227">
        <v>94.7</v>
      </c>
      <c r="BY227">
        <v>2400</v>
      </c>
      <c r="BZ227">
        <v>6.8</v>
      </c>
      <c r="CA227">
        <v>813036</v>
      </c>
      <c r="CB227">
        <v>669257</v>
      </c>
      <c r="CC227">
        <v>669257</v>
      </c>
      <c r="CD227">
        <v>518692</v>
      </c>
      <c r="CE227">
        <v>669242</v>
      </c>
      <c r="CF227">
        <v>571970</v>
      </c>
      <c r="CG227">
        <v>605141</v>
      </c>
      <c r="CH227">
        <v>571771</v>
      </c>
      <c r="CI227">
        <v>681624</v>
      </c>
      <c r="CJ227">
        <v>606192</v>
      </c>
      <c r="CK227">
        <v>53.67</v>
      </c>
      <c r="CL227" t="s">
        <v>97</v>
      </c>
      <c r="CM227" t="s">
        <v>97</v>
      </c>
      <c r="CN227" t="s">
        <v>97</v>
      </c>
      <c r="CO227" t="s">
        <v>97</v>
      </c>
      <c r="CP227" t="s">
        <v>97</v>
      </c>
      <c r="CQ227" t="s">
        <v>97</v>
      </c>
      <c r="CR227" t="s">
        <v>97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 t="s">
        <v>107</v>
      </c>
      <c r="DB227" t="s">
        <v>107</v>
      </c>
      <c r="DC227">
        <v>149</v>
      </c>
      <c r="DD227">
        <v>0</v>
      </c>
      <c r="DE227">
        <v>-5.6000000000000001E-2</v>
      </c>
      <c r="DF227" t="s">
        <v>97</v>
      </c>
      <c r="DG227" t="s">
        <v>97</v>
      </c>
    </row>
    <row r="228" spans="1:111" x14ac:dyDescent="0.2">
      <c r="A228">
        <v>2025</v>
      </c>
      <c r="B228" s="1">
        <v>45943</v>
      </c>
      <c r="C228" t="s">
        <v>95</v>
      </c>
      <c r="D228">
        <v>605483</v>
      </c>
      <c r="E228">
        <v>687401</v>
      </c>
      <c r="F228">
        <v>1</v>
      </c>
      <c r="G228">
        <v>1</v>
      </c>
      <c r="H228">
        <v>3</v>
      </c>
      <c r="I228" t="s">
        <v>163</v>
      </c>
      <c r="J228">
        <v>20</v>
      </c>
      <c r="K228">
        <v>3</v>
      </c>
      <c r="L228" t="s">
        <v>97</v>
      </c>
      <c r="M228" t="s">
        <v>98</v>
      </c>
      <c r="N228" t="s">
        <v>99</v>
      </c>
      <c r="O228">
        <f t="shared" si="48"/>
        <v>1</v>
      </c>
      <c r="P228">
        <f t="shared" si="49"/>
        <v>0</v>
      </c>
      <c r="Q228">
        <f t="shared" si="50"/>
        <v>0</v>
      </c>
      <c r="R228">
        <f t="shared" si="51"/>
        <v>0</v>
      </c>
      <c r="S228">
        <f t="shared" si="52"/>
        <v>0</v>
      </c>
      <c r="T228">
        <f t="shared" si="53"/>
        <v>0</v>
      </c>
      <c r="U228">
        <f t="shared" si="54"/>
        <v>0</v>
      </c>
      <c r="V228">
        <f t="shared" si="55"/>
        <v>0</v>
      </c>
      <c r="W228">
        <f t="shared" si="56"/>
        <v>0</v>
      </c>
      <c r="X228">
        <f t="shared" si="57"/>
        <v>0</v>
      </c>
      <c r="Y228">
        <f t="shared" si="58"/>
        <v>0</v>
      </c>
      <c r="Z228">
        <f t="shared" si="59"/>
        <v>0</v>
      </c>
      <c r="AA228">
        <f t="shared" si="60"/>
        <v>0</v>
      </c>
      <c r="AB228">
        <f t="shared" si="61"/>
        <v>0</v>
      </c>
      <c r="AC228">
        <f t="shared" si="62"/>
        <v>0</v>
      </c>
      <c r="AD228">
        <f t="shared" si="63"/>
        <v>0</v>
      </c>
      <c r="AE228">
        <v>96.2</v>
      </c>
      <c r="AF228">
        <v>1.91</v>
      </c>
      <c r="AG228">
        <v>6.52</v>
      </c>
      <c r="AH228" t="s">
        <v>129</v>
      </c>
      <c r="AI228" t="s">
        <v>97</v>
      </c>
      <c r="AJ228" t="s">
        <v>97</v>
      </c>
      <c r="AK228" t="s">
        <v>97</v>
      </c>
      <c r="AL228" t="s">
        <v>97</v>
      </c>
      <c r="AM228">
        <v>11</v>
      </c>
      <c r="AN228" t="s">
        <v>130</v>
      </c>
      <c r="AO228" t="s">
        <v>103</v>
      </c>
      <c r="AP228" t="s">
        <v>122</v>
      </c>
      <c r="AQ228" t="s">
        <v>103</v>
      </c>
      <c r="AR228" t="s">
        <v>190</v>
      </c>
      <c r="AS228" t="s">
        <v>104</v>
      </c>
      <c r="AT228" t="s">
        <v>110</v>
      </c>
      <c r="AU228" t="s">
        <v>97</v>
      </c>
      <c r="AV228" t="s">
        <v>97</v>
      </c>
      <c r="AW228">
        <v>0.28999999999999998</v>
      </c>
      <c r="AX228">
        <v>1.34</v>
      </c>
      <c r="AY228">
        <v>-0.22</v>
      </c>
      <c r="AZ228">
        <v>3.59</v>
      </c>
      <c r="BA228" t="s">
        <v>97</v>
      </c>
      <c r="BB228" t="s">
        <v>97</v>
      </c>
      <c r="BC228" t="s">
        <v>97</v>
      </c>
      <c r="BD228">
        <v>2</v>
      </c>
      <c r="BE228" t="s">
        <v>97</v>
      </c>
      <c r="BF228" t="s">
        <v>97</v>
      </c>
      <c r="BG228" t="s">
        <v>97</v>
      </c>
      <c r="BH228" t="s">
        <v>97</v>
      </c>
      <c r="BI228">
        <v>669257</v>
      </c>
      <c r="BJ228">
        <v>669257</v>
      </c>
      <c r="BK228" t="s">
        <v>97</v>
      </c>
      <c r="BL228" t="s">
        <v>97</v>
      </c>
      <c r="BM228">
        <v>-6.3782129809999999</v>
      </c>
      <c r="BN228">
        <v>-139.88530170000001</v>
      </c>
      <c r="BO228">
        <v>-5.2080014380000001</v>
      </c>
      <c r="BP228">
        <v>5.3742039290000001</v>
      </c>
      <c r="BQ228">
        <v>34.25918051</v>
      </c>
      <c r="BR228">
        <v>-13.57743348</v>
      </c>
      <c r="BS228">
        <v>3.33</v>
      </c>
      <c r="BT228">
        <v>1.53</v>
      </c>
      <c r="BU228" t="s">
        <v>97</v>
      </c>
      <c r="BV228" t="s">
        <v>97</v>
      </c>
      <c r="BW228" t="s">
        <v>97</v>
      </c>
      <c r="BX228">
        <v>96.7</v>
      </c>
      <c r="BY228">
        <v>2476</v>
      </c>
      <c r="BZ228">
        <v>6.8</v>
      </c>
      <c r="CA228">
        <v>813036</v>
      </c>
      <c r="CB228">
        <v>669257</v>
      </c>
      <c r="CC228">
        <v>669257</v>
      </c>
      <c r="CD228">
        <v>518692</v>
      </c>
      <c r="CE228">
        <v>669242</v>
      </c>
      <c r="CF228">
        <v>571970</v>
      </c>
      <c r="CG228">
        <v>605141</v>
      </c>
      <c r="CH228">
        <v>571771</v>
      </c>
      <c r="CI228">
        <v>681624</v>
      </c>
      <c r="CJ228">
        <v>606192</v>
      </c>
      <c r="CK228">
        <v>53.69</v>
      </c>
      <c r="CL228" t="s">
        <v>97</v>
      </c>
      <c r="CM228" t="s">
        <v>97</v>
      </c>
      <c r="CN228" t="s">
        <v>97</v>
      </c>
      <c r="CO228" t="s">
        <v>97</v>
      </c>
      <c r="CP228" t="s">
        <v>97</v>
      </c>
      <c r="CQ228" t="s">
        <v>97</v>
      </c>
      <c r="CR228" t="s">
        <v>97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 t="s">
        <v>107</v>
      </c>
      <c r="DB228" t="s">
        <v>107</v>
      </c>
      <c r="DC228">
        <v>164</v>
      </c>
      <c r="DD228">
        <v>0</v>
      </c>
      <c r="DE228">
        <v>-6.2E-2</v>
      </c>
      <c r="DF228">
        <v>69.8</v>
      </c>
      <c r="DG228">
        <v>6</v>
      </c>
    </row>
    <row r="229" spans="1:111" x14ac:dyDescent="0.2">
      <c r="A229">
        <v>2025</v>
      </c>
      <c r="B229" s="1">
        <v>45943</v>
      </c>
      <c r="C229" t="s">
        <v>95</v>
      </c>
      <c r="D229">
        <v>605483</v>
      </c>
      <c r="E229">
        <v>687401</v>
      </c>
      <c r="F229">
        <v>1</v>
      </c>
      <c r="G229">
        <v>2</v>
      </c>
      <c r="H229">
        <v>3</v>
      </c>
      <c r="I229" t="s">
        <v>163</v>
      </c>
      <c r="J229">
        <v>20</v>
      </c>
      <c r="K229">
        <v>4</v>
      </c>
      <c r="L229" t="s">
        <v>119</v>
      </c>
      <c r="M229" t="s">
        <v>98</v>
      </c>
      <c r="N229" t="s">
        <v>99</v>
      </c>
      <c r="O229">
        <f t="shared" si="48"/>
        <v>0</v>
      </c>
      <c r="P229">
        <f t="shared" si="49"/>
        <v>0</v>
      </c>
      <c r="Q229">
        <f t="shared" si="50"/>
        <v>0</v>
      </c>
      <c r="R229">
        <f t="shared" si="51"/>
        <v>1</v>
      </c>
      <c r="S229">
        <f t="shared" si="52"/>
        <v>0</v>
      </c>
      <c r="T229">
        <f t="shared" si="53"/>
        <v>0</v>
      </c>
      <c r="U229">
        <f t="shared" si="54"/>
        <v>0</v>
      </c>
      <c r="V229">
        <f t="shared" si="55"/>
        <v>0</v>
      </c>
      <c r="W229">
        <f t="shared" si="56"/>
        <v>0</v>
      </c>
      <c r="X229">
        <f t="shared" si="57"/>
        <v>0</v>
      </c>
      <c r="Y229">
        <f t="shared" si="58"/>
        <v>0</v>
      </c>
      <c r="Z229">
        <f t="shared" si="59"/>
        <v>0</v>
      </c>
      <c r="AA229">
        <f t="shared" si="60"/>
        <v>0</v>
      </c>
      <c r="AB229">
        <f t="shared" si="61"/>
        <v>0</v>
      </c>
      <c r="AC229">
        <f t="shared" si="62"/>
        <v>0</v>
      </c>
      <c r="AD229">
        <f t="shared" si="63"/>
        <v>0</v>
      </c>
      <c r="AE229">
        <v>96.9</v>
      </c>
      <c r="AF229">
        <v>1.75</v>
      </c>
      <c r="AG229">
        <v>6.43</v>
      </c>
      <c r="AH229" t="s">
        <v>120</v>
      </c>
      <c r="AI229" t="s">
        <v>97</v>
      </c>
      <c r="AJ229" t="s">
        <v>97</v>
      </c>
      <c r="AK229" t="s">
        <v>97</v>
      </c>
      <c r="AL229" t="s">
        <v>97</v>
      </c>
      <c r="AM229">
        <v>13</v>
      </c>
      <c r="AN229" t="s">
        <v>199</v>
      </c>
      <c r="AO229" t="s">
        <v>103</v>
      </c>
      <c r="AP229" t="s">
        <v>122</v>
      </c>
      <c r="AQ229" t="s">
        <v>103</v>
      </c>
      <c r="AR229" t="s">
        <v>190</v>
      </c>
      <c r="AS229" t="s">
        <v>104</v>
      </c>
      <c r="AT229" t="s">
        <v>123</v>
      </c>
      <c r="AU229">
        <v>6</v>
      </c>
      <c r="AV229" t="s">
        <v>127</v>
      </c>
      <c r="AW229">
        <v>0.26</v>
      </c>
      <c r="AX229">
        <v>1.75</v>
      </c>
      <c r="AY229">
        <v>-0.96</v>
      </c>
      <c r="AZ229">
        <v>2.3199999999999998</v>
      </c>
      <c r="BA229" t="s">
        <v>97</v>
      </c>
      <c r="BB229" t="s">
        <v>97</v>
      </c>
      <c r="BC229" t="s">
        <v>97</v>
      </c>
      <c r="BD229">
        <v>2</v>
      </c>
      <c r="BE229">
        <v>126.1</v>
      </c>
      <c r="BF229">
        <v>151.87</v>
      </c>
      <c r="BG229" t="s">
        <v>97</v>
      </c>
      <c r="BH229" t="s">
        <v>97</v>
      </c>
      <c r="BI229">
        <v>669257</v>
      </c>
      <c r="BJ229">
        <v>669257</v>
      </c>
      <c r="BK229" t="s">
        <v>97</v>
      </c>
      <c r="BL229" t="s">
        <v>97</v>
      </c>
      <c r="BM229">
        <v>-7.8957170960000003</v>
      </c>
      <c r="BN229">
        <v>-140.54898109999999</v>
      </c>
      <c r="BO229">
        <v>-9.4705034020000003</v>
      </c>
      <c r="BP229">
        <v>5.3307944569999997</v>
      </c>
      <c r="BQ229">
        <v>33.538376730000003</v>
      </c>
      <c r="BR229">
        <v>-6.9678347489999997</v>
      </c>
      <c r="BS229">
        <v>3.33</v>
      </c>
      <c r="BT229">
        <v>1.53</v>
      </c>
      <c r="BU229">
        <v>27</v>
      </c>
      <c r="BV229">
        <v>72.5</v>
      </c>
      <c r="BW229">
        <v>-3</v>
      </c>
      <c r="BX229">
        <v>97.5</v>
      </c>
      <c r="BY229">
        <v>2489</v>
      </c>
      <c r="BZ229">
        <v>6.9</v>
      </c>
      <c r="CA229">
        <v>813036</v>
      </c>
      <c r="CB229">
        <v>669257</v>
      </c>
      <c r="CC229">
        <v>669257</v>
      </c>
      <c r="CD229">
        <v>518692</v>
      </c>
      <c r="CE229">
        <v>669242</v>
      </c>
      <c r="CF229">
        <v>571970</v>
      </c>
      <c r="CG229">
        <v>605141</v>
      </c>
      <c r="CH229">
        <v>571771</v>
      </c>
      <c r="CI229">
        <v>681624</v>
      </c>
      <c r="CJ229">
        <v>606192</v>
      </c>
      <c r="CK229">
        <v>53.56</v>
      </c>
      <c r="CL229">
        <v>7.3999999999999996E-2</v>
      </c>
      <c r="CM229">
        <v>7.6999999999999999E-2</v>
      </c>
      <c r="CN229">
        <v>0</v>
      </c>
      <c r="CO229">
        <v>1</v>
      </c>
      <c r="CP229">
        <v>0</v>
      </c>
      <c r="CQ229">
        <v>0</v>
      </c>
      <c r="CR229">
        <v>2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 t="s">
        <v>107</v>
      </c>
      <c r="DB229" t="s">
        <v>107</v>
      </c>
      <c r="DC229">
        <v>160</v>
      </c>
      <c r="DD229">
        <v>-1.2E-2</v>
      </c>
      <c r="DE229">
        <v>-0.182</v>
      </c>
      <c r="DF229">
        <v>69.8</v>
      </c>
      <c r="DG229">
        <v>6.9</v>
      </c>
    </row>
    <row r="230" spans="1:111" x14ac:dyDescent="0.2">
      <c r="A230">
        <v>2025</v>
      </c>
      <c r="B230" s="1">
        <v>45943</v>
      </c>
      <c r="C230" t="s">
        <v>95</v>
      </c>
      <c r="D230">
        <v>605483</v>
      </c>
      <c r="E230">
        <v>694192</v>
      </c>
      <c r="F230">
        <v>0</v>
      </c>
      <c r="G230">
        <v>0</v>
      </c>
      <c r="H230">
        <v>4</v>
      </c>
      <c r="I230" t="s">
        <v>163</v>
      </c>
      <c r="J230">
        <v>26</v>
      </c>
      <c r="K230">
        <v>1</v>
      </c>
      <c r="L230" t="s">
        <v>97</v>
      </c>
      <c r="M230" t="s">
        <v>138</v>
      </c>
      <c r="N230" t="s">
        <v>139</v>
      </c>
      <c r="O230">
        <f t="shared" si="48"/>
        <v>0</v>
      </c>
      <c r="P230">
        <f t="shared" si="49"/>
        <v>0</v>
      </c>
      <c r="Q230">
        <f t="shared" si="50"/>
        <v>0</v>
      </c>
      <c r="R230">
        <f t="shared" si="51"/>
        <v>0</v>
      </c>
      <c r="S230">
        <f t="shared" si="52"/>
        <v>0</v>
      </c>
      <c r="T230">
        <f t="shared" si="53"/>
        <v>0</v>
      </c>
      <c r="U230">
        <f t="shared" si="54"/>
        <v>0</v>
      </c>
      <c r="V230">
        <f t="shared" si="55"/>
        <v>0</v>
      </c>
      <c r="W230">
        <f t="shared" si="56"/>
        <v>0</v>
      </c>
      <c r="X230">
        <f t="shared" si="57"/>
        <v>0</v>
      </c>
      <c r="Y230">
        <f t="shared" si="58"/>
        <v>0</v>
      </c>
      <c r="Z230">
        <f t="shared" si="59"/>
        <v>0</v>
      </c>
      <c r="AA230">
        <f t="shared" si="60"/>
        <v>0</v>
      </c>
      <c r="AB230">
        <f t="shared" si="61"/>
        <v>0</v>
      </c>
      <c r="AC230">
        <f t="shared" si="62"/>
        <v>1</v>
      </c>
      <c r="AD230">
        <f t="shared" si="63"/>
        <v>0</v>
      </c>
      <c r="AE230">
        <v>87.2</v>
      </c>
      <c r="AF230">
        <v>2</v>
      </c>
      <c r="AG230">
        <v>6.55</v>
      </c>
      <c r="AH230" t="s">
        <v>108</v>
      </c>
      <c r="AI230" t="s">
        <v>97</v>
      </c>
      <c r="AJ230" t="s">
        <v>97</v>
      </c>
      <c r="AK230" t="s">
        <v>97</v>
      </c>
      <c r="AL230" t="s">
        <v>97</v>
      </c>
      <c r="AM230">
        <v>2</v>
      </c>
      <c r="AN230" t="s">
        <v>109</v>
      </c>
      <c r="AO230" t="s">
        <v>103</v>
      </c>
      <c r="AP230" t="s">
        <v>122</v>
      </c>
      <c r="AQ230" t="s">
        <v>103</v>
      </c>
      <c r="AR230" t="s">
        <v>190</v>
      </c>
      <c r="AS230" t="s">
        <v>104</v>
      </c>
      <c r="AT230" t="s">
        <v>110</v>
      </c>
      <c r="AU230" t="s">
        <v>97</v>
      </c>
      <c r="AV230" t="s">
        <v>97</v>
      </c>
      <c r="AW230">
        <v>-0.19</v>
      </c>
      <c r="AX230">
        <v>1.1100000000000001</v>
      </c>
      <c r="AY230">
        <v>0.1</v>
      </c>
      <c r="AZ230">
        <v>3.23</v>
      </c>
      <c r="BA230" t="s">
        <v>97</v>
      </c>
      <c r="BB230" t="s">
        <v>97</v>
      </c>
      <c r="BC230" t="s">
        <v>97</v>
      </c>
      <c r="BD230">
        <v>0</v>
      </c>
      <c r="BE230" t="s">
        <v>97</v>
      </c>
      <c r="BF230" t="s">
        <v>97</v>
      </c>
      <c r="BG230" t="s">
        <v>97</v>
      </c>
      <c r="BH230" t="s">
        <v>97</v>
      </c>
      <c r="BI230">
        <v>669257</v>
      </c>
      <c r="BJ230">
        <v>669257</v>
      </c>
      <c r="BK230" t="s">
        <v>97</v>
      </c>
      <c r="BL230" t="s">
        <v>97</v>
      </c>
      <c r="BM230">
        <v>-4.2001203880000002</v>
      </c>
      <c r="BN230">
        <v>-126.98781870000001</v>
      </c>
      <c r="BO230">
        <v>-4.1341234939999998</v>
      </c>
      <c r="BP230">
        <v>-1.2356632489999999</v>
      </c>
      <c r="BQ230">
        <v>25.979137489999999</v>
      </c>
      <c r="BR230">
        <v>-19.570039479999998</v>
      </c>
      <c r="BS230">
        <v>3.44</v>
      </c>
      <c r="BT230">
        <v>1.58</v>
      </c>
      <c r="BU230" t="s">
        <v>97</v>
      </c>
      <c r="BV230" t="s">
        <v>97</v>
      </c>
      <c r="BW230" t="s">
        <v>97</v>
      </c>
      <c r="BX230">
        <v>87.8</v>
      </c>
      <c r="BY230">
        <v>2346</v>
      </c>
      <c r="BZ230">
        <v>6.6</v>
      </c>
      <c r="CA230">
        <v>813036</v>
      </c>
      <c r="CB230">
        <v>669257</v>
      </c>
      <c r="CC230">
        <v>669257</v>
      </c>
      <c r="CD230">
        <v>518692</v>
      </c>
      <c r="CE230">
        <v>669242</v>
      </c>
      <c r="CF230">
        <v>571970</v>
      </c>
      <c r="CG230">
        <v>605141</v>
      </c>
      <c r="CH230">
        <v>571771</v>
      </c>
      <c r="CI230">
        <v>681624</v>
      </c>
      <c r="CJ230">
        <v>606192</v>
      </c>
      <c r="CK230">
        <v>53.86</v>
      </c>
      <c r="CL230" t="s">
        <v>97</v>
      </c>
      <c r="CM230" t="s">
        <v>97</v>
      </c>
      <c r="CN230" t="s">
        <v>97</v>
      </c>
      <c r="CO230" t="s">
        <v>97</v>
      </c>
      <c r="CP230" t="s">
        <v>97</v>
      </c>
      <c r="CQ230" t="s">
        <v>97</v>
      </c>
      <c r="CR230" t="s">
        <v>97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 t="s">
        <v>107</v>
      </c>
      <c r="DB230" t="s">
        <v>107</v>
      </c>
      <c r="DC230">
        <v>177</v>
      </c>
      <c r="DD230">
        <v>0</v>
      </c>
      <c r="DE230">
        <v>-3.9E-2</v>
      </c>
      <c r="DF230" t="s">
        <v>97</v>
      </c>
      <c r="DG230" t="s">
        <v>97</v>
      </c>
    </row>
    <row r="231" spans="1:111" x14ac:dyDescent="0.2">
      <c r="A231">
        <v>2025</v>
      </c>
      <c r="B231" s="1">
        <v>45943</v>
      </c>
      <c r="C231" t="s">
        <v>95</v>
      </c>
      <c r="D231">
        <v>605483</v>
      </c>
      <c r="E231">
        <v>694192</v>
      </c>
      <c r="F231">
        <v>0</v>
      </c>
      <c r="G231">
        <v>1</v>
      </c>
      <c r="H231">
        <v>4</v>
      </c>
      <c r="I231" t="s">
        <v>163</v>
      </c>
      <c r="J231">
        <v>26</v>
      </c>
      <c r="K231">
        <v>2</v>
      </c>
      <c r="L231" t="s">
        <v>97</v>
      </c>
      <c r="M231" t="s">
        <v>111</v>
      </c>
      <c r="N231" t="s">
        <v>112</v>
      </c>
      <c r="O231">
        <f t="shared" si="48"/>
        <v>0</v>
      </c>
      <c r="P231">
        <f t="shared" si="49"/>
        <v>0</v>
      </c>
      <c r="Q231">
        <f t="shared" si="50"/>
        <v>0</v>
      </c>
      <c r="R231">
        <f t="shared" si="51"/>
        <v>0</v>
      </c>
      <c r="S231">
        <f t="shared" si="52"/>
        <v>0</v>
      </c>
      <c r="T231">
        <f t="shared" si="53"/>
        <v>0</v>
      </c>
      <c r="U231">
        <f t="shared" si="54"/>
        <v>1</v>
      </c>
      <c r="V231">
        <f t="shared" si="55"/>
        <v>0</v>
      </c>
      <c r="W231">
        <f t="shared" si="56"/>
        <v>0</v>
      </c>
      <c r="X231">
        <f t="shared" si="57"/>
        <v>0</v>
      </c>
      <c r="Y231">
        <f t="shared" si="58"/>
        <v>0</v>
      </c>
      <c r="Z231">
        <f t="shared" si="59"/>
        <v>0</v>
      </c>
      <c r="AA231">
        <f t="shared" si="60"/>
        <v>0</v>
      </c>
      <c r="AB231">
        <f t="shared" si="61"/>
        <v>0</v>
      </c>
      <c r="AC231">
        <f t="shared" si="62"/>
        <v>0</v>
      </c>
      <c r="AD231">
        <f t="shared" si="63"/>
        <v>0</v>
      </c>
      <c r="AE231">
        <v>81.5</v>
      </c>
      <c r="AF231">
        <v>2.04</v>
      </c>
      <c r="AG231">
        <v>6.47</v>
      </c>
      <c r="AH231" t="s">
        <v>100</v>
      </c>
      <c r="AI231" t="s">
        <v>97</v>
      </c>
      <c r="AJ231" t="s">
        <v>97</v>
      </c>
      <c r="AK231" t="s">
        <v>97</v>
      </c>
      <c r="AL231" t="s">
        <v>97</v>
      </c>
      <c r="AM231">
        <v>13</v>
      </c>
      <c r="AN231" t="s">
        <v>101</v>
      </c>
      <c r="AO231" t="s">
        <v>103</v>
      </c>
      <c r="AP231" t="s">
        <v>122</v>
      </c>
      <c r="AQ231" t="s">
        <v>103</v>
      </c>
      <c r="AR231" t="s">
        <v>190</v>
      </c>
      <c r="AS231" t="s">
        <v>104</v>
      </c>
      <c r="AT231" t="s">
        <v>106</v>
      </c>
      <c r="AU231" t="s">
        <v>97</v>
      </c>
      <c r="AV231" t="s">
        <v>97</v>
      </c>
      <c r="AW231">
        <v>-1.24</v>
      </c>
      <c r="AX231">
        <v>-0.43</v>
      </c>
      <c r="AY231">
        <v>-0.5</v>
      </c>
      <c r="AZ231">
        <v>0.05</v>
      </c>
      <c r="BA231" t="s">
        <v>97</v>
      </c>
      <c r="BB231" t="s">
        <v>97</v>
      </c>
      <c r="BC231" t="s">
        <v>97</v>
      </c>
      <c r="BD231">
        <v>0</v>
      </c>
      <c r="BE231" t="s">
        <v>97</v>
      </c>
      <c r="BF231" t="s">
        <v>97</v>
      </c>
      <c r="BG231" t="s">
        <v>97</v>
      </c>
      <c r="BH231" t="s">
        <v>97</v>
      </c>
      <c r="BI231">
        <v>669257</v>
      </c>
      <c r="BJ231">
        <v>669257</v>
      </c>
      <c r="BK231" t="s">
        <v>97</v>
      </c>
      <c r="BL231" t="s">
        <v>97</v>
      </c>
      <c r="BM231">
        <v>-3.3379132569999999</v>
      </c>
      <c r="BN231">
        <v>-118.3975853</v>
      </c>
      <c r="BO231">
        <v>-6.9297035779999998</v>
      </c>
      <c r="BP231">
        <v>-10.80803137</v>
      </c>
      <c r="BQ231">
        <v>25.604283120000002</v>
      </c>
      <c r="BR231">
        <v>-34.872044639999999</v>
      </c>
      <c r="BS231">
        <v>3.25</v>
      </c>
      <c r="BT231">
        <v>1.6</v>
      </c>
      <c r="BU231" t="s">
        <v>97</v>
      </c>
      <c r="BV231" t="s">
        <v>97</v>
      </c>
      <c r="BW231" t="s">
        <v>97</v>
      </c>
      <c r="BX231">
        <v>81.5</v>
      </c>
      <c r="BY231">
        <v>2513</v>
      </c>
      <c r="BZ231">
        <v>6.7</v>
      </c>
      <c r="CA231">
        <v>813036</v>
      </c>
      <c r="CB231">
        <v>669257</v>
      </c>
      <c r="CC231">
        <v>669257</v>
      </c>
      <c r="CD231">
        <v>518692</v>
      </c>
      <c r="CE231">
        <v>669242</v>
      </c>
      <c r="CF231">
        <v>571970</v>
      </c>
      <c r="CG231">
        <v>605141</v>
      </c>
      <c r="CH231">
        <v>571771</v>
      </c>
      <c r="CI231">
        <v>681624</v>
      </c>
      <c r="CJ231">
        <v>606192</v>
      </c>
      <c r="CK231">
        <v>53.8</v>
      </c>
      <c r="CL231" t="s">
        <v>97</v>
      </c>
      <c r="CM231" t="s">
        <v>97</v>
      </c>
      <c r="CN231" t="s">
        <v>97</v>
      </c>
      <c r="CO231" t="s">
        <v>97</v>
      </c>
      <c r="CP231" t="s">
        <v>97</v>
      </c>
      <c r="CQ231" t="s">
        <v>97</v>
      </c>
      <c r="CR231" t="s">
        <v>97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 t="s">
        <v>107</v>
      </c>
      <c r="DB231" t="s">
        <v>107</v>
      </c>
      <c r="DC231">
        <v>319</v>
      </c>
      <c r="DD231">
        <v>0</v>
      </c>
      <c r="DE231">
        <v>3.1E-2</v>
      </c>
      <c r="DF231" t="s">
        <v>97</v>
      </c>
      <c r="DG231" t="s">
        <v>97</v>
      </c>
    </row>
    <row r="232" spans="1:111" x14ac:dyDescent="0.2">
      <c r="A232">
        <v>2025</v>
      </c>
      <c r="B232" s="1">
        <v>45943</v>
      </c>
      <c r="C232" t="s">
        <v>95</v>
      </c>
      <c r="D232">
        <v>605483</v>
      </c>
      <c r="E232">
        <v>694192</v>
      </c>
      <c r="F232">
        <v>1</v>
      </c>
      <c r="G232">
        <v>1</v>
      </c>
      <c r="H232">
        <v>4</v>
      </c>
      <c r="I232" t="s">
        <v>163</v>
      </c>
      <c r="J232">
        <v>26</v>
      </c>
      <c r="K232">
        <v>3</v>
      </c>
      <c r="L232" t="s">
        <v>97</v>
      </c>
      <c r="M232" t="s">
        <v>132</v>
      </c>
      <c r="N232" t="s">
        <v>133</v>
      </c>
      <c r="O232">
        <f t="shared" si="48"/>
        <v>0</v>
      </c>
      <c r="P232">
        <f t="shared" si="49"/>
        <v>0</v>
      </c>
      <c r="Q232">
        <f t="shared" si="50"/>
        <v>0</v>
      </c>
      <c r="R232">
        <f t="shared" si="51"/>
        <v>0</v>
      </c>
      <c r="S232">
        <f t="shared" si="52"/>
        <v>0</v>
      </c>
      <c r="T232">
        <f t="shared" si="53"/>
        <v>0</v>
      </c>
      <c r="U232">
        <f t="shared" si="54"/>
        <v>0</v>
      </c>
      <c r="V232">
        <f t="shared" si="55"/>
        <v>0</v>
      </c>
      <c r="W232">
        <f t="shared" si="56"/>
        <v>0</v>
      </c>
      <c r="X232">
        <f t="shared" si="57"/>
        <v>0</v>
      </c>
      <c r="Y232">
        <f t="shared" si="58"/>
        <v>1</v>
      </c>
      <c r="Z232">
        <f t="shared" si="59"/>
        <v>0</v>
      </c>
      <c r="AA232">
        <f t="shared" si="60"/>
        <v>0</v>
      </c>
      <c r="AB232">
        <f t="shared" si="61"/>
        <v>0</v>
      </c>
      <c r="AC232">
        <f t="shared" si="62"/>
        <v>0</v>
      </c>
      <c r="AD232">
        <f t="shared" si="63"/>
        <v>0</v>
      </c>
      <c r="AE232">
        <v>82.3</v>
      </c>
      <c r="AF232">
        <v>2.2799999999999998</v>
      </c>
      <c r="AG232">
        <v>6.27</v>
      </c>
      <c r="AH232" t="s">
        <v>113</v>
      </c>
      <c r="AI232" t="s">
        <v>97</v>
      </c>
      <c r="AJ232" t="s">
        <v>97</v>
      </c>
      <c r="AK232" t="s">
        <v>97</v>
      </c>
      <c r="AL232" t="s">
        <v>97</v>
      </c>
      <c r="AM232">
        <v>14</v>
      </c>
      <c r="AN232" t="s">
        <v>114</v>
      </c>
      <c r="AO232" t="s">
        <v>103</v>
      </c>
      <c r="AP232" t="s">
        <v>122</v>
      </c>
      <c r="AQ232" t="s">
        <v>103</v>
      </c>
      <c r="AR232" t="s">
        <v>190</v>
      </c>
      <c r="AS232" t="s">
        <v>104</v>
      </c>
      <c r="AT232" t="s">
        <v>110</v>
      </c>
      <c r="AU232" t="s">
        <v>97</v>
      </c>
      <c r="AV232" t="s">
        <v>97</v>
      </c>
      <c r="AW232">
        <v>1.26</v>
      </c>
      <c r="AX232">
        <v>0.84</v>
      </c>
      <c r="AY232">
        <v>0.56000000000000005</v>
      </c>
      <c r="AZ232">
        <v>1.02</v>
      </c>
      <c r="BA232" t="s">
        <v>97</v>
      </c>
      <c r="BB232" t="s">
        <v>97</v>
      </c>
      <c r="BC232" t="s">
        <v>97</v>
      </c>
      <c r="BD232">
        <v>0</v>
      </c>
      <c r="BE232" t="s">
        <v>97</v>
      </c>
      <c r="BF232" t="s">
        <v>97</v>
      </c>
      <c r="BG232" t="s">
        <v>97</v>
      </c>
      <c r="BH232" t="s">
        <v>97</v>
      </c>
      <c r="BI232">
        <v>669257</v>
      </c>
      <c r="BJ232">
        <v>669257</v>
      </c>
      <c r="BK232" t="s">
        <v>97</v>
      </c>
      <c r="BL232" t="s">
        <v>97</v>
      </c>
      <c r="BM232">
        <v>-6.3940071569999999</v>
      </c>
      <c r="BN232">
        <v>-119.5436194</v>
      </c>
      <c r="BO232">
        <v>-7.006768868</v>
      </c>
      <c r="BP232">
        <v>13.333962590000001</v>
      </c>
      <c r="BQ232">
        <v>24.32346746</v>
      </c>
      <c r="BR232">
        <v>-22.948991100000001</v>
      </c>
      <c r="BS232">
        <v>3.34</v>
      </c>
      <c r="BT232">
        <v>1.58</v>
      </c>
      <c r="BU232" t="s">
        <v>97</v>
      </c>
      <c r="BV232" t="s">
        <v>97</v>
      </c>
      <c r="BW232" t="s">
        <v>97</v>
      </c>
      <c r="BX232">
        <v>82.7</v>
      </c>
      <c r="BY232">
        <v>1852</v>
      </c>
      <c r="BZ232">
        <v>6.8</v>
      </c>
      <c r="CA232">
        <v>813036</v>
      </c>
      <c r="CB232">
        <v>669257</v>
      </c>
      <c r="CC232">
        <v>669257</v>
      </c>
      <c r="CD232">
        <v>518692</v>
      </c>
      <c r="CE232">
        <v>669242</v>
      </c>
      <c r="CF232">
        <v>571970</v>
      </c>
      <c r="CG232">
        <v>605141</v>
      </c>
      <c r="CH232">
        <v>571771</v>
      </c>
      <c r="CI232">
        <v>681624</v>
      </c>
      <c r="CJ232">
        <v>606192</v>
      </c>
      <c r="CK232">
        <v>53.69</v>
      </c>
      <c r="CL232" t="s">
        <v>97</v>
      </c>
      <c r="CM232" t="s">
        <v>97</v>
      </c>
      <c r="CN232" t="s">
        <v>97</v>
      </c>
      <c r="CO232" t="s">
        <v>97</v>
      </c>
      <c r="CP232" t="s">
        <v>97</v>
      </c>
      <c r="CQ232" t="s">
        <v>97</v>
      </c>
      <c r="CR232" t="s">
        <v>97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 t="s">
        <v>107</v>
      </c>
      <c r="DB232" t="s">
        <v>107</v>
      </c>
      <c r="DC232">
        <v>127</v>
      </c>
      <c r="DD232">
        <v>0</v>
      </c>
      <c r="DE232">
        <v>-6.0999999999999999E-2</v>
      </c>
      <c r="DF232">
        <v>70.5</v>
      </c>
      <c r="DG232">
        <v>8.8000000000000007</v>
      </c>
    </row>
    <row r="233" spans="1:111" x14ac:dyDescent="0.2">
      <c r="A233">
        <v>2025</v>
      </c>
      <c r="B233" s="1">
        <v>45943</v>
      </c>
      <c r="C233" t="s">
        <v>95</v>
      </c>
      <c r="D233">
        <v>605483</v>
      </c>
      <c r="E233">
        <v>694192</v>
      </c>
      <c r="F233">
        <v>1</v>
      </c>
      <c r="G233">
        <v>2</v>
      </c>
      <c r="H233">
        <v>4</v>
      </c>
      <c r="I233" t="s">
        <v>163</v>
      </c>
      <c r="J233">
        <v>26</v>
      </c>
      <c r="K233">
        <v>4</v>
      </c>
      <c r="L233" t="s">
        <v>97</v>
      </c>
      <c r="M233" t="s">
        <v>111</v>
      </c>
      <c r="N233" t="s">
        <v>112</v>
      </c>
      <c r="O233">
        <f t="shared" si="48"/>
        <v>0</v>
      </c>
      <c r="P233">
        <f t="shared" si="49"/>
        <v>0</v>
      </c>
      <c r="Q233">
        <f t="shared" si="50"/>
        <v>0</v>
      </c>
      <c r="R233">
        <f t="shared" si="51"/>
        <v>0</v>
      </c>
      <c r="S233">
        <f t="shared" si="52"/>
        <v>1</v>
      </c>
      <c r="T233">
        <f t="shared" si="53"/>
        <v>0</v>
      </c>
      <c r="U233">
        <f t="shared" si="54"/>
        <v>0</v>
      </c>
      <c r="V233">
        <f t="shared" si="55"/>
        <v>0</v>
      </c>
      <c r="W233">
        <f t="shared" si="56"/>
        <v>0</v>
      </c>
      <c r="X233">
        <f t="shared" si="57"/>
        <v>0</v>
      </c>
      <c r="Y233">
        <f t="shared" si="58"/>
        <v>0</v>
      </c>
      <c r="Z233">
        <f t="shared" si="59"/>
        <v>0</v>
      </c>
      <c r="AA233">
        <f t="shared" si="60"/>
        <v>0</v>
      </c>
      <c r="AB233">
        <f t="shared" si="61"/>
        <v>0</v>
      </c>
      <c r="AC233">
        <f t="shared" si="62"/>
        <v>0</v>
      </c>
      <c r="AD233">
        <f t="shared" si="63"/>
        <v>0</v>
      </c>
      <c r="AE233">
        <v>82.3</v>
      </c>
      <c r="AF233">
        <v>1.9</v>
      </c>
      <c r="AG233">
        <v>6.44</v>
      </c>
      <c r="AH233" t="s">
        <v>100</v>
      </c>
      <c r="AI233" t="s">
        <v>97</v>
      </c>
      <c r="AJ233" t="s">
        <v>97</v>
      </c>
      <c r="AK233" t="s">
        <v>97</v>
      </c>
      <c r="AL233" t="s">
        <v>97</v>
      </c>
      <c r="AM233">
        <v>13</v>
      </c>
      <c r="AN233" t="s">
        <v>101</v>
      </c>
      <c r="AO233" t="s">
        <v>103</v>
      </c>
      <c r="AP233" t="s">
        <v>122</v>
      </c>
      <c r="AQ233" t="s">
        <v>103</v>
      </c>
      <c r="AR233" t="s">
        <v>190</v>
      </c>
      <c r="AS233" t="s">
        <v>104</v>
      </c>
      <c r="AT233" t="s">
        <v>106</v>
      </c>
      <c r="AU233" t="s">
        <v>97</v>
      </c>
      <c r="AV233" t="s">
        <v>97</v>
      </c>
      <c r="AW233">
        <v>-0.78</v>
      </c>
      <c r="AX233">
        <v>-0.38</v>
      </c>
      <c r="AY233">
        <v>-0.32</v>
      </c>
      <c r="AZ233">
        <v>-1.08</v>
      </c>
      <c r="BA233" t="s">
        <v>97</v>
      </c>
      <c r="BB233" t="s">
        <v>97</v>
      </c>
      <c r="BC233" t="s">
        <v>97</v>
      </c>
      <c r="BD233">
        <v>0</v>
      </c>
      <c r="BE233" t="s">
        <v>97</v>
      </c>
      <c r="BF233" t="s">
        <v>97</v>
      </c>
      <c r="BG233" t="s">
        <v>97</v>
      </c>
      <c r="BH233" t="s">
        <v>97</v>
      </c>
      <c r="BI233">
        <v>669257</v>
      </c>
      <c r="BJ233">
        <v>669257</v>
      </c>
      <c r="BK233" t="s">
        <v>97</v>
      </c>
      <c r="BL233" t="s">
        <v>97</v>
      </c>
      <c r="BM233">
        <v>-3.5449052499999998</v>
      </c>
      <c r="BN233">
        <v>-119.44386729999999</v>
      </c>
      <c r="BO233">
        <v>-9.7689624449999997</v>
      </c>
      <c r="BP233">
        <v>-6.6386920549999999</v>
      </c>
      <c r="BQ233">
        <v>25.103673050000001</v>
      </c>
      <c r="BR233">
        <v>-33.938890919999999</v>
      </c>
      <c r="BS233">
        <v>3.14</v>
      </c>
      <c r="BT233">
        <v>1.5</v>
      </c>
      <c r="BU233" t="s">
        <v>97</v>
      </c>
      <c r="BV233" t="s">
        <v>97</v>
      </c>
      <c r="BW233" t="s">
        <v>97</v>
      </c>
      <c r="BX233">
        <v>82.6</v>
      </c>
      <c r="BY233">
        <v>2531</v>
      </c>
      <c r="BZ233">
        <v>6.8</v>
      </c>
      <c r="CA233">
        <v>813036</v>
      </c>
      <c r="CB233">
        <v>669257</v>
      </c>
      <c r="CC233">
        <v>669257</v>
      </c>
      <c r="CD233">
        <v>518692</v>
      </c>
      <c r="CE233">
        <v>669242</v>
      </c>
      <c r="CF233">
        <v>571970</v>
      </c>
      <c r="CG233">
        <v>605141</v>
      </c>
      <c r="CH233">
        <v>571771</v>
      </c>
      <c r="CI233">
        <v>681624</v>
      </c>
      <c r="CJ233">
        <v>606192</v>
      </c>
      <c r="CK233">
        <v>53.65</v>
      </c>
      <c r="CL233" t="s">
        <v>97</v>
      </c>
      <c r="CM233" t="s">
        <v>97</v>
      </c>
      <c r="CN233" t="s">
        <v>97</v>
      </c>
      <c r="CO233" t="s">
        <v>97</v>
      </c>
      <c r="CP233" t="s">
        <v>97</v>
      </c>
      <c r="CQ233" t="s">
        <v>97</v>
      </c>
      <c r="CR233" t="s">
        <v>97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 t="s">
        <v>107</v>
      </c>
      <c r="DB233" t="s">
        <v>107</v>
      </c>
      <c r="DC233">
        <v>318</v>
      </c>
      <c r="DD233">
        <v>0</v>
      </c>
      <c r="DE233">
        <v>4.2999999999999997E-2</v>
      </c>
      <c r="DF233" t="s">
        <v>97</v>
      </c>
      <c r="DG233" t="s">
        <v>97</v>
      </c>
    </row>
    <row r="234" spans="1:111" x14ac:dyDescent="0.2">
      <c r="A234">
        <v>2025</v>
      </c>
      <c r="B234" s="1">
        <v>45943</v>
      </c>
      <c r="C234" t="s">
        <v>95</v>
      </c>
      <c r="D234">
        <v>605483</v>
      </c>
      <c r="E234">
        <v>694192</v>
      </c>
      <c r="F234">
        <v>2</v>
      </c>
      <c r="G234">
        <v>2</v>
      </c>
      <c r="H234">
        <v>4</v>
      </c>
      <c r="I234" t="s">
        <v>163</v>
      </c>
      <c r="J234">
        <v>26</v>
      </c>
      <c r="K234">
        <v>5</v>
      </c>
      <c r="L234" t="s">
        <v>97</v>
      </c>
      <c r="M234" t="s">
        <v>111</v>
      </c>
      <c r="N234" t="s">
        <v>112</v>
      </c>
      <c r="O234">
        <f t="shared" si="48"/>
        <v>0</v>
      </c>
      <c r="P234">
        <f t="shared" si="49"/>
        <v>0</v>
      </c>
      <c r="Q234">
        <f t="shared" si="50"/>
        <v>0</v>
      </c>
      <c r="R234">
        <f t="shared" si="51"/>
        <v>0</v>
      </c>
      <c r="S234">
        <f t="shared" si="52"/>
        <v>0</v>
      </c>
      <c r="T234">
        <f t="shared" si="53"/>
        <v>0</v>
      </c>
      <c r="U234">
        <f t="shared" si="54"/>
        <v>1</v>
      </c>
      <c r="V234">
        <f t="shared" si="55"/>
        <v>0</v>
      </c>
      <c r="W234">
        <f t="shared" si="56"/>
        <v>0</v>
      </c>
      <c r="X234">
        <f t="shared" si="57"/>
        <v>0</v>
      </c>
      <c r="Y234">
        <f t="shared" si="58"/>
        <v>0</v>
      </c>
      <c r="Z234">
        <f t="shared" si="59"/>
        <v>0</v>
      </c>
      <c r="AA234">
        <f t="shared" si="60"/>
        <v>0</v>
      </c>
      <c r="AB234">
        <f t="shared" si="61"/>
        <v>0</v>
      </c>
      <c r="AC234">
        <f t="shared" si="62"/>
        <v>0</v>
      </c>
      <c r="AD234">
        <f t="shared" si="63"/>
        <v>0</v>
      </c>
      <c r="AE234">
        <v>80.599999999999994</v>
      </c>
      <c r="AF234">
        <v>1.79</v>
      </c>
      <c r="AG234">
        <v>6.52</v>
      </c>
      <c r="AH234" t="s">
        <v>100</v>
      </c>
      <c r="AI234" t="s">
        <v>97</v>
      </c>
      <c r="AJ234" t="s">
        <v>97</v>
      </c>
      <c r="AK234" t="s">
        <v>97</v>
      </c>
      <c r="AL234" t="s">
        <v>97</v>
      </c>
      <c r="AM234">
        <v>13</v>
      </c>
      <c r="AN234" t="s">
        <v>101</v>
      </c>
      <c r="AO234" t="s">
        <v>103</v>
      </c>
      <c r="AP234" t="s">
        <v>122</v>
      </c>
      <c r="AQ234" t="s">
        <v>103</v>
      </c>
      <c r="AR234" t="s">
        <v>190</v>
      </c>
      <c r="AS234" t="s">
        <v>104</v>
      </c>
      <c r="AT234" t="s">
        <v>106</v>
      </c>
      <c r="AU234" t="s">
        <v>97</v>
      </c>
      <c r="AV234" t="s">
        <v>97</v>
      </c>
      <c r="AW234">
        <v>-1.3</v>
      </c>
      <c r="AX234">
        <v>-0.59</v>
      </c>
      <c r="AY234">
        <v>-1.4</v>
      </c>
      <c r="AZ234">
        <v>0.99</v>
      </c>
      <c r="BA234" t="s">
        <v>97</v>
      </c>
      <c r="BB234" t="s">
        <v>97</v>
      </c>
      <c r="BC234" t="s">
        <v>97</v>
      </c>
      <c r="BD234">
        <v>0</v>
      </c>
      <c r="BE234" t="s">
        <v>97</v>
      </c>
      <c r="BF234" t="s">
        <v>97</v>
      </c>
      <c r="BG234" t="s">
        <v>97</v>
      </c>
      <c r="BH234" t="s">
        <v>97</v>
      </c>
      <c r="BI234">
        <v>669257</v>
      </c>
      <c r="BJ234">
        <v>669257</v>
      </c>
      <c r="BK234" t="s">
        <v>97</v>
      </c>
      <c r="BL234" t="s">
        <v>97</v>
      </c>
      <c r="BM234">
        <v>-4.63713044</v>
      </c>
      <c r="BN234">
        <v>-117.1500131</v>
      </c>
      <c r="BO234">
        <v>-4.4158532639999999</v>
      </c>
      <c r="BP234">
        <v>-10.8063653</v>
      </c>
      <c r="BQ234">
        <v>25.32193822</v>
      </c>
      <c r="BR234">
        <v>-36.786355260000001</v>
      </c>
      <c r="BS234">
        <v>3.27</v>
      </c>
      <c r="BT234">
        <v>1.59</v>
      </c>
      <c r="BU234" t="s">
        <v>97</v>
      </c>
      <c r="BV234" t="s">
        <v>97</v>
      </c>
      <c r="BW234" t="s">
        <v>97</v>
      </c>
      <c r="BX234">
        <v>80.599999999999994</v>
      </c>
      <c r="BY234">
        <v>2562</v>
      </c>
      <c r="BZ234">
        <v>6.7</v>
      </c>
      <c r="CA234">
        <v>813036</v>
      </c>
      <c r="CB234">
        <v>669257</v>
      </c>
      <c r="CC234">
        <v>669257</v>
      </c>
      <c r="CD234">
        <v>518692</v>
      </c>
      <c r="CE234">
        <v>669242</v>
      </c>
      <c r="CF234">
        <v>571970</v>
      </c>
      <c r="CG234">
        <v>605141</v>
      </c>
      <c r="CH234">
        <v>571771</v>
      </c>
      <c r="CI234">
        <v>681624</v>
      </c>
      <c r="CJ234">
        <v>606192</v>
      </c>
      <c r="CK234">
        <v>53.84</v>
      </c>
      <c r="CL234" t="s">
        <v>97</v>
      </c>
      <c r="CM234" t="s">
        <v>97</v>
      </c>
      <c r="CN234" t="s">
        <v>97</v>
      </c>
      <c r="CO234" t="s">
        <v>97</v>
      </c>
      <c r="CP234" t="s">
        <v>97</v>
      </c>
      <c r="CQ234" t="s">
        <v>97</v>
      </c>
      <c r="CR234" t="s">
        <v>97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t="s">
        <v>107</v>
      </c>
      <c r="DB234" t="s">
        <v>107</v>
      </c>
      <c r="DC234">
        <v>330</v>
      </c>
      <c r="DD234">
        <v>0</v>
      </c>
      <c r="DE234">
        <v>0.112</v>
      </c>
      <c r="DF234" t="s">
        <v>97</v>
      </c>
      <c r="DG234" t="s">
        <v>97</v>
      </c>
    </row>
    <row r="235" spans="1:111" x14ac:dyDescent="0.2">
      <c r="A235">
        <v>2025</v>
      </c>
      <c r="B235" s="1">
        <v>45943</v>
      </c>
      <c r="C235" t="s">
        <v>95</v>
      </c>
      <c r="D235">
        <v>605483</v>
      </c>
      <c r="E235">
        <v>694192</v>
      </c>
      <c r="F235">
        <v>3</v>
      </c>
      <c r="G235">
        <v>2</v>
      </c>
      <c r="H235">
        <v>4</v>
      </c>
      <c r="I235" t="s">
        <v>163</v>
      </c>
      <c r="J235">
        <v>26</v>
      </c>
      <c r="K235">
        <v>6</v>
      </c>
      <c r="L235" t="s">
        <v>97</v>
      </c>
      <c r="M235" t="s">
        <v>132</v>
      </c>
      <c r="N235" t="s">
        <v>133</v>
      </c>
      <c r="O235">
        <f t="shared" si="48"/>
        <v>0</v>
      </c>
      <c r="P235">
        <f t="shared" si="49"/>
        <v>0</v>
      </c>
      <c r="Q235">
        <f t="shared" si="50"/>
        <v>0</v>
      </c>
      <c r="R235">
        <f t="shared" si="51"/>
        <v>0</v>
      </c>
      <c r="S235">
        <f t="shared" si="52"/>
        <v>0</v>
      </c>
      <c r="T235">
        <f t="shared" si="53"/>
        <v>0</v>
      </c>
      <c r="U235">
        <f t="shared" si="54"/>
        <v>0</v>
      </c>
      <c r="V235">
        <f t="shared" si="55"/>
        <v>0</v>
      </c>
      <c r="W235">
        <f t="shared" si="56"/>
        <v>0</v>
      </c>
      <c r="X235">
        <f t="shared" si="57"/>
        <v>0</v>
      </c>
      <c r="Y235">
        <f t="shared" si="58"/>
        <v>1</v>
      </c>
      <c r="Z235">
        <f t="shared" si="59"/>
        <v>0</v>
      </c>
      <c r="AA235">
        <f t="shared" si="60"/>
        <v>0</v>
      </c>
      <c r="AB235">
        <f t="shared" si="61"/>
        <v>0</v>
      </c>
      <c r="AC235">
        <f t="shared" si="62"/>
        <v>0</v>
      </c>
      <c r="AD235">
        <f t="shared" si="63"/>
        <v>0</v>
      </c>
      <c r="AE235">
        <v>85.9</v>
      </c>
      <c r="AF235">
        <v>2.2599999999999998</v>
      </c>
      <c r="AG235">
        <v>6.29</v>
      </c>
      <c r="AH235" t="s">
        <v>129</v>
      </c>
      <c r="AI235" t="s">
        <v>97</v>
      </c>
      <c r="AJ235" t="s">
        <v>97</v>
      </c>
      <c r="AK235" t="s">
        <v>97</v>
      </c>
      <c r="AL235" t="s">
        <v>97</v>
      </c>
      <c r="AM235">
        <v>9</v>
      </c>
      <c r="AN235" t="s">
        <v>130</v>
      </c>
      <c r="AO235" t="s">
        <v>103</v>
      </c>
      <c r="AP235" t="s">
        <v>122</v>
      </c>
      <c r="AQ235" t="s">
        <v>103</v>
      </c>
      <c r="AR235" t="s">
        <v>190</v>
      </c>
      <c r="AS235" t="s">
        <v>104</v>
      </c>
      <c r="AT235" t="s">
        <v>110</v>
      </c>
      <c r="AU235" t="s">
        <v>97</v>
      </c>
      <c r="AV235" t="s">
        <v>97</v>
      </c>
      <c r="AW235">
        <v>1.1299999999999999</v>
      </c>
      <c r="AX235">
        <v>0.59</v>
      </c>
      <c r="AY235">
        <v>0.48</v>
      </c>
      <c r="AZ235">
        <v>1.65</v>
      </c>
      <c r="BA235" t="s">
        <v>97</v>
      </c>
      <c r="BB235" t="s">
        <v>97</v>
      </c>
      <c r="BC235" t="s">
        <v>97</v>
      </c>
      <c r="BD235">
        <v>0</v>
      </c>
      <c r="BE235" t="s">
        <v>97</v>
      </c>
      <c r="BF235" t="s">
        <v>97</v>
      </c>
      <c r="BG235" t="s">
        <v>97</v>
      </c>
      <c r="BH235" t="s">
        <v>97</v>
      </c>
      <c r="BI235">
        <v>669257</v>
      </c>
      <c r="BJ235">
        <v>669257</v>
      </c>
      <c r="BK235" t="s">
        <v>97</v>
      </c>
      <c r="BL235" t="s">
        <v>97</v>
      </c>
      <c r="BM235">
        <v>-6.567964431</v>
      </c>
      <c r="BN235">
        <v>-124.7983208</v>
      </c>
      <c r="BO235">
        <v>-5.9256787800000001</v>
      </c>
      <c r="BP235">
        <v>13.129870520000001</v>
      </c>
      <c r="BQ235">
        <v>25.753943119999999</v>
      </c>
      <c r="BR235">
        <v>-25.006855860000002</v>
      </c>
      <c r="BS235">
        <v>3.34</v>
      </c>
      <c r="BT235">
        <v>1.58</v>
      </c>
      <c r="BU235">
        <v>3</v>
      </c>
      <c r="BV235">
        <v>75.900000000000006</v>
      </c>
      <c r="BW235">
        <v>-37</v>
      </c>
      <c r="BX235">
        <v>86.4</v>
      </c>
      <c r="BY235">
        <v>1759</v>
      </c>
      <c r="BZ235">
        <v>6.8</v>
      </c>
      <c r="CA235">
        <v>813036</v>
      </c>
      <c r="CB235">
        <v>669257</v>
      </c>
      <c r="CC235">
        <v>669257</v>
      </c>
      <c r="CD235">
        <v>518692</v>
      </c>
      <c r="CE235">
        <v>669242</v>
      </c>
      <c r="CF235">
        <v>571970</v>
      </c>
      <c r="CG235">
        <v>605141</v>
      </c>
      <c r="CH235">
        <v>571771</v>
      </c>
      <c r="CI235">
        <v>681624</v>
      </c>
      <c r="CJ235">
        <v>606192</v>
      </c>
      <c r="CK235">
        <v>53.74</v>
      </c>
      <c r="CL235" t="s">
        <v>97</v>
      </c>
      <c r="CM235" t="s">
        <v>97</v>
      </c>
      <c r="CN235" t="s">
        <v>97</v>
      </c>
      <c r="CO235" t="s">
        <v>97</v>
      </c>
      <c r="CP235" t="s">
        <v>97</v>
      </c>
      <c r="CQ235" t="s">
        <v>97</v>
      </c>
      <c r="CR235" t="s">
        <v>97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 t="s">
        <v>107</v>
      </c>
      <c r="DB235" t="s">
        <v>107</v>
      </c>
      <c r="DC235">
        <v>122</v>
      </c>
      <c r="DD235">
        <v>0</v>
      </c>
      <c r="DE235">
        <v>0</v>
      </c>
      <c r="DF235" t="s">
        <v>97</v>
      </c>
      <c r="DG235" t="s">
        <v>97</v>
      </c>
    </row>
    <row r="236" spans="1:111" x14ac:dyDescent="0.2">
      <c r="A236">
        <v>2025</v>
      </c>
      <c r="B236" s="1">
        <v>45943</v>
      </c>
      <c r="C236" t="s">
        <v>95</v>
      </c>
      <c r="D236">
        <v>605483</v>
      </c>
      <c r="E236">
        <v>694192</v>
      </c>
      <c r="F236">
        <v>3</v>
      </c>
      <c r="G236">
        <v>2</v>
      </c>
      <c r="H236">
        <v>4</v>
      </c>
      <c r="I236" t="s">
        <v>163</v>
      </c>
      <c r="J236">
        <v>26</v>
      </c>
      <c r="K236">
        <v>7</v>
      </c>
      <c r="L236" t="s">
        <v>97</v>
      </c>
      <c r="M236" t="s">
        <v>111</v>
      </c>
      <c r="N236" t="s">
        <v>112</v>
      </c>
      <c r="O236">
        <f t="shared" si="48"/>
        <v>0</v>
      </c>
      <c r="P236">
        <f t="shared" si="49"/>
        <v>0</v>
      </c>
      <c r="Q236">
        <f t="shared" si="50"/>
        <v>0</v>
      </c>
      <c r="R236">
        <f t="shared" si="51"/>
        <v>0</v>
      </c>
      <c r="S236">
        <f t="shared" si="52"/>
        <v>0</v>
      </c>
      <c r="T236">
        <f t="shared" si="53"/>
        <v>1</v>
      </c>
      <c r="U236">
        <f t="shared" si="54"/>
        <v>0</v>
      </c>
      <c r="V236">
        <f t="shared" si="55"/>
        <v>0</v>
      </c>
      <c r="W236">
        <f t="shared" si="56"/>
        <v>0</v>
      </c>
      <c r="X236">
        <f t="shared" si="57"/>
        <v>0</v>
      </c>
      <c r="Y236">
        <f t="shared" si="58"/>
        <v>0</v>
      </c>
      <c r="Z236">
        <f t="shared" si="59"/>
        <v>0</v>
      </c>
      <c r="AA236">
        <f t="shared" si="60"/>
        <v>0</v>
      </c>
      <c r="AB236">
        <f t="shared" si="61"/>
        <v>0</v>
      </c>
      <c r="AC236">
        <f t="shared" si="62"/>
        <v>0</v>
      </c>
      <c r="AD236">
        <f t="shared" si="63"/>
        <v>0</v>
      </c>
      <c r="AE236">
        <v>81.3</v>
      </c>
      <c r="AF236">
        <v>1.86</v>
      </c>
      <c r="AG236">
        <v>6.57</v>
      </c>
      <c r="AH236" t="s">
        <v>129</v>
      </c>
      <c r="AI236" t="s">
        <v>97</v>
      </c>
      <c r="AJ236" t="s">
        <v>97</v>
      </c>
      <c r="AK236" t="s">
        <v>97</v>
      </c>
      <c r="AL236" t="s">
        <v>97</v>
      </c>
      <c r="AM236">
        <v>8</v>
      </c>
      <c r="AN236" t="s">
        <v>130</v>
      </c>
      <c r="AO236" t="s">
        <v>103</v>
      </c>
      <c r="AP236" t="s">
        <v>122</v>
      </c>
      <c r="AQ236" t="s">
        <v>103</v>
      </c>
      <c r="AR236" t="s">
        <v>190</v>
      </c>
      <c r="AS236" t="s">
        <v>104</v>
      </c>
      <c r="AT236" t="s">
        <v>110</v>
      </c>
      <c r="AU236" t="s">
        <v>97</v>
      </c>
      <c r="AV236" t="s">
        <v>97</v>
      </c>
      <c r="AW236">
        <v>-1.34</v>
      </c>
      <c r="AX236">
        <v>-0.44</v>
      </c>
      <c r="AY236">
        <v>0.05</v>
      </c>
      <c r="AZ236">
        <v>2.02</v>
      </c>
      <c r="BA236" t="s">
        <v>97</v>
      </c>
      <c r="BB236" t="s">
        <v>97</v>
      </c>
      <c r="BC236" t="s">
        <v>97</v>
      </c>
      <c r="BD236">
        <v>0</v>
      </c>
      <c r="BE236" t="s">
        <v>97</v>
      </c>
      <c r="BF236" t="s">
        <v>97</v>
      </c>
      <c r="BG236" t="s">
        <v>97</v>
      </c>
      <c r="BH236" t="s">
        <v>97</v>
      </c>
      <c r="BI236">
        <v>669257</v>
      </c>
      <c r="BJ236">
        <v>669257</v>
      </c>
      <c r="BK236" t="s">
        <v>97</v>
      </c>
      <c r="BL236" t="s">
        <v>97</v>
      </c>
      <c r="BM236">
        <v>-1.4711573419999999</v>
      </c>
      <c r="BN236">
        <v>-118.3273116</v>
      </c>
      <c r="BO236">
        <v>-2.7010882949999999</v>
      </c>
      <c r="BP236">
        <v>-12.23064557</v>
      </c>
      <c r="BQ236">
        <v>24.381436619999999</v>
      </c>
      <c r="BR236">
        <v>-35.989663819999997</v>
      </c>
      <c r="BS236">
        <v>3.34</v>
      </c>
      <c r="BT236">
        <v>1.58</v>
      </c>
      <c r="BU236">
        <v>11</v>
      </c>
      <c r="BV236">
        <v>90.9</v>
      </c>
      <c r="BW236">
        <v>-11</v>
      </c>
      <c r="BX236">
        <v>81.5</v>
      </c>
      <c r="BY236">
        <v>2538</v>
      </c>
      <c r="BZ236">
        <v>6.6</v>
      </c>
      <c r="CA236">
        <v>813036</v>
      </c>
      <c r="CB236">
        <v>669257</v>
      </c>
      <c r="CC236">
        <v>669257</v>
      </c>
      <c r="CD236">
        <v>518692</v>
      </c>
      <c r="CE236">
        <v>669242</v>
      </c>
      <c r="CF236">
        <v>571970</v>
      </c>
      <c r="CG236">
        <v>605141</v>
      </c>
      <c r="CH236">
        <v>571771</v>
      </c>
      <c r="CI236">
        <v>681624</v>
      </c>
      <c r="CJ236">
        <v>606192</v>
      </c>
      <c r="CK236">
        <v>53.93</v>
      </c>
      <c r="CL236" t="s">
        <v>97</v>
      </c>
      <c r="CM236" t="s">
        <v>97</v>
      </c>
      <c r="CN236" t="s">
        <v>97</v>
      </c>
      <c r="CO236" t="s">
        <v>97</v>
      </c>
      <c r="CP236" t="s">
        <v>97</v>
      </c>
      <c r="CQ236" t="s">
        <v>97</v>
      </c>
      <c r="CR236" t="s">
        <v>97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 t="s">
        <v>107</v>
      </c>
      <c r="DB236" t="s">
        <v>107</v>
      </c>
      <c r="DC236">
        <v>322</v>
      </c>
      <c r="DD236">
        <v>0</v>
      </c>
      <c r="DE236">
        <v>0</v>
      </c>
      <c r="DF236">
        <v>74.3</v>
      </c>
      <c r="DG236">
        <v>7.7</v>
      </c>
    </row>
    <row r="237" spans="1:111" x14ac:dyDescent="0.2">
      <c r="A237">
        <v>2025</v>
      </c>
      <c r="B237" s="1">
        <v>45943</v>
      </c>
      <c r="C237" t="s">
        <v>95</v>
      </c>
      <c r="D237">
        <v>605483</v>
      </c>
      <c r="E237">
        <v>694192</v>
      </c>
      <c r="F237">
        <v>3</v>
      </c>
      <c r="G237">
        <v>2</v>
      </c>
      <c r="H237">
        <v>4</v>
      </c>
      <c r="I237" t="s">
        <v>163</v>
      </c>
      <c r="J237">
        <v>26</v>
      </c>
      <c r="K237">
        <v>8</v>
      </c>
      <c r="L237" t="s">
        <v>116</v>
      </c>
      <c r="M237" t="s">
        <v>98</v>
      </c>
      <c r="N237" t="s">
        <v>99</v>
      </c>
      <c r="O237">
        <f t="shared" si="48"/>
        <v>1</v>
      </c>
      <c r="P237">
        <f t="shared" si="49"/>
        <v>0</v>
      </c>
      <c r="Q237">
        <f t="shared" si="50"/>
        <v>0</v>
      </c>
      <c r="R237">
        <f t="shared" si="51"/>
        <v>0</v>
      </c>
      <c r="S237">
        <f t="shared" si="52"/>
        <v>0</v>
      </c>
      <c r="T237">
        <f t="shared" si="53"/>
        <v>0</v>
      </c>
      <c r="U237">
        <f t="shared" si="54"/>
        <v>0</v>
      </c>
      <c r="V237">
        <f t="shared" si="55"/>
        <v>0</v>
      </c>
      <c r="W237">
        <f t="shared" si="56"/>
        <v>0</v>
      </c>
      <c r="X237">
        <f t="shared" si="57"/>
        <v>0</v>
      </c>
      <c r="Y237">
        <f t="shared" si="58"/>
        <v>0</v>
      </c>
      <c r="Z237">
        <f t="shared" si="59"/>
        <v>0</v>
      </c>
      <c r="AA237">
        <f t="shared" si="60"/>
        <v>0</v>
      </c>
      <c r="AB237">
        <f t="shared" si="61"/>
        <v>0</v>
      </c>
      <c r="AC237">
        <f t="shared" si="62"/>
        <v>0</v>
      </c>
      <c r="AD237">
        <f t="shared" si="63"/>
        <v>0</v>
      </c>
      <c r="AE237">
        <v>97.7</v>
      </c>
      <c r="AF237">
        <v>1.86</v>
      </c>
      <c r="AG237">
        <v>6.46</v>
      </c>
      <c r="AH237" t="s">
        <v>108</v>
      </c>
      <c r="AI237" t="s">
        <v>97</v>
      </c>
      <c r="AJ237" t="s">
        <v>97</v>
      </c>
      <c r="AK237" t="s">
        <v>97</v>
      </c>
      <c r="AL237" t="s">
        <v>97</v>
      </c>
      <c r="AM237">
        <v>7</v>
      </c>
      <c r="AN237" t="s">
        <v>200</v>
      </c>
      <c r="AO237" t="s">
        <v>103</v>
      </c>
      <c r="AP237" t="s">
        <v>122</v>
      </c>
      <c r="AQ237" t="s">
        <v>103</v>
      </c>
      <c r="AR237" t="s">
        <v>190</v>
      </c>
      <c r="AS237" t="s">
        <v>104</v>
      </c>
      <c r="AT237" t="s">
        <v>110</v>
      </c>
      <c r="AU237">
        <v>2</v>
      </c>
      <c r="AV237" t="s">
        <v>97</v>
      </c>
      <c r="AW237">
        <v>0.52</v>
      </c>
      <c r="AX237">
        <v>1.38</v>
      </c>
      <c r="AY237">
        <v>-0.56999999999999995</v>
      </c>
      <c r="AZ237">
        <v>1.46</v>
      </c>
      <c r="BA237" t="s">
        <v>97</v>
      </c>
      <c r="BB237" t="s">
        <v>97</v>
      </c>
      <c r="BC237" t="s">
        <v>97</v>
      </c>
      <c r="BD237">
        <v>0</v>
      </c>
      <c r="BE237" t="s">
        <v>97</v>
      </c>
      <c r="BF237" t="s">
        <v>97</v>
      </c>
      <c r="BG237" t="s">
        <v>97</v>
      </c>
      <c r="BH237" t="s">
        <v>97</v>
      </c>
      <c r="BI237">
        <v>669257</v>
      </c>
      <c r="BJ237">
        <v>669257</v>
      </c>
      <c r="BK237" t="s">
        <v>97</v>
      </c>
      <c r="BL237" t="s">
        <v>97</v>
      </c>
      <c r="BM237">
        <v>-7.8103981740000004</v>
      </c>
      <c r="BN237">
        <v>-141.62837260000001</v>
      </c>
      <c r="BO237">
        <v>-11.160262960000001</v>
      </c>
      <c r="BP237">
        <v>8.8622108930000003</v>
      </c>
      <c r="BQ237">
        <v>33.869309889999997</v>
      </c>
      <c r="BR237">
        <v>-11.177637600000001</v>
      </c>
      <c r="BS237">
        <v>3.26</v>
      </c>
      <c r="BT237">
        <v>1.58</v>
      </c>
      <c r="BU237" t="s">
        <v>97</v>
      </c>
      <c r="BV237" t="s">
        <v>97</v>
      </c>
      <c r="BW237" t="s">
        <v>97</v>
      </c>
      <c r="BX237">
        <v>98.2</v>
      </c>
      <c r="BY237">
        <v>2516</v>
      </c>
      <c r="BZ237">
        <v>6.9</v>
      </c>
      <c r="CA237">
        <v>813036</v>
      </c>
      <c r="CB237">
        <v>669257</v>
      </c>
      <c r="CC237">
        <v>669257</v>
      </c>
      <c r="CD237">
        <v>518692</v>
      </c>
      <c r="CE237">
        <v>669242</v>
      </c>
      <c r="CF237">
        <v>571970</v>
      </c>
      <c r="CG237">
        <v>605141</v>
      </c>
      <c r="CH237">
        <v>571771</v>
      </c>
      <c r="CI237">
        <v>681624</v>
      </c>
      <c r="CJ237">
        <v>606192</v>
      </c>
      <c r="CK237">
        <v>53.63</v>
      </c>
      <c r="CL237" t="s">
        <v>97</v>
      </c>
      <c r="CM237">
        <v>0</v>
      </c>
      <c r="CN237">
        <v>0</v>
      </c>
      <c r="CO237">
        <v>1</v>
      </c>
      <c r="CP237">
        <v>0</v>
      </c>
      <c r="CQ237">
        <v>0</v>
      </c>
      <c r="CR237" t="s">
        <v>97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 t="s">
        <v>107</v>
      </c>
      <c r="DB237" t="s">
        <v>107</v>
      </c>
      <c r="DC237">
        <v>145</v>
      </c>
      <c r="DD237">
        <v>-2.7E-2</v>
      </c>
      <c r="DE237">
        <v>-0.34499999999999997</v>
      </c>
      <c r="DF237" t="s">
        <v>97</v>
      </c>
      <c r="DG237" t="s">
        <v>97</v>
      </c>
    </row>
    <row r="238" spans="1:111" x14ac:dyDescent="0.2">
      <c r="A238">
        <v>2025</v>
      </c>
      <c r="B238" s="1">
        <v>45943</v>
      </c>
      <c r="C238" t="s">
        <v>95</v>
      </c>
      <c r="D238">
        <v>605483</v>
      </c>
      <c r="E238">
        <v>592885</v>
      </c>
      <c r="F238">
        <v>0</v>
      </c>
      <c r="G238">
        <v>0</v>
      </c>
      <c r="H238">
        <v>4</v>
      </c>
      <c r="I238" t="s">
        <v>163</v>
      </c>
      <c r="J238">
        <v>27</v>
      </c>
      <c r="K238">
        <v>1</v>
      </c>
      <c r="L238" t="s">
        <v>97</v>
      </c>
      <c r="M238" t="s">
        <v>98</v>
      </c>
      <c r="N238" t="s">
        <v>99</v>
      </c>
      <c r="O238">
        <f t="shared" si="48"/>
        <v>1</v>
      </c>
      <c r="P238">
        <f t="shared" si="49"/>
        <v>0</v>
      </c>
      <c r="Q238">
        <f t="shared" si="50"/>
        <v>0</v>
      </c>
      <c r="R238">
        <f t="shared" si="51"/>
        <v>0</v>
      </c>
      <c r="S238">
        <f t="shared" si="52"/>
        <v>0</v>
      </c>
      <c r="T238">
        <f t="shared" si="53"/>
        <v>0</v>
      </c>
      <c r="U238">
        <f t="shared" si="54"/>
        <v>0</v>
      </c>
      <c r="V238">
        <f t="shared" si="55"/>
        <v>0</v>
      </c>
      <c r="W238">
        <f t="shared" si="56"/>
        <v>0</v>
      </c>
      <c r="X238">
        <f t="shared" si="57"/>
        <v>0</v>
      </c>
      <c r="Y238">
        <f t="shared" si="58"/>
        <v>0</v>
      </c>
      <c r="Z238">
        <f t="shared" si="59"/>
        <v>0</v>
      </c>
      <c r="AA238">
        <f t="shared" si="60"/>
        <v>0</v>
      </c>
      <c r="AB238">
        <f t="shared" si="61"/>
        <v>0</v>
      </c>
      <c r="AC238">
        <f t="shared" si="62"/>
        <v>0</v>
      </c>
      <c r="AD238">
        <f t="shared" si="63"/>
        <v>0</v>
      </c>
      <c r="AE238">
        <v>96.9</v>
      </c>
      <c r="AF238">
        <v>1.76</v>
      </c>
      <c r="AG238">
        <v>6.52</v>
      </c>
      <c r="AH238" t="s">
        <v>100</v>
      </c>
      <c r="AI238" t="s">
        <v>97</v>
      </c>
      <c r="AJ238" t="s">
        <v>97</v>
      </c>
      <c r="AK238" t="s">
        <v>97</v>
      </c>
      <c r="AL238" t="s">
        <v>97</v>
      </c>
      <c r="AM238">
        <v>13</v>
      </c>
      <c r="AN238" t="s">
        <v>101</v>
      </c>
      <c r="AO238" t="s">
        <v>103</v>
      </c>
      <c r="AP238" t="s">
        <v>103</v>
      </c>
      <c r="AQ238" t="s">
        <v>103</v>
      </c>
      <c r="AR238" t="s">
        <v>190</v>
      </c>
      <c r="AS238" t="s">
        <v>104</v>
      </c>
      <c r="AT238" t="s">
        <v>106</v>
      </c>
      <c r="AU238" t="s">
        <v>97</v>
      </c>
      <c r="AV238" t="s">
        <v>97</v>
      </c>
      <c r="AW238">
        <v>0.15</v>
      </c>
      <c r="AX238">
        <v>1.74</v>
      </c>
      <c r="AY238">
        <v>-1.36</v>
      </c>
      <c r="AZ238">
        <v>2.0099999999999998</v>
      </c>
      <c r="BA238" t="s">
        <v>97</v>
      </c>
      <c r="BB238" t="s">
        <v>97</v>
      </c>
      <c r="BC238" t="s">
        <v>97</v>
      </c>
      <c r="BD238">
        <v>1</v>
      </c>
      <c r="BE238" t="s">
        <v>97</v>
      </c>
      <c r="BF238" t="s">
        <v>97</v>
      </c>
      <c r="BG238" t="s">
        <v>97</v>
      </c>
      <c r="BH238" t="s">
        <v>97</v>
      </c>
      <c r="BI238">
        <v>669257</v>
      </c>
      <c r="BJ238">
        <v>669257</v>
      </c>
      <c r="BK238" t="s">
        <v>97</v>
      </c>
      <c r="BL238" t="s">
        <v>97</v>
      </c>
      <c r="BM238">
        <v>-8.7166021829999991</v>
      </c>
      <c r="BN238">
        <v>-140.49844809999999</v>
      </c>
      <c r="BO238">
        <v>-10.491626650000001</v>
      </c>
      <c r="BP238">
        <v>4.0178978020000002</v>
      </c>
      <c r="BQ238">
        <v>33.31870996</v>
      </c>
      <c r="BR238">
        <v>-6.8747801669999999</v>
      </c>
      <c r="BS238">
        <v>3.33</v>
      </c>
      <c r="BT238">
        <v>1.69</v>
      </c>
      <c r="BU238" t="s">
        <v>97</v>
      </c>
      <c r="BV238" t="s">
        <v>97</v>
      </c>
      <c r="BW238" t="s">
        <v>97</v>
      </c>
      <c r="BX238">
        <v>97.4</v>
      </c>
      <c r="BY238">
        <v>2502</v>
      </c>
      <c r="BZ238">
        <v>6.9</v>
      </c>
      <c r="CA238">
        <v>813036</v>
      </c>
      <c r="CB238">
        <v>669257</v>
      </c>
      <c r="CC238">
        <v>669257</v>
      </c>
      <c r="CD238">
        <v>518692</v>
      </c>
      <c r="CE238">
        <v>669242</v>
      </c>
      <c r="CF238">
        <v>571970</v>
      </c>
      <c r="CG238">
        <v>605141</v>
      </c>
      <c r="CH238">
        <v>571771</v>
      </c>
      <c r="CI238">
        <v>681624</v>
      </c>
      <c r="CJ238">
        <v>606192</v>
      </c>
      <c r="CK238">
        <v>53.64</v>
      </c>
      <c r="CL238" t="s">
        <v>97</v>
      </c>
      <c r="CM238" t="s">
        <v>97</v>
      </c>
      <c r="CN238" t="s">
        <v>97</v>
      </c>
      <c r="CO238" t="s">
        <v>97</v>
      </c>
      <c r="CP238" t="s">
        <v>97</v>
      </c>
      <c r="CQ238" t="s">
        <v>97</v>
      </c>
      <c r="CR238" t="s">
        <v>97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 t="s">
        <v>107</v>
      </c>
      <c r="DB238" t="s">
        <v>107</v>
      </c>
      <c r="DC238">
        <v>163</v>
      </c>
      <c r="DD238">
        <v>0</v>
      </c>
      <c r="DE238">
        <v>3.9E-2</v>
      </c>
      <c r="DF238" t="s">
        <v>97</v>
      </c>
      <c r="DG238" t="s">
        <v>97</v>
      </c>
    </row>
    <row r="239" spans="1:111" x14ac:dyDescent="0.2">
      <c r="A239">
        <v>2025</v>
      </c>
      <c r="B239" s="1">
        <v>45943</v>
      </c>
      <c r="C239" t="s">
        <v>95</v>
      </c>
      <c r="D239">
        <v>605483</v>
      </c>
      <c r="E239">
        <v>592885</v>
      </c>
      <c r="F239">
        <v>1</v>
      </c>
      <c r="G239">
        <v>0</v>
      </c>
      <c r="H239">
        <v>4</v>
      </c>
      <c r="I239" t="s">
        <v>163</v>
      </c>
      <c r="J239">
        <v>27</v>
      </c>
      <c r="K239">
        <v>2</v>
      </c>
      <c r="L239" t="s">
        <v>97</v>
      </c>
      <c r="M239" t="s">
        <v>98</v>
      </c>
      <c r="N239" t="s">
        <v>99</v>
      </c>
      <c r="O239">
        <f t="shared" si="48"/>
        <v>0</v>
      </c>
      <c r="P239">
        <f t="shared" si="49"/>
        <v>1</v>
      </c>
      <c r="Q239">
        <f t="shared" si="50"/>
        <v>0</v>
      </c>
      <c r="R239">
        <f t="shared" si="51"/>
        <v>0</v>
      </c>
      <c r="S239">
        <f t="shared" si="52"/>
        <v>0</v>
      </c>
      <c r="T239">
        <f t="shared" si="53"/>
        <v>0</v>
      </c>
      <c r="U239">
        <f t="shared" si="54"/>
        <v>0</v>
      </c>
      <c r="V239">
        <f t="shared" si="55"/>
        <v>0</v>
      </c>
      <c r="W239">
        <f t="shared" si="56"/>
        <v>0</v>
      </c>
      <c r="X239">
        <f t="shared" si="57"/>
        <v>0</v>
      </c>
      <c r="Y239">
        <f t="shared" si="58"/>
        <v>0</v>
      </c>
      <c r="Z239">
        <f t="shared" si="59"/>
        <v>0</v>
      </c>
      <c r="AA239">
        <f t="shared" si="60"/>
        <v>0</v>
      </c>
      <c r="AB239">
        <f t="shared" si="61"/>
        <v>0</v>
      </c>
      <c r="AC239">
        <f t="shared" si="62"/>
        <v>0</v>
      </c>
      <c r="AD239">
        <f t="shared" si="63"/>
        <v>0</v>
      </c>
      <c r="AE239">
        <v>96.4</v>
      </c>
      <c r="AF239">
        <v>1.92</v>
      </c>
      <c r="AG239">
        <v>6.51</v>
      </c>
      <c r="AH239" t="s">
        <v>100</v>
      </c>
      <c r="AI239" t="s">
        <v>97</v>
      </c>
      <c r="AJ239" t="s">
        <v>97</v>
      </c>
      <c r="AK239" t="s">
        <v>97</v>
      </c>
      <c r="AL239" t="s">
        <v>97</v>
      </c>
      <c r="AM239">
        <v>11</v>
      </c>
      <c r="AN239" t="s">
        <v>101</v>
      </c>
      <c r="AO239" t="s">
        <v>103</v>
      </c>
      <c r="AP239" t="s">
        <v>103</v>
      </c>
      <c r="AQ239" t="s">
        <v>103</v>
      </c>
      <c r="AR239" t="s">
        <v>190</v>
      </c>
      <c r="AS239" t="s">
        <v>104</v>
      </c>
      <c r="AT239" t="s">
        <v>106</v>
      </c>
      <c r="AU239" t="s">
        <v>97</v>
      </c>
      <c r="AV239" t="s">
        <v>97</v>
      </c>
      <c r="AW239">
        <v>0.27</v>
      </c>
      <c r="AX239">
        <v>1.71</v>
      </c>
      <c r="AY239">
        <v>-1.44</v>
      </c>
      <c r="AZ239">
        <v>2.61</v>
      </c>
      <c r="BA239" t="s">
        <v>97</v>
      </c>
      <c r="BB239" t="s">
        <v>97</v>
      </c>
      <c r="BC239" t="s">
        <v>97</v>
      </c>
      <c r="BD239">
        <v>1</v>
      </c>
      <c r="BE239" t="s">
        <v>97</v>
      </c>
      <c r="BF239" t="s">
        <v>97</v>
      </c>
      <c r="BG239" t="s">
        <v>97</v>
      </c>
      <c r="BH239" t="s">
        <v>97</v>
      </c>
      <c r="BI239">
        <v>669257</v>
      </c>
      <c r="BJ239">
        <v>669257</v>
      </c>
      <c r="BK239" t="s">
        <v>97</v>
      </c>
      <c r="BL239" t="s">
        <v>97</v>
      </c>
      <c r="BM239">
        <v>-9.6138333750000005</v>
      </c>
      <c r="BN239">
        <v>-139.79998739999999</v>
      </c>
      <c r="BO239">
        <v>-8.6858910740000006</v>
      </c>
      <c r="BP239">
        <v>5.7934992379999999</v>
      </c>
      <c r="BQ239">
        <v>32.673848900000003</v>
      </c>
      <c r="BR239">
        <v>-7.9503367100000002</v>
      </c>
      <c r="BS239">
        <v>3.31</v>
      </c>
      <c r="BT239">
        <v>1.64</v>
      </c>
      <c r="BU239" t="s">
        <v>97</v>
      </c>
      <c r="BV239" t="s">
        <v>97</v>
      </c>
      <c r="BW239" t="s">
        <v>97</v>
      </c>
      <c r="BX239">
        <v>97</v>
      </c>
      <c r="BY239">
        <v>2526</v>
      </c>
      <c r="BZ239">
        <v>6.9</v>
      </c>
      <c r="CA239">
        <v>813036</v>
      </c>
      <c r="CB239">
        <v>669257</v>
      </c>
      <c r="CC239">
        <v>669257</v>
      </c>
      <c r="CD239">
        <v>518692</v>
      </c>
      <c r="CE239">
        <v>669242</v>
      </c>
      <c r="CF239">
        <v>571970</v>
      </c>
      <c r="CG239">
        <v>605141</v>
      </c>
      <c r="CH239">
        <v>571771</v>
      </c>
      <c r="CI239">
        <v>681624</v>
      </c>
      <c r="CJ239">
        <v>606192</v>
      </c>
      <c r="CK239">
        <v>53.62</v>
      </c>
      <c r="CL239" t="s">
        <v>97</v>
      </c>
      <c r="CM239" t="s">
        <v>97</v>
      </c>
      <c r="CN239" t="s">
        <v>97</v>
      </c>
      <c r="CO239" t="s">
        <v>97</v>
      </c>
      <c r="CP239" t="s">
        <v>97</v>
      </c>
      <c r="CQ239" t="s">
        <v>97</v>
      </c>
      <c r="CR239" t="s">
        <v>97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 t="s">
        <v>107</v>
      </c>
      <c r="DB239" t="s">
        <v>107</v>
      </c>
      <c r="DC239">
        <v>170</v>
      </c>
      <c r="DD239">
        <v>0</v>
      </c>
      <c r="DE239">
        <v>7.0999999999999994E-2</v>
      </c>
      <c r="DF239" t="s">
        <v>97</v>
      </c>
      <c r="DG239" t="s">
        <v>97</v>
      </c>
    </row>
    <row r="240" spans="1:111" x14ac:dyDescent="0.2">
      <c r="A240">
        <v>2025</v>
      </c>
      <c r="B240" s="1">
        <v>45943</v>
      </c>
      <c r="C240" t="s">
        <v>95</v>
      </c>
      <c r="D240">
        <v>605483</v>
      </c>
      <c r="E240">
        <v>592885</v>
      </c>
      <c r="F240">
        <v>2</v>
      </c>
      <c r="G240">
        <v>0</v>
      </c>
      <c r="H240">
        <v>4</v>
      </c>
      <c r="I240" t="s">
        <v>163</v>
      </c>
      <c r="J240">
        <v>27</v>
      </c>
      <c r="K240">
        <v>3</v>
      </c>
      <c r="L240" t="s">
        <v>97</v>
      </c>
      <c r="M240" t="s">
        <v>111</v>
      </c>
      <c r="N240" t="s">
        <v>112</v>
      </c>
      <c r="O240">
        <f t="shared" si="48"/>
        <v>0</v>
      </c>
      <c r="P240">
        <f t="shared" si="49"/>
        <v>0</v>
      </c>
      <c r="Q240">
        <f t="shared" si="50"/>
        <v>0</v>
      </c>
      <c r="R240">
        <f t="shared" si="51"/>
        <v>0</v>
      </c>
      <c r="S240">
        <f t="shared" si="52"/>
        <v>0</v>
      </c>
      <c r="T240">
        <f t="shared" si="53"/>
        <v>1</v>
      </c>
      <c r="U240">
        <f t="shared" si="54"/>
        <v>0</v>
      </c>
      <c r="V240">
        <f t="shared" si="55"/>
        <v>0</v>
      </c>
      <c r="W240">
        <f t="shared" si="56"/>
        <v>0</v>
      </c>
      <c r="X240">
        <f t="shared" si="57"/>
        <v>0</v>
      </c>
      <c r="Y240">
        <f t="shared" si="58"/>
        <v>0</v>
      </c>
      <c r="Z240">
        <f t="shared" si="59"/>
        <v>0</v>
      </c>
      <c r="AA240">
        <f t="shared" si="60"/>
        <v>0</v>
      </c>
      <c r="AB240">
        <f t="shared" si="61"/>
        <v>0</v>
      </c>
      <c r="AC240">
        <f t="shared" si="62"/>
        <v>0</v>
      </c>
      <c r="AD240">
        <f t="shared" si="63"/>
        <v>0</v>
      </c>
      <c r="AE240">
        <v>82.9</v>
      </c>
      <c r="AF240">
        <v>1.83</v>
      </c>
      <c r="AG240">
        <v>6.48</v>
      </c>
      <c r="AH240" t="s">
        <v>129</v>
      </c>
      <c r="AI240" t="s">
        <v>97</v>
      </c>
      <c r="AJ240" t="s">
        <v>97</v>
      </c>
      <c r="AK240" t="s">
        <v>97</v>
      </c>
      <c r="AL240" t="s">
        <v>97</v>
      </c>
      <c r="AM240">
        <v>13</v>
      </c>
      <c r="AN240" t="s">
        <v>130</v>
      </c>
      <c r="AO240" t="s">
        <v>103</v>
      </c>
      <c r="AP240" t="s">
        <v>103</v>
      </c>
      <c r="AQ240" t="s">
        <v>103</v>
      </c>
      <c r="AR240" t="s">
        <v>190</v>
      </c>
      <c r="AS240" t="s">
        <v>104</v>
      </c>
      <c r="AT240" t="s">
        <v>110</v>
      </c>
      <c r="AU240" t="s">
        <v>97</v>
      </c>
      <c r="AV240" t="s">
        <v>97</v>
      </c>
      <c r="AW240">
        <v>-0.96</v>
      </c>
      <c r="AX240">
        <v>-0.34</v>
      </c>
      <c r="AY240">
        <v>-0.3</v>
      </c>
      <c r="AZ240">
        <v>1.39</v>
      </c>
      <c r="BA240" t="s">
        <v>97</v>
      </c>
      <c r="BB240" t="s">
        <v>97</v>
      </c>
      <c r="BC240" t="s">
        <v>97</v>
      </c>
      <c r="BD240">
        <v>1</v>
      </c>
      <c r="BE240" t="s">
        <v>97</v>
      </c>
      <c r="BF240" t="s">
        <v>97</v>
      </c>
      <c r="BG240" t="s">
        <v>97</v>
      </c>
      <c r="BH240" t="s">
        <v>97</v>
      </c>
      <c r="BI240">
        <v>669257</v>
      </c>
      <c r="BJ240">
        <v>669257</v>
      </c>
      <c r="BK240" t="s">
        <v>97</v>
      </c>
      <c r="BL240" t="s">
        <v>97</v>
      </c>
      <c r="BM240">
        <v>-3.0073005259999999</v>
      </c>
      <c r="BN240">
        <v>-120.61414689999999</v>
      </c>
      <c r="BO240">
        <v>-4.4601417510000001</v>
      </c>
      <c r="BP240">
        <v>-8.6977226180000002</v>
      </c>
      <c r="BQ240">
        <v>24.967563649999999</v>
      </c>
      <c r="BR240">
        <v>-34.760238090000001</v>
      </c>
      <c r="BS240">
        <v>3.25</v>
      </c>
      <c r="BT240">
        <v>1.69</v>
      </c>
      <c r="BU240">
        <v>16</v>
      </c>
      <c r="BV240">
        <v>42.5</v>
      </c>
      <c r="BW240">
        <v>-1</v>
      </c>
      <c r="BX240">
        <v>83.1</v>
      </c>
      <c r="BY240">
        <v>2665</v>
      </c>
      <c r="BZ240">
        <v>6.6</v>
      </c>
      <c r="CA240">
        <v>813036</v>
      </c>
      <c r="CB240">
        <v>669257</v>
      </c>
      <c r="CC240">
        <v>669257</v>
      </c>
      <c r="CD240">
        <v>518692</v>
      </c>
      <c r="CE240">
        <v>669242</v>
      </c>
      <c r="CF240">
        <v>571970</v>
      </c>
      <c r="CG240">
        <v>605141</v>
      </c>
      <c r="CH240">
        <v>571771</v>
      </c>
      <c r="CI240">
        <v>681624</v>
      </c>
      <c r="CJ240">
        <v>606192</v>
      </c>
      <c r="CK240">
        <v>53.89</v>
      </c>
      <c r="CL240" t="s">
        <v>97</v>
      </c>
      <c r="CM240" t="s">
        <v>97</v>
      </c>
      <c r="CN240" t="s">
        <v>97</v>
      </c>
      <c r="CO240" t="s">
        <v>97</v>
      </c>
      <c r="CP240" t="s">
        <v>97</v>
      </c>
      <c r="CQ240" t="s">
        <v>97</v>
      </c>
      <c r="CR240" t="s">
        <v>97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 t="s">
        <v>107</v>
      </c>
      <c r="DB240" t="s">
        <v>107</v>
      </c>
      <c r="DC240">
        <v>328</v>
      </c>
      <c r="DD240">
        <v>0</v>
      </c>
      <c r="DE240">
        <v>-6.6000000000000003E-2</v>
      </c>
      <c r="DF240">
        <v>34.299999999999997</v>
      </c>
      <c r="DG240">
        <v>7.4</v>
      </c>
    </row>
    <row r="241" spans="1:111" x14ac:dyDescent="0.2">
      <c r="A241">
        <v>2025</v>
      </c>
      <c r="B241" s="1">
        <v>45943</v>
      </c>
      <c r="C241" t="s">
        <v>95</v>
      </c>
      <c r="D241">
        <v>605483</v>
      </c>
      <c r="E241">
        <v>592885</v>
      </c>
      <c r="F241">
        <v>2</v>
      </c>
      <c r="G241">
        <v>1</v>
      </c>
      <c r="H241">
        <v>4</v>
      </c>
      <c r="I241" t="s">
        <v>163</v>
      </c>
      <c r="J241">
        <v>27</v>
      </c>
      <c r="K241">
        <v>4</v>
      </c>
      <c r="L241" t="s">
        <v>97</v>
      </c>
      <c r="M241" t="s">
        <v>98</v>
      </c>
      <c r="N241" t="s">
        <v>99</v>
      </c>
      <c r="O241">
        <f t="shared" si="48"/>
        <v>0</v>
      </c>
      <c r="P241">
        <f t="shared" si="49"/>
        <v>0</v>
      </c>
      <c r="Q241">
        <f t="shared" si="50"/>
        <v>0</v>
      </c>
      <c r="R241">
        <f t="shared" si="51"/>
        <v>1</v>
      </c>
      <c r="S241">
        <f t="shared" si="52"/>
        <v>0</v>
      </c>
      <c r="T241">
        <f t="shared" si="53"/>
        <v>0</v>
      </c>
      <c r="U241">
        <f t="shared" si="54"/>
        <v>0</v>
      </c>
      <c r="V241">
        <f t="shared" si="55"/>
        <v>0</v>
      </c>
      <c r="W241">
        <f t="shared" si="56"/>
        <v>0</v>
      </c>
      <c r="X241">
        <f t="shared" si="57"/>
        <v>0</v>
      </c>
      <c r="Y241">
        <f t="shared" si="58"/>
        <v>0</v>
      </c>
      <c r="Z241">
        <f t="shared" si="59"/>
        <v>0</v>
      </c>
      <c r="AA241">
        <f t="shared" si="60"/>
        <v>0</v>
      </c>
      <c r="AB241">
        <f t="shared" si="61"/>
        <v>0</v>
      </c>
      <c r="AC241">
        <f t="shared" si="62"/>
        <v>0</v>
      </c>
      <c r="AD241">
        <f t="shared" si="63"/>
        <v>0</v>
      </c>
      <c r="AE241">
        <v>95.5</v>
      </c>
      <c r="AF241">
        <v>1.9</v>
      </c>
      <c r="AG241">
        <v>6.45</v>
      </c>
      <c r="AH241" t="s">
        <v>113</v>
      </c>
      <c r="AI241" t="s">
        <v>97</v>
      </c>
      <c r="AJ241" t="s">
        <v>97</v>
      </c>
      <c r="AK241" t="s">
        <v>97</v>
      </c>
      <c r="AL241" t="s">
        <v>97</v>
      </c>
      <c r="AM241">
        <v>2</v>
      </c>
      <c r="AN241" t="s">
        <v>114</v>
      </c>
      <c r="AO241" t="s">
        <v>103</v>
      </c>
      <c r="AP241" t="s">
        <v>103</v>
      </c>
      <c r="AQ241" t="s">
        <v>103</v>
      </c>
      <c r="AR241" t="s">
        <v>190</v>
      </c>
      <c r="AS241" t="s">
        <v>104</v>
      </c>
      <c r="AT241" t="s">
        <v>110</v>
      </c>
      <c r="AU241" t="s">
        <v>97</v>
      </c>
      <c r="AV241" t="s">
        <v>97</v>
      </c>
      <c r="AW241">
        <v>0.1</v>
      </c>
      <c r="AX241">
        <v>1.47</v>
      </c>
      <c r="AY241">
        <v>-7.0000000000000007E-2</v>
      </c>
      <c r="AZ241">
        <v>2.87</v>
      </c>
      <c r="BA241" t="s">
        <v>97</v>
      </c>
      <c r="BB241" t="s">
        <v>97</v>
      </c>
      <c r="BC241" t="s">
        <v>97</v>
      </c>
      <c r="BD241">
        <v>1</v>
      </c>
      <c r="BE241" t="s">
        <v>97</v>
      </c>
      <c r="BF241" t="s">
        <v>97</v>
      </c>
      <c r="BG241" t="s">
        <v>97</v>
      </c>
      <c r="BH241" t="s">
        <v>97</v>
      </c>
      <c r="BI241">
        <v>669257</v>
      </c>
      <c r="BJ241">
        <v>669257</v>
      </c>
      <c r="BK241" t="s">
        <v>97</v>
      </c>
      <c r="BL241" t="s">
        <v>97</v>
      </c>
      <c r="BM241">
        <v>-5.4420116539999999</v>
      </c>
      <c r="BN241">
        <v>-138.80593250000001</v>
      </c>
      <c r="BO241">
        <v>-7.1614642340000003</v>
      </c>
      <c r="BP241">
        <v>2.5299296359999999</v>
      </c>
      <c r="BQ241">
        <v>31.810768169999999</v>
      </c>
      <c r="BR241">
        <v>-11.7356266</v>
      </c>
      <c r="BS241">
        <v>3.25</v>
      </c>
      <c r="BT241">
        <v>1.69</v>
      </c>
      <c r="BU241" t="s">
        <v>97</v>
      </c>
      <c r="BV241" t="s">
        <v>97</v>
      </c>
      <c r="BW241" t="s">
        <v>97</v>
      </c>
      <c r="BX241">
        <v>96.3</v>
      </c>
      <c r="BY241">
        <v>2423</v>
      </c>
      <c r="BZ241">
        <v>6.9</v>
      </c>
      <c r="CA241">
        <v>813036</v>
      </c>
      <c r="CB241">
        <v>669257</v>
      </c>
      <c r="CC241">
        <v>669257</v>
      </c>
      <c r="CD241">
        <v>518692</v>
      </c>
      <c r="CE241">
        <v>669242</v>
      </c>
      <c r="CF241">
        <v>571970</v>
      </c>
      <c r="CG241">
        <v>605141</v>
      </c>
      <c r="CH241">
        <v>571771</v>
      </c>
      <c r="CI241">
        <v>681624</v>
      </c>
      <c r="CJ241">
        <v>606192</v>
      </c>
      <c r="CK241">
        <v>53.61</v>
      </c>
      <c r="CL241" t="s">
        <v>97</v>
      </c>
      <c r="CM241" t="s">
        <v>97</v>
      </c>
      <c r="CN241" t="s">
        <v>97</v>
      </c>
      <c r="CO241" t="s">
        <v>97</v>
      </c>
      <c r="CP241" t="s">
        <v>97</v>
      </c>
      <c r="CQ241" t="s">
        <v>97</v>
      </c>
      <c r="CR241" t="s">
        <v>97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 t="s">
        <v>107</v>
      </c>
      <c r="DB241" t="s">
        <v>107</v>
      </c>
      <c r="DC241">
        <v>162</v>
      </c>
      <c r="DD241">
        <v>0</v>
      </c>
      <c r="DE241">
        <v>-7.0000000000000007E-2</v>
      </c>
      <c r="DF241">
        <v>72.099999999999994</v>
      </c>
      <c r="DG241">
        <v>6.4</v>
      </c>
    </row>
    <row r="242" spans="1:111" x14ac:dyDescent="0.2">
      <c r="A242">
        <v>2025</v>
      </c>
      <c r="B242" s="1">
        <v>45943</v>
      </c>
      <c r="C242" t="s">
        <v>95</v>
      </c>
      <c r="D242">
        <v>605483</v>
      </c>
      <c r="E242">
        <v>592885</v>
      </c>
      <c r="F242">
        <v>2</v>
      </c>
      <c r="G242">
        <v>2</v>
      </c>
      <c r="H242">
        <v>4</v>
      </c>
      <c r="I242" t="s">
        <v>163</v>
      </c>
      <c r="J242">
        <v>27</v>
      </c>
      <c r="K242">
        <v>5</v>
      </c>
      <c r="L242" t="s">
        <v>97</v>
      </c>
      <c r="M242" t="s">
        <v>138</v>
      </c>
      <c r="N242" t="s">
        <v>139</v>
      </c>
      <c r="O242">
        <f t="shared" si="48"/>
        <v>0</v>
      </c>
      <c r="P242">
        <f t="shared" si="49"/>
        <v>0</v>
      </c>
      <c r="Q242">
        <f t="shared" si="50"/>
        <v>0</v>
      </c>
      <c r="R242">
        <f t="shared" si="51"/>
        <v>0</v>
      </c>
      <c r="S242">
        <f t="shared" si="52"/>
        <v>0</v>
      </c>
      <c r="T242">
        <f t="shared" si="53"/>
        <v>0</v>
      </c>
      <c r="U242">
        <f t="shared" si="54"/>
        <v>0</v>
      </c>
      <c r="V242">
        <f t="shared" si="55"/>
        <v>0</v>
      </c>
      <c r="W242">
        <f t="shared" si="56"/>
        <v>0</v>
      </c>
      <c r="X242">
        <f t="shared" si="57"/>
        <v>0</v>
      </c>
      <c r="Y242">
        <f t="shared" si="58"/>
        <v>0</v>
      </c>
      <c r="Z242">
        <f t="shared" si="59"/>
        <v>0</v>
      </c>
      <c r="AA242">
        <f t="shared" si="60"/>
        <v>0</v>
      </c>
      <c r="AB242">
        <f t="shared" si="61"/>
        <v>1</v>
      </c>
      <c r="AC242">
        <f t="shared" si="62"/>
        <v>0</v>
      </c>
      <c r="AD242">
        <f t="shared" si="63"/>
        <v>0</v>
      </c>
      <c r="AE242">
        <v>89.6</v>
      </c>
      <c r="AF242">
        <v>1.92</v>
      </c>
      <c r="AG242">
        <v>6.51</v>
      </c>
      <c r="AH242" t="s">
        <v>100</v>
      </c>
      <c r="AI242" t="s">
        <v>97</v>
      </c>
      <c r="AJ242" t="s">
        <v>97</v>
      </c>
      <c r="AK242" t="s">
        <v>97</v>
      </c>
      <c r="AL242" t="s">
        <v>97</v>
      </c>
      <c r="AM242">
        <v>13</v>
      </c>
      <c r="AN242" t="s">
        <v>101</v>
      </c>
      <c r="AO242" t="s">
        <v>103</v>
      </c>
      <c r="AP242" t="s">
        <v>103</v>
      </c>
      <c r="AQ242" t="s">
        <v>103</v>
      </c>
      <c r="AR242" t="s">
        <v>190</v>
      </c>
      <c r="AS242" t="s">
        <v>104</v>
      </c>
      <c r="AT242" t="s">
        <v>106</v>
      </c>
      <c r="AU242" t="s">
        <v>97</v>
      </c>
      <c r="AV242" t="s">
        <v>97</v>
      </c>
      <c r="AW242">
        <v>-0.17</v>
      </c>
      <c r="AX242">
        <v>0.82</v>
      </c>
      <c r="AY242">
        <v>-1.1100000000000001</v>
      </c>
      <c r="AZ242">
        <v>0.4</v>
      </c>
      <c r="BA242" t="s">
        <v>97</v>
      </c>
      <c r="BB242" t="s">
        <v>97</v>
      </c>
      <c r="BC242" t="s">
        <v>97</v>
      </c>
      <c r="BD242">
        <v>1</v>
      </c>
      <c r="BE242" t="s">
        <v>97</v>
      </c>
      <c r="BF242" t="s">
        <v>97</v>
      </c>
      <c r="BG242" t="s">
        <v>97</v>
      </c>
      <c r="BH242" t="s">
        <v>97</v>
      </c>
      <c r="BI242">
        <v>669257</v>
      </c>
      <c r="BJ242">
        <v>669257</v>
      </c>
      <c r="BK242" t="s">
        <v>97</v>
      </c>
      <c r="BL242" t="s">
        <v>97</v>
      </c>
      <c r="BM242">
        <v>-7.162957445</v>
      </c>
      <c r="BN242">
        <v>-129.98157180000001</v>
      </c>
      <c r="BO242">
        <v>-10.86851613</v>
      </c>
      <c r="BP242">
        <v>-0.46795252399999998</v>
      </c>
      <c r="BQ242">
        <v>26.671072179999999</v>
      </c>
      <c r="BR242">
        <v>-20.78471073</v>
      </c>
      <c r="BS242">
        <v>3.41</v>
      </c>
      <c r="BT242">
        <v>1.59</v>
      </c>
      <c r="BU242" t="s">
        <v>97</v>
      </c>
      <c r="BV242" t="s">
        <v>97</v>
      </c>
      <c r="BW242" t="s">
        <v>97</v>
      </c>
      <c r="BX242">
        <v>90.1</v>
      </c>
      <c r="BY242">
        <v>2313</v>
      </c>
      <c r="BZ242">
        <v>6.7</v>
      </c>
      <c r="CA242">
        <v>813036</v>
      </c>
      <c r="CB242">
        <v>669257</v>
      </c>
      <c r="CC242">
        <v>669257</v>
      </c>
      <c r="CD242">
        <v>518692</v>
      </c>
      <c r="CE242">
        <v>669242</v>
      </c>
      <c r="CF242">
        <v>571970</v>
      </c>
      <c r="CG242">
        <v>605141</v>
      </c>
      <c r="CH242">
        <v>571771</v>
      </c>
      <c r="CI242">
        <v>681624</v>
      </c>
      <c r="CJ242">
        <v>606192</v>
      </c>
      <c r="CK242">
        <v>53.78</v>
      </c>
      <c r="CL242" t="s">
        <v>97</v>
      </c>
      <c r="CM242" t="s">
        <v>97</v>
      </c>
      <c r="CN242" t="s">
        <v>97</v>
      </c>
      <c r="CO242" t="s">
        <v>97</v>
      </c>
      <c r="CP242" t="s">
        <v>97</v>
      </c>
      <c r="CQ242" t="s">
        <v>97</v>
      </c>
      <c r="CR242" t="s">
        <v>97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 t="s">
        <v>115</v>
      </c>
      <c r="DB242" t="s">
        <v>107</v>
      </c>
      <c r="DC242">
        <v>165</v>
      </c>
      <c r="DD242">
        <v>0</v>
      </c>
      <c r="DE242">
        <v>0.104</v>
      </c>
      <c r="DF242" t="s">
        <v>97</v>
      </c>
      <c r="DG242" t="s">
        <v>97</v>
      </c>
    </row>
    <row r="243" spans="1:111" x14ac:dyDescent="0.2">
      <c r="A243">
        <v>2025</v>
      </c>
      <c r="B243" s="1">
        <v>45943</v>
      </c>
      <c r="C243" t="s">
        <v>95</v>
      </c>
      <c r="D243">
        <v>605483</v>
      </c>
      <c r="E243">
        <v>592885</v>
      </c>
      <c r="F243">
        <v>3</v>
      </c>
      <c r="G243">
        <v>2</v>
      </c>
      <c r="H243">
        <v>4</v>
      </c>
      <c r="I243" t="s">
        <v>163</v>
      </c>
      <c r="J243">
        <v>27</v>
      </c>
      <c r="K243">
        <v>6</v>
      </c>
      <c r="L243" t="s">
        <v>116</v>
      </c>
      <c r="M243" t="s">
        <v>98</v>
      </c>
      <c r="N243" t="s">
        <v>99</v>
      </c>
      <c r="O243">
        <f t="shared" si="48"/>
        <v>0</v>
      </c>
      <c r="P243">
        <f t="shared" si="49"/>
        <v>0</v>
      </c>
      <c r="Q243">
        <f t="shared" si="50"/>
        <v>0</v>
      </c>
      <c r="R243">
        <f t="shared" si="51"/>
        <v>1</v>
      </c>
      <c r="S243">
        <f t="shared" si="52"/>
        <v>0</v>
      </c>
      <c r="T243">
        <f t="shared" si="53"/>
        <v>0</v>
      </c>
      <c r="U243">
        <f t="shared" si="54"/>
        <v>0</v>
      </c>
      <c r="V243">
        <f t="shared" si="55"/>
        <v>0</v>
      </c>
      <c r="W243">
        <f t="shared" si="56"/>
        <v>0</v>
      </c>
      <c r="X243">
        <f t="shared" si="57"/>
        <v>0</v>
      </c>
      <c r="Y243">
        <f t="shared" si="58"/>
        <v>0</v>
      </c>
      <c r="Z243">
        <f t="shared" si="59"/>
        <v>0</v>
      </c>
      <c r="AA243">
        <f t="shared" si="60"/>
        <v>0</v>
      </c>
      <c r="AB243">
        <f t="shared" si="61"/>
        <v>0</v>
      </c>
      <c r="AC243">
        <f t="shared" si="62"/>
        <v>0</v>
      </c>
      <c r="AD243">
        <f t="shared" si="63"/>
        <v>0</v>
      </c>
      <c r="AE243">
        <v>96.8</v>
      </c>
      <c r="AF243">
        <v>1.85</v>
      </c>
      <c r="AG243">
        <v>6.4</v>
      </c>
      <c r="AH243" t="s">
        <v>145</v>
      </c>
      <c r="AI243" t="s">
        <v>97</v>
      </c>
      <c r="AJ243" t="s">
        <v>97</v>
      </c>
      <c r="AK243" t="s">
        <v>97</v>
      </c>
      <c r="AL243" t="s">
        <v>97</v>
      </c>
      <c r="AM243">
        <v>7</v>
      </c>
      <c r="AN243" t="s">
        <v>201</v>
      </c>
      <c r="AO243" t="s">
        <v>103</v>
      </c>
      <c r="AP243" t="s">
        <v>103</v>
      </c>
      <c r="AQ243" t="s">
        <v>103</v>
      </c>
      <c r="AR243" t="s">
        <v>190</v>
      </c>
      <c r="AS243" t="s">
        <v>104</v>
      </c>
      <c r="AT243" t="s">
        <v>110</v>
      </c>
      <c r="AU243">
        <v>2</v>
      </c>
      <c r="AV243" t="s">
        <v>97</v>
      </c>
      <c r="AW243">
        <v>-0.04</v>
      </c>
      <c r="AX243">
        <v>1.36</v>
      </c>
      <c r="AY243">
        <v>-0.55000000000000004</v>
      </c>
      <c r="AZ243">
        <v>1.97</v>
      </c>
      <c r="BA243" t="s">
        <v>97</v>
      </c>
      <c r="BB243" t="s">
        <v>97</v>
      </c>
      <c r="BC243" t="s">
        <v>97</v>
      </c>
      <c r="BD243">
        <v>1</v>
      </c>
      <c r="BE243" t="s">
        <v>97</v>
      </c>
      <c r="BF243" t="s">
        <v>97</v>
      </c>
      <c r="BG243" t="s">
        <v>97</v>
      </c>
      <c r="BH243" t="s">
        <v>97</v>
      </c>
      <c r="BI243">
        <v>669257</v>
      </c>
      <c r="BJ243">
        <v>669257</v>
      </c>
      <c r="BK243" t="s">
        <v>97</v>
      </c>
      <c r="BL243" t="s">
        <v>97</v>
      </c>
      <c r="BM243">
        <v>-6.3721303870000003</v>
      </c>
      <c r="BN243">
        <v>-140.58983079999999</v>
      </c>
      <c r="BO243">
        <v>-9.4225044469999997</v>
      </c>
      <c r="BP243">
        <v>0.98112050900000003</v>
      </c>
      <c r="BQ243">
        <v>33.890445460000002</v>
      </c>
      <c r="BR243">
        <v>-12.07531973</v>
      </c>
      <c r="BS243">
        <v>3.25</v>
      </c>
      <c r="BT243">
        <v>1.69</v>
      </c>
      <c r="BU243" t="s">
        <v>97</v>
      </c>
      <c r="BV243" t="s">
        <v>97</v>
      </c>
      <c r="BW243" t="s">
        <v>97</v>
      </c>
      <c r="BX243">
        <v>97.4</v>
      </c>
      <c r="BY243">
        <v>2462</v>
      </c>
      <c r="BZ243">
        <v>6.9</v>
      </c>
      <c r="CA243">
        <v>813036</v>
      </c>
      <c r="CB243">
        <v>669257</v>
      </c>
      <c r="CC243">
        <v>669257</v>
      </c>
      <c r="CD243">
        <v>518692</v>
      </c>
      <c r="CE243">
        <v>669242</v>
      </c>
      <c r="CF243">
        <v>571970</v>
      </c>
      <c r="CG243">
        <v>605141</v>
      </c>
      <c r="CH243">
        <v>571771</v>
      </c>
      <c r="CI243">
        <v>681624</v>
      </c>
      <c r="CJ243">
        <v>606192</v>
      </c>
      <c r="CK243">
        <v>53.61</v>
      </c>
      <c r="CL243" t="s">
        <v>97</v>
      </c>
      <c r="CM243">
        <v>0</v>
      </c>
      <c r="CN243">
        <v>0</v>
      </c>
      <c r="CO243">
        <v>1</v>
      </c>
      <c r="CP243">
        <v>0</v>
      </c>
      <c r="CQ243">
        <v>0</v>
      </c>
      <c r="CR243" t="s">
        <v>97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 t="s">
        <v>115</v>
      </c>
      <c r="DB243" t="s">
        <v>107</v>
      </c>
      <c r="DC243">
        <v>157</v>
      </c>
      <c r="DD243">
        <v>-1.9E-2</v>
      </c>
      <c r="DE243">
        <v>-0.33200000000000002</v>
      </c>
      <c r="DF243">
        <v>74.900000000000006</v>
      </c>
      <c r="DG243">
        <v>7.3</v>
      </c>
    </row>
    <row r="244" spans="1:111" x14ac:dyDescent="0.2">
      <c r="A244">
        <v>2025</v>
      </c>
      <c r="B244" s="1">
        <v>45943</v>
      </c>
      <c r="C244" t="s">
        <v>95</v>
      </c>
      <c r="D244">
        <v>605483</v>
      </c>
      <c r="E244">
        <v>661388</v>
      </c>
      <c r="F244">
        <v>0</v>
      </c>
      <c r="G244">
        <v>0</v>
      </c>
      <c r="H244">
        <v>4</v>
      </c>
      <c r="I244" t="s">
        <v>163</v>
      </c>
      <c r="J244">
        <v>28</v>
      </c>
      <c r="K244">
        <v>1</v>
      </c>
      <c r="L244" t="s">
        <v>97</v>
      </c>
      <c r="M244" t="s">
        <v>138</v>
      </c>
      <c r="N244" t="s">
        <v>139</v>
      </c>
      <c r="O244">
        <f t="shared" si="48"/>
        <v>0</v>
      </c>
      <c r="P244">
        <f t="shared" si="49"/>
        <v>0</v>
      </c>
      <c r="Q244">
        <f t="shared" si="50"/>
        <v>0</v>
      </c>
      <c r="R244">
        <f t="shared" si="51"/>
        <v>0</v>
      </c>
      <c r="S244">
        <f t="shared" si="52"/>
        <v>0</v>
      </c>
      <c r="T244">
        <f t="shared" si="53"/>
        <v>0</v>
      </c>
      <c r="U244">
        <f t="shared" si="54"/>
        <v>0</v>
      </c>
      <c r="V244">
        <f t="shared" si="55"/>
        <v>0</v>
      </c>
      <c r="W244">
        <f t="shared" si="56"/>
        <v>0</v>
      </c>
      <c r="X244">
        <f t="shared" si="57"/>
        <v>0</v>
      </c>
      <c r="Y244">
        <f t="shared" si="58"/>
        <v>0</v>
      </c>
      <c r="Z244">
        <f t="shared" si="59"/>
        <v>0</v>
      </c>
      <c r="AA244">
        <f t="shared" si="60"/>
        <v>0</v>
      </c>
      <c r="AB244">
        <f t="shared" si="61"/>
        <v>0</v>
      </c>
      <c r="AC244">
        <f t="shared" si="62"/>
        <v>0</v>
      </c>
      <c r="AD244">
        <f t="shared" si="63"/>
        <v>1</v>
      </c>
      <c r="AE244">
        <v>89.1</v>
      </c>
      <c r="AF244">
        <v>1.87</v>
      </c>
      <c r="AG244">
        <v>6.45</v>
      </c>
      <c r="AH244" t="s">
        <v>100</v>
      </c>
      <c r="AI244" t="s">
        <v>97</v>
      </c>
      <c r="AJ244" t="s">
        <v>97</v>
      </c>
      <c r="AK244" t="s">
        <v>97</v>
      </c>
      <c r="AL244" t="s">
        <v>97</v>
      </c>
      <c r="AM244">
        <v>13</v>
      </c>
      <c r="AN244" t="s">
        <v>101</v>
      </c>
      <c r="AO244" t="s">
        <v>103</v>
      </c>
      <c r="AP244" t="s">
        <v>122</v>
      </c>
      <c r="AQ244" t="s">
        <v>103</v>
      </c>
      <c r="AR244" t="s">
        <v>190</v>
      </c>
      <c r="AS244" t="s">
        <v>104</v>
      </c>
      <c r="AT244" t="s">
        <v>106</v>
      </c>
      <c r="AU244" t="s">
        <v>97</v>
      </c>
      <c r="AV244" t="s">
        <v>97</v>
      </c>
      <c r="AW244">
        <v>-0.15</v>
      </c>
      <c r="AX244">
        <v>0.75</v>
      </c>
      <c r="AY244">
        <v>-0.87</v>
      </c>
      <c r="AZ244">
        <v>1.25</v>
      </c>
      <c r="BA244" t="s">
        <v>97</v>
      </c>
      <c r="BB244" t="s">
        <v>97</v>
      </c>
      <c r="BC244" t="s">
        <v>97</v>
      </c>
      <c r="BD244">
        <v>2</v>
      </c>
      <c r="BE244" t="s">
        <v>97</v>
      </c>
      <c r="BF244" t="s">
        <v>97</v>
      </c>
      <c r="BG244" t="s">
        <v>97</v>
      </c>
      <c r="BH244" t="s">
        <v>97</v>
      </c>
      <c r="BI244">
        <v>669257</v>
      </c>
      <c r="BJ244">
        <v>669257</v>
      </c>
      <c r="BK244" t="s">
        <v>97</v>
      </c>
      <c r="BL244" t="s">
        <v>97</v>
      </c>
      <c r="BM244">
        <v>-6.4932337999999996</v>
      </c>
      <c r="BN244">
        <v>-129.44304639999999</v>
      </c>
      <c r="BO244">
        <v>-8.3690013790000002</v>
      </c>
      <c r="BP244">
        <v>-0.32005601700000003</v>
      </c>
      <c r="BQ244">
        <v>26.473519679999999</v>
      </c>
      <c r="BR244">
        <v>-22.209539589999999</v>
      </c>
      <c r="BS244">
        <v>3.54</v>
      </c>
      <c r="BT244">
        <v>1.61</v>
      </c>
      <c r="BU244" t="s">
        <v>97</v>
      </c>
      <c r="BV244" t="s">
        <v>97</v>
      </c>
      <c r="BW244" t="s">
        <v>97</v>
      </c>
      <c r="BX244">
        <v>90</v>
      </c>
      <c r="BY244">
        <v>2368</v>
      </c>
      <c r="BZ244">
        <v>6.9</v>
      </c>
      <c r="CA244">
        <v>813036</v>
      </c>
      <c r="CB244">
        <v>669257</v>
      </c>
      <c r="CC244">
        <v>669257</v>
      </c>
      <c r="CD244">
        <v>518692</v>
      </c>
      <c r="CE244">
        <v>669242</v>
      </c>
      <c r="CF244">
        <v>571970</v>
      </c>
      <c r="CG244">
        <v>605141</v>
      </c>
      <c r="CH244">
        <v>571771</v>
      </c>
      <c r="CI244">
        <v>681624</v>
      </c>
      <c r="CJ244">
        <v>606192</v>
      </c>
      <c r="CK244">
        <v>53.63</v>
      </c>
      <c r="CL244" t="s">
        <v>97</v>
      </c>
      <c r="CM244" t="s">
        <v>97</v>
      </c>
      <c r="CN244" t="s">
        <v>97</v>
      </c>
      <c r="CO244" t="s">
        <v>97</v>
      </c>
      <c r="CP244" t="s">
        <v>97</v>
      </c>
      <c r="CQ244" t="s">
        <v>97</v>
      </c>
      <c r="CR244" t="s">
        <v>97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 t="s">
        <v>107</v>
      </c>
      <c r="DB244" t="s">
        <v>107</v>
      </c>
      <c r="DC244">
        <v>165</v>
      </c>
      <c r="DD244">
        <v>0</v>
      </c>
      <c r="DE244">
        <v>3.6999999999999998E-2</v>
      </c>
      <c r="DF244" t="s">
        <v>97</v>
      </c>
      <c r="DG244" t="s">
        <v>97</v>
      </c>
    </row>
    <row r="245" spans="1:111" x14ac:dyDescent="0.2">
      <c r="A245">
        <v>2025</v>
      </c>
      <c r="B245" s="1">
        <v>45943</v>
      </c>
      <c r="C245" t="s">
        <v>95</v>
      </c>
      <c r="D245">
        <v>605483</v>
      </c>
      <c r="E245">
        <v>661388</v>
      </c>
      <c r="F245">
        <v>1</v>
      </c>
      <c r="G245">
        <v>0</v>
      </c>
      <c r="H245">
        <v>4</v>
      </c>
      <c r="I245" t="s">
        <v>163</v>
      </c>
      <c r="J245">
        <v>28</v>
      </c>
      <c r="K245">
        <v>2</v>
      </c>
      <c r="L245" t="s">
        <v>97</v>
      </c>
      <c r="M245" t="s">
        <v>132</v>
      </c>
      <c r="N245" t="s">
        <v>133</v>
      </c>
      <c r="O245">
        <f t="shared" si="48"/>
        <v>0</v>
      </c>
      <c r="P245">
        <f t="shared" si="49"/>
        <v>0</v>
      </c>
      <c r="Q245">
        <f t="shared" si="50"/>
        <v>0</v>
      </c>
      <c r="R245">
        <f t="shared" si="51"/>
        <v>0</v>
      </c>
      <c r="S245">
        <f t="shared" si="52"/>
        <v>0</v>
      </c>
      <c r="T245">
        <f t="shared" si="53"/>
        <v>0</v>
      </c>
      <c r="U245">
        <f t="shared" si="54"/>
        <v>0</v>
      </c>
      <c r="V245">
        <f t="shared" si="55"/>
        <v>0</v>
      </c>
      <c r="W245">
        <f t="shared" si="56"/>
        <v>1</v>
      </c>
      <c r="X245">
        <f t="shared" si="57"/>
        <v>0</v>
      </c>
      <c r="Y245">
        <f t="shared" si="58"/>
        <v>0</v>
      </c>
      <c r="Z245">
        <f t="shared" si="59"/>
        <v>0</v>
      </c>
      <c r="AA245">
        <f t="shared" si="60"/>
        <v>0</v>
      </c>
      <c r="AB245">
        <f t="shared" si="61"/>
        <v>0</v>
      </c>
      <c r="AC245">
        <f t="shared" si="62"/>
        <v>0</v>
      </c>
      <c r="AD245">
        <f t="shared" si="63"/>
        <v>0</v>
      </c>
      <c r="AE245">
        <v>87.2</v>
      </c>
      <c r="AF245">
        <v>2.2000000000000002</v>
      </c>
      <c r="AG245">
        <v>6.3</v>
      </c>
      <c r="AH245" t="s">
        <v>113</v>
      </c>
      <c r="AI245" t="s">
        <v>97</v>
      </c>
      <c r="AJ245" t="s">
        <v>97</v>
      </c>
      <c r="AK245" t="s">
        <v>97</v>
      </c>
      <c r="AL245" t="s">
        <v>97</v>
      </c>
      <c r="AM245">
        <v>6</v>
      </c>
      <c r="AN245" t="s">
        <v>114</v>
      </c>
      <c r="AO245" t="s">
        <v>103</v>
      </c>
      <c r="AP245" t="s">
        <v>122</v>
      </c>
      <c r="AQ245" t="s">
        <v>103</v>
      </c>
      <c r="AR245" t="s">
        <v>190</v>
      </c>
      <c r="AS245" t="s">
        <v>104</v>
      </c>
      <c r="AT245" t="s">
        <v>110</v>
      </c>
      <c r="AU245" t="s">
        <v>97</v>
      </c>
      <c r="AV245" t="s">
        <v>97</v>
      </c>
      <c r="AW245">
        <v>1.25</v>
      </c>
      <c r="AX245">
        <v>0.65</v>
      </c>
      <c r="AY245">
        <v>0.51</v>
      </c>
      <c r="AZ245">
        <v>2.62</v>
      </c>
      <c r="BA245" t="s">
        <v>97</v>
      </c>
      <c r="BB245" t="s">
        <v>97</v>
      </c>
      <c r="BC245" t="s">
        <v>97</v>
      </c>
      <c r="BD245">
        <v>2</v>
      </c>
      <c r="BE245" t="s">
        <v>97</v>
      </c>
      <c r="BF245" t="s">
        <v>97</v>
      </c>
      <c r="BG245" t="s">
        <v>97</v>
      </c>
      <c r="BH245" t="s">
        <v>97</v>
      </c>
      <c r="BI245">
        <v>669257</v>
      </c>
      <c r="BJ245">
        <v>669257</v>
      </c>
      <c r="BK245" t="s">
        <v>97</v>
      </c>
      <c r="BL245" t="s">
        <v>97</v>
      </c>
      <c r="BM245">
        <v>-6.7140176460000003</v>
      </c>
      <c r="BN245">
        <v>-126.8019951</v>
      </c>
      <c r="BO245">
        <v>-4.0218537799999998</v>
      </c>
      <c r="BP245">
        <v>14.8953007</v>
      </c>
      <c r="BQ245">
        <v>26.719205949999999</v>
      </c>
      <c r="BR245">
        <v>-24.481839860000001</v>
      </c>
      <c r="BS245">
        <v>3.42</v>
      </c>
      <c r="BT245">
        <v>1.61</v>
      </c>
      <c r="BU245" t="s">
        <v>97</v>
      </c>
      <c r="BV245" t="s">
        <v>97</v>
      </c>
      <c r="BW245" t="s">
        <v>97</v>
      </c>
      <c r="BX245">
        <v>88</v>
      </c>
      <c r="BY245">
        <v>1699</v>
      </c>
      <c r="BZ245">
        <v>6.9</v>
      </c>
      <c r="CA245">
        <v>813036</v>
      </c>
      <c r="CB245">
        <v>669257</v>
      </c>
      <c r="CC245">
        <v>669257</v>
      </c>
      <c r="CD245">
        <v>518692</v>
      </c>
      <c r="CE245">
        <v>669242</v>
      </c>
      <c r="CF245">
        <v>571970</v>
      </c>
      <c r="CG245">
        <v>605141</v>
      </c>
      <c r="CH245">
        <v>571771</v>
      </c>
      <c r="CI245">
        <v>681624</v>
      </c>
      <c r="CJ245">
        <v>606192</v>
      </c>
      <c r="CK245">
        <v>53.6</v>
      </c>
      <c r="CL245" t="s">
        <v>97</v>
      </c>
      <c r="CM245" t="s">
        <v>97</v>
      </c>
      <c r="CN245" t="s">
        <v>97</v>
      </c>
      <c r="CO245" t="s">
        <v>97</v>
      </c>
      <c r="CP245" t="s">
        <v>97</v>
      </c>
      <c r="CQ245" t="s">
        <v>97</v>
      </c>
      <c r="CR245" t="s">
        <v>97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 t="s">
        <v>107</v>
      </c>
      <c r="DB245" t="s">
        <v>107</v>
      </c>
      <c r="DC245">
        <v>135</v>
      </c>
      <c r="DD245">
        <v>0</v>
      </c>
      <c r="DE245">
        <v>-5.2999999999999999E-2</v>
      </c>
      <c r="DF245">
        <v>76.099999999999994</v>
      </c>
      <c r="DG245">
        <v>7.2</v>
      </c>
    </row>
    <row r="246" spans="1:111" x14ac:dyDescent="0.2">
      <c r="A246">
        <v>2025</v>
      </c>
      <c r="B246" s="1">
        <v>45943</v>
      </c>
      <c r="C246" t="s">
        <v>95</v>
      </c>
      <c r="D246">
        <v>605483</v>
      </c>
      <c r="E246">
        <v>661388</v>
      </c>
      <c r="F246">
        <v>1</v>
      </c>
      <c r="G246">
        <v>1</v>
      </c>
      <c r="H246">
        <v>4</v>
      </c>
      <c r="I246" t="s">
        <v>163</v>
      </c>
      <c r="J246">
        <v>28</v>
      </c>
      <c r="K246">
        <v>3</v>
      </c>
      <c r="L246" t="s">
        <v>97</v>
      </c>
      <c r="M246" t="s">
        <v>132</v>
      </c>
      <c r="N246" t="s">
        <v>133</v>
      </c>
      <c r="O246">
        <f t="shared" si="48"/>
        <v>0</v>
      </c>
      <c r="P246">
        <f t="shared" si="49"/>
        <v>0</v>
      </c>
      <c r="Q246">
        <f t="shared" si="50"/>
        <v>0</v>
      </c>
      <c r="R246">
        <f t="shared" si="51"/>
        <v>0</v>
      </c>
      <c r="S246">
        <f t="shared" si="52"/>
        <v>0</v>
      </c>
      <c r="T246">
        <f t="shared" si="53"/>
        <v>0</v>
      </c>
      <c r="U246">
        <f t="shared" si="54"/>
        <v>0</v>
      </c>
      <c r="V246">
        <f t="shared" si="55"/>
        <v>0</v>
      </c>
      <c r="W246">
        <f t="shared" si="56"/>
        <v>1</v>
      </c>
      <c r="X246">
        <f t="shared" si="57"/>
        <v>0</v>
      </c>
      <c r="Y246">
        <f t="shared" si="58"/>
        <v>0</v>
      </c>
      <c r="Z246">
        <f t="shared" si="59"/>
        <v>0</v>
      </c>
      <c r="AA246">
        <f t="shared" si="60"/>
        <v>0</v>
      </c>
      <c r="AB246">
        <f t="shared" si="61"/>
        <v>0</v>
      </c>
      <c r="AC246">
        <f t="shared" si="62"/>
        <v>0</v>
      </c>
      <c r="AD246">
        <f t="shared" si="63"/>
        <v>0</v>
      </c>
      <c r="AE246">
        <v>86.2</v>
      </c>
      <c r="AF246">
        <v>2.16</v>
      </c>
      <c r="AG246">
        <v>6.3</v>
      </c>
      <c r="AH246" t="s">
        <v>113</v>
      </c>
      <c r="AI246" t="s">
        <v>97</v>
      </c>
      <c r="AJ246" t="s">
        <v>97</v>
      </c>
      <c r="AK246" t="s">
        <v>97</v>
      </c>
      <c r="AL246" t="s">
        <v>97</v>
      </c>
      <c r="AM246">
        <v>9</v>
      </c>
      <c r="AN246" t="s">
        <v>114</v>
      </c>
      <c r="AO246" t="s">
        <v>103</v>
      </c>
      <c r="AP246" t="s">
        <v>122</v>
      </c>
      <c r="AQ246" t="s">
        <v>103</v>
      </c>
      <c r="AR246" t="s">
        <v>190</v>
      </c>
      <c r="AS246" t="s">
        <v>104</v>
      </c>
      <c r="AT246" t="s">
        <v>110</v>
      </c>
      <c r="AU246" t="s">
        <v>97</v>
      </c>
      <c r="AV246" t="s">
        <v>97</v>
      </c>
      <c r="AW246">
        <v>1.25</v>
      </c>
      <c r="AX246">
        <v>0.88</v>
      </c>
      <c r="AY246">
        <v>0.53</v>
      </c>
      <c r="AZ246">
        <v>1.57</v>
      </c>
      <c r="BA246" t="s">
        <v>97</v>
      </c>
      <c r="BB246" t="s">
        <v>97</v>
      </c>
      <c r="BC246" t="s">
        <v>97</v>
      </c>
      <c r="BD246">
        <v>2</v>
      </c>
      <c r="BE246" t="s">
        <v>97</v>
      </c>
      <c r="BF246" t="s">
        <v>97</v>
      </c>
      <c r="BG246" t="s">
        <v>97</v>
      </c>
      <c r="BH246" t="s">
        <v>97</v>
      </c>
      <c r="BI246">
        <v>669257</v>
      </c>
      <c r="BJ246">
        <v>669257</v>
      </c>
      <c r="BK246" t="s">
        <v>97</v>
      </c>
      <c r="BL246" t="s">
        <v>97</v>
      </c>
      <c r="BM246">
        <v>-6.4781634009999998</v>
      </c>
      <c r="BN246">
        <v>-125.2311593</v>
      </c>
      <c r="BO246">
        <v>-6.8209069250000001</v>
      </c>
      <c r="BP246">
        <v>14.45152425</v>
      </c>
      <c r="BQ246">
        <v>26.634397109999998</v>
      </c>
      <c r="BR246">
        <v>-21.68072626</v>
      </c>
      <c r="BS246">
        <v>3.42</v>
      </c>
      <c r="BT246">
        <v>1.61</v>
      </c>
      <c r="BU246" t="s">
        <v>97</v>
      </c>
      <c r="BV246" t="s">
        <v>97</v>
      </c>
      <c r="BW246" t="s">
        <v>97</v>
      </c>
      <c r="BX246">
        <v>86.8</v>
      </c>
      <c r="BY246">
        <v>2008</v>
      </c>
      <c r="BZ246">
        <v>6.9</v>
      </c>
      <c r="CA246">
        <v>813036</v>
      </c>
      <c r="CB246">
        <v>669257</v>
      </c>
      <c r="CC246">
        <v>669257</v>
      </c>
      <c r="CD246">
        <v>518692</v>
      </c>
      <c r="CE246">
        <v>669242</v>
      </c>
      <c r="CF246">
        <v>571970</v>
      </c>
      <c r="CG246">
        <v>605141</v>
      </c>
      <c r="CH246">
        <v>571771</v>
      </c>
      <c r="CI246">
        <v>681624</v>
      </c>
      <c r="CJ246">
        <v>606192</v>
      </c>
      <c r="CK246">
        <v>53.63</v>
      </c>
      <c r="CL246" t="s">
        <v>97</v>
      </c>
      <c r="CM246" t="s">
        <v>97</v>
      </c>
      <c r="CN246" t="s">
        <v>97</v>
      </c>
      <c r="CO246" t="s">
        <v>97</v>
      </c>
      <c r="CP246" t="s">
        <v>97</v>
      </c>
      <c r="CQ246" t="s">
        <v>97</v>
      </c>
      <c r="CR246" t="s">
        <v>97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 t="s">
        <v>107</v>
      </c>
      <c r="DB246" t="s">
        <v>107</v>
      </c>
      <c r="DC246">
        <v>134</v>
      </c>
      <c r="DD246">
        <v>0</v>
      </c>
      <c r="DE246">
        <v>-6.2E-2</v>
      </c>
      <c r="DF246">
        <v>67.900000000000006</v>
      </c>
      <c r="DG246">
        <v>8.1</v>
      </c>
    </row>
    <row r="247" spans="1:111" x14ac:dyDescent="0.2">
      <c r="A247">
        <v>2025</v>
      </c>
      <c r="B247" s="1">
        <v>45943</v>
      </c>
      <c r="C247" t="s">
        <v>95</v>
      </c>
      <c r="D247">
        <v>605483</v>
      </c>
      <c r="E247">
        <v>661388</v>
      </c>
      <c r="F247">
        <v>1</v>
      </c>
      <c r="G247">
        <v>2</v>
      </c>
      <c r="H247">
        <v>4</v>
      </c>
      <c r="I247" t="s">
        <v>163</v>
      </c>
      <c r="J247">
        <v>28</v>
      </c>
      <c r="K247">
        <v>4</v>
      </c>
      <c r="L247" t="s">
        <v>97</v>
      </c>
      <c r="M247" t="s">
        <v>132</v>
      </c>
      <c r="N247" t="s">
        <v>133</v>
      </c>
      <c r="O247">
        <f t="shared" si="48"/>
        <v>0</v>
      </c>
      <c r="P247">
        <f t="shared" si="49"/>
        <v>0</v>
      </c>
      <c r="Q247">
        <f t="shared" si="50"/>
        <v>0</v>
      </c>
      <c r="R247">
        <f t="shared" si="51"/>
        <v>0</v>
      </c>
      <c r="S247">
        <f t="shared" si="52"/>
        <v>0</v>
      </c>
      <c r="T247">
        <f t="shared" si="53"/>
        <v>0</v>
      </c>
      <c r="U247">
        <f t="shared" si="54"/>
        <v>0</v>
      </c>
      <c r="V247">
        <f t="shared" si="55"/>
        <v>0</v>
      </c>
      <c r="W247">
        <f t="shared" si="56"/>
        <v>1</v>
      </c>
      <c r="X247">
        <f t="shared" si="57"/>
        <v>0</v>
      </c>
      <c r="Y247">
        <f t="shared" si="58"/>
        <v>0</v>
      </c>
      <c r="Z247">
        <f t="shared" si="59"/>
        <v>0</v>
      </c>
      <c r="AA247">
        <f t="shared" si="60"/>
        <v>0</v>
      </c>
      <c r="AB247">
        <f t="shared" si="61"/>
        <v>0</v>
      </c>
      <c r="AC247">
        <f t="shared" si="62"/>
        <v>0</v>
      </c>
      <c r="AD247">
        <f t="shared" si="63"/>
        <v>0</v>
      </c>
      <c r="AE247">
        <v>82</v>
      </c>
      <c r="AF247">
        <v>2.12</v>
      </c>
      <c r="AG247">
        <v>6.25</v>
      </c>
      <c r="AH247" t="s">
        <v>129</v>
      </c>
      <c r="AI247" t="s">
        <v>97</v>
      </c>
      <c r="AJ247" t="s">
        <v>97</v>
      </c>
      <c r="AK247" t="s">
        <v>97</v>
      </c>
      <c r="AL247" t="s">
        <v>97</v>
      </c>
      <c r="AM247">
        <v>14</v>
      </c>
      <c r="AN247" t="s">
        <v>130</v>
      </c>
      <c r="AO247" t="s">
        <v>103</v>
      </c>
      <c r="AP247" t="s">
        <v>122</v>
      </c>
      <c r="AQ247" t="s">
        <v>103</v>
      </c>
      <c r="AR247" t="s">
        <v>190</v>
      </c>
      <c r="AS247" t="s">
        <v>104</v>
      </c>
      <c r="AT247" t="s">
        <v>110</v>
      </c>
      <c r="AU247" t="s">
        <v>97</v>
      </c>
      <c r="AV247" t="s">
        <v>97</v>
      </c>
      <c r="AW247">
        <v>1.18</v>
      </c>
      <c r="AX247">
        <v>0.76</v>
      </c>
      <c r="AY247">
        <v>0.24</v>
      </c>
      <c r="AZ247">
        <v>1.34</v>
      </c>
      <c r="BA247" t="s">
        <v>97</v>
      </c>
      <c r="BB247" t="s">
        <v>97</v>
      </c>
      <c r="BC247" t="s">
        <v>97</v>
      </c>
      <c r="BD247">
        <v>2</v>
      </c>
      <c r="BE247" t="s">
        <v>97</v>
      </c>
      <c r="BF247" t="s">
        <v>97</v>
      </c>
      <c r="BG247" t="s">
        <v>97</v>
      </c>
      <c r="BH247" t="s">
        <v>97</v>
      </c>
      <c r="BI247">
        <v>669257</v>
      </c>
      <c r="BJ247">
        <v>669257</v>
      </c>
      <c r="BK247" t="s">
        <v>97</v>
      </c>
      <c r="BL247" t="s">
        <v>97</v>
      </c>
      <c r="BM247">
        <v>-6.6140490730000003</v>
      </c>
      <c r="BN247">
        <v>-119.1757339</v>
      </c>
      <c r="BO247">
        <v>-6.061297358</v>
      </c>
      <c r="BP247">
        <v>12.506893959999999</v>
      </c>
      <c r="BQ247">
        <v>23.958701560000002</v>
      </c>
      <c r="BR247">
        <v>-23.912756219999999</v>
      </c>
      <c r="BS247">
        <v>3.42</v>
      </c>
      <c r="BT247">
        <v>1.61</v>
      </c>
      <c r="BU247">
        <v>3</v>
      </c>
      <c r="BV247">
        <v>79.8</v>
      </c>
      <c r="BW247">
        <v>-25</v>
      </c>
      <c r="BX247">
        <v>82.8</v>
      </c>
      <c r="BY247">
        <v>1944</v>
      </c>
      <c r="BZ247">
        <v>7</v>
      </c>
      <c r="CA247">
        <v>813036</v>
      </c>
      <c r="CB247">
        <v>669257</v>
      </c>
      <c r="CC247">
        <v>669257</v>
      </c>
      <c r="CD247">
        <v>518692</v>
      </c>
      <c r="CE247">
        <v>669242</v>
      </c>
      <c r="CF247">
        <v>571970</v>
      </c>
      <c r="CG247">
        <v>605141</v>
      </c>
      <c r="CH247">
        <v>571771</v>
      </c>
      <c r="CI247">
        <v>681624</v>
      </c>
      <c r="CJ247">
        <v>606192</v>
      </c>
      <c r="CK247">
        <v>53.5</v>
      </c>
      <c r="CL247" t="s">
        <v>97</v>
      </c>
      <c r="CM247" t="s">
        <v>97</v>
      </c>
      <c r="CN247" t="s">
        <v>97</v>
      </c>
      <c r="CO247" t="s">
        <v>97</v>
      </c>
      <c r="CP247" t="s">
        <v>97</v>
      </c>
      <c r="CQ247" t="s">
        <v>97</v>
      </c>
      <c r="CR247" t="s">
        <v>97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 t="s">
        <v>107</v>
      </c>
      <c r="DB247" t="s">
        <v>107</v>
      </c>
      <c r="DC247">
        <v>120</v>
      </c>
      <c r="DD247">
        <v>0</v>
      </c>
      <c r="DE247">
        <v>0</v>
      </c>
      <c r="DF247">
        <v>52.4</v>
      </c>
      <c r="DG247">
        <v>7.4</v>
      </c>
    </row>
    <row r="248" spans="1:111" x14ac:dyDescent="0.2">
      <c r="A248">
        <v>2025</v>
      </c>
      <c r="B248" s="1">
        <v>45943</v>
      </c>
      <c r="C248" t="s">
        <v>95</v>
      </c>
      <c r="D248">
        <v>605483</v>
      </c>
      <c r="E248">
        <v>661388</v>
      </c>
      <c r="F248">
        <v>1</v>
      </c>
      <c r="G248">
        <v>2</v>
      </c>
      <c r="H248">
        <v>4</v>
      </c>
      <c r="I248" t="s">
        <v>163</v>
      </c>
      <c r="J248">
        <v>28</v>
      </c>
      <c r="K248">
        <v>5</v>
      </c>
      <c r="L248" t="s">
        <v>119</v>
      </c>
      <c r="M248" t="s">
        <v>132</v>
      </c>
      <c r="N248" t="s">
        <v>133</v>
      </c>
      <c r="O248">
        <f t="shared" si="48"/>
        <v>0</v>
      </c>
      <c r="P248">
        <f t="shared" si="49"/>
        <v>0</v>
      </c>
      <c r="Q248">
        <f t="shared" si="50"/>
        <v>0</v>
      </c>
      <c r="R248">
        <f t="shared" si="51"/>
        <v>0</v>
      </c>
      <c r="S248">
        <f t="shared" si="52"/>
        <v>0</v>
      </c>
      <c r="T248">
        <f t="shared" si="53"/>
        <v>0</v>
      </c>
      <c r="U248">
        <f t="shared" si="54"/>
        <v>0</v>
      </c>
      <c r="V248">
        <f t="shared" si="55"/>
        <v>0</v>
      </c>
      <c r="W248">
        <f t="shared" si="56"/>
        <v>0</v>
      </c>
      <c r="X248">
        <f t="shared" si="57"/>
        <v>0</v>
      </c>
      <c r="Y248">
        <f t="shared" si="58"/>
        <v>1</v>
      </c>
      <c r="Z248">
        <f t="shared" si="59"/>
        <v>0</v>
      </c>
      <c r="AA248">
        <f t="shared" si="60"/>
        <v>0</v>
      </c>
      <c r="AB248">
        <f t="shared" si="61"/>
        <v>0</v>
      </c>
      <c r="AC248">
        <f t="shared" si="62"/>
        <v>0</v>
      </c>
      <c r="AD248">
        <f t="shared" si="63"/>
        <v>0</v>
      </c>
      <c r="AE248">
        <v>83.8</v>
      </c>
      <c r="AF248">
        <v>2.2799999999999998</v>
      </c>
      <c r="AG248">
        <v>6.23</v>
      </c>
      <c r="AH248" t="s">
        <v>120</v>
      </c>
      <c r="AI248" t="s">
        <v>97</v>
      </c>
      <c r="AJ248" t="s">
        <v>97</v>
      </c>
      <c r="AK248" t="s">
        <v>97</v>
      </c>
      <c r="AL248" t="s">
        <v>97</v>
      </c>
      <c r="AM248">
        <v>14</v>
      </c>
      <c r="AN248" t="s">
        <v>202</v>
      </c>
      <c r="AO248" t="s">
        <v>103</v>
      </c>
      <c r="AP248" t="s">
        <v>122</v>
      </c>
      <c r="AQ248" t="s">
        <v>103</v>
      </c>
      <c r="AR248" t="s">
        <v>190</v>
      </c>
      <c r="AS248" t="s">
        <v>104</v>
      </c>
      <c r="AT248" t="s">
        <v>123</v>
      </c>
      <c r="AU248">
        <v>1</v>
      </c>
      <c r="AV248" t="s">
        <v>127</v>
      </c>
      <c r="AW248">
        <v>1.1399999999999999</v>
      </c>
      <c r="AX248">
        <v>0.74</v>
      </c>
      <c r="AY248">
        <v>1.48</v>
      </c>
      <c r="AZ248">
        <v>2.3199999999999998</v>
      </c>
      <c r="BA248" t="s">
        <v>97</v>
      </c>
      <c r="BB248" t="s">
        <v>97</v>
      </c>
      <c r="BC248" t="s">
        <v>97</v>
      </c>
      <c r="BD248">
        <v>2</v>
      </c>
      <c r="BE248">
        <v>120.26</v>
      </c>
      <c r="BF248">
        <v>191.99</v>
      </c>
      <c r="BG248" t="s">
        <v>97</v>
      </c>
      <c r="BH248" t="s">
        <v>97</v>
      </c>
      <c r="BI248">
        <v>669257</v>
      </c>
      <c r="BJ248">
        <v>669257</v>
      </c>
      <c r="BK248" t="s">
        <v>97</v>
      </c>
      <c r="BL248" t="s">
        <v>97</v>
      </c>
      <c r="BM248">
        <v>-4.1451652040000004</v>
      </c>
      <c r="BN248">
        <v>-121.95540509999999</v>
      </c>
      <c r="BO248">
        <v>-4.0944278560000003</v>
      </c>
      <c r="BP248">
        <v>12.16105486</v>
      </c>
      <c r="BQ248">
        <v>25.053185299999999</v>
      </c>
      <c r="BR248">
        <v>-24.200223170000001</v>
      </c>
      <c r="BS248">
        <v>3.42</v>
      </c>
      <c r="BT248">
        <v>1.61</v>
      </c>
      <c r="BU248">
        <v>1</v>
      </c>
      <c r="BV248">
        <v>36.9</v>
      </c>
      <c r="BW248">
        <v>-73</v>
      </c>
      <c r="BX248">
        <v>84.4</v>
      </c>
      <c r="BY248">
        <v>1722</v>
      </c>
      <c r="BZ248">
        <v>6.8</v>
      </c>
      <c r="CA248">
        <v>813036</v>
      </c>
      <c r="CB248">
        <v>669257</v>
      </c>
      <c r="CC248">
        <v>669257</v>
      </c>
      <c r="CD248">
        <v>518692</v>
      </c>
      <c r="CE248">
        <v>669242</v>
      </c>
      <c r="CF248">
        <v>571970</v>
      </c>
      <c r="CG248">
        <v>605141</v>
      </c>
      <c r="CH248">
        <v>571771</v>
      </c>
      <c r="CI248">
        <v>681624</v>
      </c>
      <c r="CJ248">
        <v>606192</v>
      </c>
      <c r="CK248">
        <v>53.74</v>
      </c>
      <c r="CL248">
        <v>0.20300000000000001</v>
      </c>
      <c r="CM248">
        <v>0.17899999999999999</v>
      </c>
      <c r="CN248">
        <v>0</v>
      </c>
      <c r="CO248">
        <v>1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 t="s">
        <v>107</v>
      </c>
      <c r="DB248" t="s">
        <v>107</v>
      </c>
      <c r="DC248">
        <v>128</v>
      </c>
      <c r="DD248">
        <v>-1.2999999999999999E-2</v>
      </c>
      <c r="DE248">
        <v>-0.182</v>
      </c>
      <c r="DF248">
        <v>70.599999999999994</v>
      </c>
      <c r="DG248">
        <v>8</v>
      </c>
    </row>
    <row r="249" spans="1:111" x14ac:dyDescent="0.2">
      <c r="A249">
        <v>2025</v>
      </c>
      <c r="B249" s="1">
        <v>45943</v>
      </c>
      <c r="C249" t="s">
        <v>95</v>
      </c>
      <c r="D249">
        <v>605483</v>
      </c>
      <c r="E249">
        <v>668930</v>
      </c>
      <c r="F249">
        <v>0</v>
      </c>
      <c r="G249">
        <v>0</v>
      </c>
      <c r="H249">
        <v>5</v>
      </c>
      <c r="I249" t="s">
        <v>163</v>
      </c>
      <c r="J249">
        <v>33</v>
      </c>
      <c r="K249">
        <v>1</v>
      </c>
      <c r="L249" t="s">
        <v>97</v>
      </c>
      <c r="M249" t="s">
        <v>111</v>
      </c>
      <c r="N249" t="s">
        <v>112</v>
      </c>
      <c r="O249">
        <f t="shared" si="48"/>
        <v>0</v>
      </c>
      <c r="P249">
        <f t="shared" si="49"/>
        <v>0</v>
      </c>
      <c r="Q249">
        <f t="shared" si="50"/>
        <v>0</v>
      </c>
      <c r="R249">
        <f t="shared" si="51"/>
        <v>0</v>
      </c>
      <c r="S249">
        <f t="shared" si="52"/>
        <v>0</v>
      </c>
      <c r="T249">
        <f t="shared" si="53"/>
        <v>1</v>
      </c>
      <c r="U249">
        <f t="shared" si="54"/>
        <v>0</v>
      </c>
      <c r="V249">
        <f t="shared" si="55"/>
        <v>0</v>
      </c>
      <c r="W249">
        <f t="shared" si="56"/>
        <v>0</v>
      </c>
      <c r="X249">
        <f t="shared" si="57"/>
        <v>0</v>
      </c>
      <c r="Y249">
        <f t="shared" si="58"/>
        <v>0</v>
      </c>
      <c r="Z249">
        <f t="shared" si="59"/>
        <v>0</v>
      </c>
      <c r="AA249">
        <f t="shared" si="60"/>
        <v>0</v>
      </c>
      <c r="AB249">
        <f t="shared" si="61"/>
        <v>0</v>
      </c>
      <c r="AC249">
        <f t="shared" si="62"/>
        <v>0</v>
      </c>
      <c r="AD249">
        <f t="shared" si="63"/>
        <v>0</v>
      </c>
      <c r="AE249">
        <v>81.5</v>
      </c>
      <c r="AF249">
        <v>1.91</v>
      </c>
      <c r="AG249">
        <v>6.58</v>
      </c>
      <c r="AH249" t="s">
        <v>129</v>
      </c>
      <c r="AI249" t="s">
        <v>97</v>
      </c>
      <c r="AJ249" t="s">
        <v>97</v>
      </c>
      <c r="AK249" t="s">
        <v>97</v>
      </c>
      <c r="AL249" t="s">
        <v>97</v>
      </c>
      <c r="AM249">
        <v>5</v>
      </c>
      <c r="AN249" t="s">
        <v>130</v>
      </c>
      <c r="AO249" t="s">
        <v>103</v>
      </c>
      <c r="AP249" t="s">
        <v>103</v>
      </c>
      <c r="AQ249" t="s">
        <v>103</v>
      </c>
      <c r="AR249" t="s">
        <v>190</v>
      </c>
      <c r="AS249" t="s">
        <v>104</v>
      </c>
      <c r="AT249" t="s">
        <v>110</v>
      </c>
      <c r="AU249" t="s">
        <v>97</v>
      </c>
      <c r="AV249" t="s">
        <v>97</v>
      </c>
      <c r="AW249">
        <v>-0.98</v>
      </c>
      <c r="AX249">
        <v>-0.21</v>
      </c>
      <c r="AY249">
        <v>-0.25</v>
      </c>
      <c r="AZ249">
        <v>2.58</v>
      </c>
      <c r="BA249" t="s">
        <v>97</v>
      </c>
      <c r="BB249" t="s">
        <v>97</v>
      </c>
      <c r="BC249" t="s">
        <v>97</v>
      </c>
      <c r="BD249">
        <v>0</v>
      </c>
      <c r="BE249" t="s">
        <v>97</v>
      </c>
      <c r="BF249" t="s">
        <v>97</v>
      </c>
      <c r="BG249" t="s">
        <v>97</v>
      </c>
      <c r="BH249" t="s">
        <v>97</v>
      </c>
      <c r="BI249">
        <v>669257</v>
      </c>
      <c r="BJ249">
        <v>669257</v>
      </c>
      <c r="BK249" t="s">
        <v>97</v>
      </c>
      <c r="BL249" t="s">
        <v>97</v>
      </c>
      <c r="BM249">
        <v>-3.010902008</v>
      </c>
      <c r="BN249">
        <v>-118.6028256</v>
      </c>
      <c r="BO249">
        <v>-1.936896596</v>
      </c>
      <c r="BP249">
        <v>-8.5094150689999992</v>
      </c>
      <c r="BQ249">
        <v>25.26381026</v>
      </c>
      <c r="BR249">
        <v>-33.952708749999999</v>
      </c>
      <c r="BS249">
        <v>3.43</v>
      </c>
      <c r="BT249">
        <v>1.62</v>
      </c>
      <c r="BU249">
        <v>197</v>
      </c>
      <c r="BV249">
        <v>76.2</v>
      </c>
      <c r="BW249">
        <v>57</v>
      </c>
      <c r="BX249">
        <v>81.7</v>
      </c>
      <c r="BY249">
        <v>2555</v>
      </c>
      <c r="BZ249">
        <v>6.7</v>
      </c>
      <c r="CA249">
        <v>813036</v>
      </c>
      <c r="CB249">
        <v>669257</v>
      </c>
      <c r="CC249">
        <v>669257</v>
      </c>
      <c r="CD249">
        <v>518692</v>
      </c>
      <c r="CE249">
        <v>669242</v>
      </c>
      <c r="CF249">
        <v>571970</v>
      </c>
      <c r="CG249">
        <v>605141</v>
      </c>
      <c r="CH249">
        <v>571771</v>
      </c>
      <c r="CI249">
        <v>681624</v>
      </c>
      <c r="CJ249">
        <v>606192</v>
      </c>
      <c r="CK249">
        <v>53.81</v>
      </c>
      <c r="CL249" t="s">
        <v>97</v>
      </c>
      <c r="CM249" t="s">
        <v>97</v>
      </c>
      <c r="CN249" t="s">
        <v>97</v>
      </c>
      <c r="CO249" t="s">
        <v>97</v>
      </c>
      <c r="CP249" t="s">
        <v>97</v>
      </c>
      <c r="CQ249" t="s">
        <v>97</v>
      </c>
      <c r="CR249" t="s">
        <v>97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 t="s">
        <v>107</v>
      </c>
      <c r="DB249" t="s">
        <v>115</v>
      </c>
      <c r="DC249">
        <v>315</v>
      </c>
      <c r="DD249">
        <v>0</v>
      </c>
      <c r="DE249">
        <v>-3.9E-2</v>
      </c>
      <c r="DF249">
        <v>69.7</v>
      </c>
      <c r="DG249">
        <v>6.8</v>
      </c>
    </row>
    <row r="250" spans="1:111" x14ac:dyDescent="0.2">
      <c r="A250">
        <v>2025</v>
      </c>
      <c r="B250" s="1">
        <v>45943</v>
      </c>
      <c r="C250" t="s">
        <v>95</v>
      </c>
      <c r="D250">
        <v>605483</v>
      </c>
      <c r="E250">
        <v>668930</v>
      </c>
      <c r="F250">
        <v>0</v>
      </c>
      <c r="G250">
        <v>1</v>
      </c>
      <c r="H250">
        <v>5</v>
      </c>
      <c r="I250" t="s">
        <v>163</v>
      </c>
      <c r="J250">
        <v>33</v>
      </c>
      <c r="K250">
        <v>2</v>
      </c>
      <c r="L250" t="s">
        <v>97</v>
      </c>
      <c r="M250" t="s">
        <v>98</v>
      </c>
      <c r="N250" t="s">
        <v>99</v>
      </c>
      <c r="O250">
        <f t="shared" si="48"/>
        <v>0</v>
      </c>
      <c r="P250">
        <f t="shared" si="49"/>
        <v>0</v>
      </c>
      <c r="Q250">
        <f t="shared" si="50"/>
        <v>0</v>
      </c>
      <c r="R250">
        <f t="shared" si="51"/>
        <v>1</v>
      </c>
      <c r="S250">
        <f t="shared" si="52"/>
        <v>0</v>
      </c>
      <c r="T250">
        <f t="shared" si="53"/>
        <v>0</v>
      </c>
      <c r="U250">
        <f t="shared" si="54"/>
        <v>0</v>
      </c>
      <c r="V250">
        <f t="shared" si="55"/>
        <v>0</v>
      </c>
      <c r="W250">
        <f t="shared" si="56"/>
        <v>0</v>
      </c>
      <c r="X250">
        <f t="shared" si="57"/>
        <v>0</v>
      </c>
      <c r="Y250">
        <f t="shared" si="58"/>
        <v>0</v>
      </c>
      <c r="Z250">
        <f t="shared" si="59"/>
        <v>0</v>
      </c>
      <c r="AA250">
        <f t="shared" si="60"/>
        <v>0</v>
      </c>
      <c r="AB250">
        <f t="shared" si="61"/>
        <v>0</v>
      </c>
      <c r="AC250">
        <f t="shared" si="62"/>
        <v>0</v>
      </c>
      <c r="AD250">
        <f t="shared" si="63"/>
        <v>0</v>
      </c>
      <c r="AE250">
        <v>95.3</v>
      </c>
      <c r="AF250">
        <v>1.96</v>
      </c>
      <c r="AG250">
        <v>6.41</v>
      </c>
      <c r="AH250" t="s">
        <v>145</v>
      </c>
      <c r="AI250" t="s">
        <v>97</v>
      </c>
      <c r="AJ250" t="s">
        <v>97</v>
      </c>
      <c r="AK250" t="s">
        <v>97</v>
      </c>
      <c r="AL250" t="s">
        <v>97</v>
      </c>
      <c r="AM250">
        <v>6</v>
      </c>
      <c r="AN250" t="s">
        <v>173</v>
      </c>
      <c r="AO250" t="s">
        <v>103</v>
      </c>
      <c r="AP250" t="s">
        <v>103</v>
      </c>
      <c r="AQ250" t="s">
        <v>103</v>
      </c>
      <c r="AR250" t="s">
        <v>190</v>
      </c>
      <c r="AS250" t="s">
        <v>104</v>
      </c>
      <c r="AT250" t="s">
        <v>110</v>
      </c>
      <c r="AU250" t="s">
        <v>97</v>
      </c>
      <c r="AV250" t="s">
        <v>97</v>
      </c>
      <c r="AW250">
        <v>0.21</v>
      </c>
      <c r="AX250">
        <v>1.44</v>
      </c>
      <c r="AY250">
        <v>0.36</v>
      </c>
      <c r="AZ250">
        <v>2.6</v>
      </c>
      <c r="BA250" t="s">
        <v>97</v>
      </c>
      <c r="BB250" t="s">
        <v>97</v>
      </c>
      <c r="BC250" t="s">
        <v>97</v>
      </c>
      <c r="BD250">
        <v>0</v>
      </c>
      <c r="BE250" t="s">
        <v>97</v>
      </c>
      <c r="BF250" t="s">
        <v>97</v>
      </c>
      <c r="BG250" t="s">
        <v>97</v>
      </c>
      <c r="BH250" t="s">
        <v>97</v>
      </c>
      <c r="BI250">
        <v>669257</v>
      </c>
      <c r="BJ250">
        <v>669257</v>
      </c>
      <c r="BK250" t="s">
        <v>97</v>
      </c>
      <c r="BL250" t="s">
        <v>97</v>
      </c>
      <c r="BM250">
        <v>-4.704948248</v>
      </c>
      <c r="BN250">
        <v>-138.46550959999999</v>
      </c>
      <c r="BO250">
        <v>-7.6162586760000002</v>
      </c>
      <c r="BP250">
        <v>3.8079344530000001</v>
      </c>
      <c r="BQ250">
        <v>33.55616449</v>
      </c>
      <c r="BR250">
        <v>-12.10460149</v>
      </c>
      <c r="BS250">
        <v>3.43</v>
      </c>
      <c r="BT250">
        <v>1.62</v>
      </c>
      <c r="BU250" t="s">
        <v>97</v>
      </c>
      <c r="BV250" t="s">
        <v>97</v>
      </c>
      <c r="BW250" t="s">
        <v>97</v>
      </c>
      <c r="BX250">
        <v>95.9</v>
      </c>
      <c r="BY250">
        <v>2460</v>
      </c>
      <c r="BZ250">
        <v>6.9</v>
      </c>
      <c r="CA250">
        <v>813036</v>
      </c>
      <c r="CB250">
        <v>669257</v>
      </c>
      <c r="CC250">
        <v>669257</v>
      </c>
      <c r="CD250">
        <v>518692</v>
      </c>
      <c r="CE250">
        <v>669242</v>
      </c>
      <c r="CF250">
        <v>571970</v>
      </c>
      <c r="CG250">
        <v>605141</v>
      </c>
      <c r="CH250">
        <v>571771</v>
      </c>
      <c r="CI250">
        <v>681624</v>
      </c>
      <c r="CJ250">
        <v>606192</v>
      </c>
      <c r="CK250">
        <v>53.61</v>
      </c>
      <c r="CL250" t="s">
        <v>97</v>
      </c>
      <c r="CM250" t="s">
        <v>97</v>
      </c>
      <c r="CN250" t="s">
        <v>97</v>
      </c>
      <c r="CO250" t="s">
        <v>97</v>
      </c>
      <c r="CP250" t="s">
        <v>97</v>
      </c>
      <c r="CQ250" t="s">
        <v>97</v>
      </c>
      <c r="CR250" t="s">
        <v>97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 t="s">
        <v>107</v>
      </c>
      <c r="DB250" t="s">
        <v>115</v>
      </c>
      <c r="DC250">
        <v>162</v>
      </c>
      <c r="DD250">
        <v>0</v>
      </c>
      <c r="DE250">
        <v>-5.5E-2</v>
      </c>
      <c r="DF250">
        <v>74.900000000000006</v>
      </c>
      <c r="DG250">
        <v>6.5</v>
      </c>
    </row>
    <row r="251" spans="1:111" x14ac:dyDescent="0.2">
      <c r="A251">
        <v>2025</v>
      </c>
      <c r="B251" s="1">
        <v>45943</v>
      </c>
      <c r="C251" t="s">
        <v>95</v>
      </c>
      <c r="D251">
        <v>605483</v>
      </c>
      <c r="E251">
        <v>668930</v>
      </c>
      <c r="F251">
        <v>0</v>
      </c>
      <c r="G251">
        <v>2</v>
      </c>
      <c r="H251">
        <v>5</v>
      </c>
      <c r="I251" t="s">
        <v>163</v>
      </c>
      <c r="J251">
        <v>33</v>
      </c>
      <c r="K251">
        <v>3</v>
      </c>
      <c r="L251" t="s">
        <v>97</v>
      </c>
      <c r="M251" t="s">
        <v>138</v>
      </c>
      <c r="N251" t="s">
        <v>139</v>
      </c>
      <c r="O251">
        <f t="shared" si="48"/>
        <v>0</v>
      </c>
      <c r="P251">
        <f t="shared" si="49"/>
        <v>0</v>
      </c>
      <c r="Q251">
        <f t="shared" si="50"/>
        <v>0</v>
      </c>
      <c r="R251">
        <f t="shared" si="51"/>
        <v>0</v>
      </c>
      <c r="S251">
        <f t="shared" si="52"/>
        <v>0</v>
      </c>
      <c r="T251">
        <f t="shared" si="53"/>
        <v>0</v>
      </c>
      <c r="U251">
        <f t="shared" si="54"/>
        <v>0</v>
      </c>
      <c r="V251">
        <f t="shared" si="55"/>
        <v>0</v>
      </c>
      <c r="W251">
        <f t="shared" si="56"/>
        <v>0</v>
      </c>
      <c r="X251">
        <f t="shared" si="57"/>
        <v>0</v>
      </c>
      <c r="Y251">
        <f t="shared" si="58"/>
        <v>0</v>
      </c>
      <c r="Z251">
        <f t="shared" si="59"/>
        <v>0</v>
      </c>
      <c r="AA251">
        <f t="shared" si="60"/>
        <v>1</v>
      </c>
      <c r="AB251">
        <f t="shared" si="61"/>
        <v>0</v>
      </c>
      <c r="AC251">
        <f t="shared" si="62"/>
        <v>0</v>
      </c>
      <c r="AD251">
        <f t="shared" si="63"/>
        <v>0</v>
      </c>
      <c r="AE251">
        <v>88.7</v>
      </c>
      <c r="AF251">
        <v>1.89</v>
      </c>
      <c r="AG251">
        <v>6.44</v>
      </c>
      <c r="AH251" t="s">
        <v>100</v>
      </c>
      <c r="AI251" t="s">
        <v>97</v>
      </c>
      <c r="AJ251" t="s">
        <v>97</v>
      </c>
      <c r="AK251" t="s">
        <v>97</v>
      </c>
      <c r="AL251" t="s">
        <v>97</v>
      </c>
      <c r="AM251">
        <v>13</v>
      </c>
      <c r="AN251" t="s">
        <v>101</v>
      </c>
      <c r="AO251" t="s">
        <v>103</v>
      </c>
      <c r="AP251" t="s">
        <v>103</v>
      </c>
      <c r="AQ251" t="s">
        <v>103</v>
      </c>
      <c r="AR251" t="s">
        <v>190</v>
      </c>
      <c r="AS251" t="s">
        <v>104</v>
      </c>
      <c r="AT251" t="s">
        <v>106</v>
      </c>
      <c r="AU251" t="s">
        <v>97</v>
      </c>
      <c r="AV251" t="s">
        <v>97</v>
      </c>
      <c r="AW251">
        <v>-0.19</v>
      </c>
      <c r="AX251">
        <v>0.91</v>
      </c>
      <c r="AY251">
        <v>-1.72</v>
      </c>
      <c r="AZ251">
        <v>0.42</v>
      </c>
      <c r="BA251" t="s">
        <v>97</v>
      </c>
      <c r="BB251" t="s">
        <v>97</v>
      </c>
      <c r="BC251" t="s">
        <v>97</v>
      </c>
      <c r="BD251">
        <v>0</v>
      </c>
      <c r="BE251" t="s">
        <v>97</v>
      </c>
      <c r="BF251" t="s">
        <v>97</v>
      </c>
      <c r="BG251" t="s">
        <v>97</v>
      </c>
      <c r="BH251" t="s">
        <v>97</v>
      </c>
      <c r="BI251">
        <v>669257</v>
      </c>
      <c r="BJ251">
        <v>669257</v>
      </c>
      <c r="BK251" t="s">
        <v>97</v>
      </c>
      <c r="BL251" t="s">
        <v>97</v>
      </c>
      <c r="BM251">
        <v>-8.4970524140000006</v>
      </c>
      <c r="BN251">
        <v>-128.65193600000001</v>
      </c>
      <c r="BO251">
        <v>-10.63310399</v>
      </c>
      <c r="BP251">
        <v>-0.37131421100000001</v>
      </c>
      <c r="BQ251">
        <v>25.702491649999999</v>
      </c>
      <c r="BR251">
        <v>-20.0745136</v>
      </c>
      <c r="BS251">
        <v>3.47</v>
      </c>
      <c r="BT251">
        <v>1.62</v>
      </c>
      <c r="BU251" t="s">
        <v>97</v>
      </c>
      <c r="BV251" t="s">
        <v>97</v>
      </c>
      <c r="BW251" t="s">
        <v>97</v>
      </c>
      <c r="BX251">
        <v>89.4</v>
      </c>
      <c r="BY251">
        <v>2320</v>
      </c>
      <c r="BZ251">
        <v>6.8</v>
      </c>
      <c r="CA251">
        <v>813036</v>
      </c>
      <c r="CB251">
        <v>669257</v>
      </c>
      <c r="CC251">
        <v>669257</v>
      </c>
      <c r="CD251">
        <v>518692</v>
      </c>
      <c r="CE251">
        <v>669242</v>
      </c>
      <c r="CF251">
        <v>571970</v>
      </c>
      <c r="CG251">
        <v>605141</v>
      </c>
      <c r="CH251">
        <v>571771</v>
      </c>
      <c r="CI251">
        <v>681624</v>
      </c>
      <c r="CJ251">
        <v>606192</v>
      </c>
      <c r="CK251">
        <v>53.67</v>
      </c>
      <c r="CL251" t="s">
        <v>97</v>
      </c>
      <c r="CM251" t="s">
        <v>97</v>
      </c>
      <c r="CN251" t="s">
        <v>97</v>
      </c>
      <c r="CO251" t="s">
        <v>97</v>
      </c>
      <c r="CP251" t="s">
        <v>97</v>
      </c>
      <c r="CQ251" t="s">
        <v>97</v>
      </c>
      <c r="CR251" t="s">
        <v>97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 t="s">
        <v>115</v>
      </c>
      <c r="DB251" t="s">
        <v>115</v>
      </c>
      <c r="DC251">
        <v>169</v>
      </c>
      <c r="DD251">
        <v>0</v>
      </c>
      <c r="DE251">
        <v>2.4E-2</v>
      </c>
      <c r="DF251" t="s">
        <v>97</v>
      </c>
      <c r="DG251" t="s">
        <v>97</v>
      </c>
    </row>
    <row r="252" spans="1:111" x14ac:dyDescent="0.2">
      <c r="A252">
        <v>2025</v>
      </c>
      <c r="B252" s="1">
        <v>45943</v>
      </c>
      <c r="C252" t="s">
        <v>95</v>
      </c>
      <c r="D252">
        <v>605483</v>
      </c>
      <c r="E252">
        <v>668930</v>
      </c>
      <c r="F252">
        <v>1</v>
      </c>
      <c r="G252">
        <v>2</v>
      </c>
      <c r="H252">
        <v>5</v>
      </c>
      <c r="I252" t="s">
        <v>163</v>
      </c>
      <c r="J252">
        <v>33</v>
      </c>
      <c r="K252">
        <v>4</v>
      </c>
      <c r="L252" t="s">
        <v>116</v>
      </c>
      <c r="M252" t="s">
        <v>138</v>
      </c>
      <c r="N252" t="s">
        <v>139</v>
      </c>
      <c r="O252">
        <f t="shared" si="48"/>
        <v>0</v>
      </c>
      <c r="P252">
        <f t="shared" si="49"/>
        <v>0</v>
      </c>
      <c r="Q252">
        <f t="shared" si="50"/>
        <v>0</v>
      </c>
      <c r="R252">
        <f t="shared" si="51"/>
        <v>0</v>
      </c>
      <c r="S252">
        <f t="shared" si="52"/>
        <v>0</v>
      </c>
      <c r="T252">
        <f t="shared" si="53"/>
        <v>0</v>
      </c>
      <c r="U252">
        <f t="shared" si="54"/>
        <v>0</v>
      </c>
      <c r="V252">
        <f t="shared" si="55"/>
        <v>0</v>
      </c>
      <c r="W252">
        <f t="shared" si="56"/>
        <v>0</v>
      </c>
      <c r="X252">
        <f t="shared" si="57"/>
        <v>0</v>
      </c>
      <c r="Y252">
        <f t="shared" si="58"/>
        <v>0</v>
      </c>
      <c r="Z252">
        <f t="shared" si="59"/>
        <v>0</v>
      </c>
      <c r="AA252">
        <f t="shared" si="60"/>
        <v>0</v>
      </c>
      <c r="AB252">
        <f t="shared" si="61"/>
        <v>0</v>
      </c>
      <c r="AC252">
        <f t="shared" si="62"/>
        <v>0</v>
      </c>
      <c r="AD252">
        <f t="shared" si="63"/>
        <v>1</v>
      </c>
      <c r="AE252">
        <v>88.5</v>
      </c>
      <c r="AF252">
        <v>1.9</v>
      </c>
      <c r="AG252">
        <v>6.54</v>
      </c>
      <c r="AH252" t="s">
        <v>113</v>
      </c>
      <c r="AI252" t="s">
        <v>97</v>
      </c>
      <c r="AJ252" t="s">
        <v>97</v>
      </c>
      <c r="AK252" t="s">
        <v>97</v>
      </c>
      <c r="AL252" t="s">
        <v>97</v>
      </c>
      <c r="AM252">
        <v>4</v>
      </c>
      <c r="AN252" t="s">
        <v>203</v>
      </c>
      <c r="AO252" t="s">
        <v>103</v>
      </c>
      <c r="AP252" t="s">
        <v>103</v>
      </c>
      <c r="AQ252" t="s">
        <v>103</v>
      </c>
      <c r="AR252" t="s">
        <v>190</v>
      </c>
      <c r="AS252" t="s">
        <v>104</v>
      </c>
      <c r="AT252" t="s">
        <v>110</v>
      </c>
      <c r="AU252">
        <v>2</v>
      </c>
      <c r="AV252" t="s">
        <v>97</v>
      </c>
      <c r="AW252">
        <v>-0.4</v>
      </c>
      <c r="AX252">
        <v>0.65</v>
      </c>
      <c r="AY252">
        <v>-0.63</v>
      </c>
      <c r="AZ252">
        <v>2.4900000000000002</v>
      </c>
      <c r="BA252" t="s">
        <v>97</v>
      </c>
      <c r="BB252" t="s">
        <v>97</v>
      </c>
      <c r="BC252" t="s">
        <v>97</v>
      </c>
      <c r="BD252">
        <v>0</v>
      </c>
      <c r="BE252" t="s">
        <v>97</v>
      </c>
      <c r="BF252" t="s">
        <v>97</v>
      </c>
      <c r="BG252" t="s">
        <v>97</v>
      </c>
      <c r="BH252" t="s">
        <v>97</v>
      </c>
      <c r="BI252">
        <v>669257</v>
      </c>
      <c r="BJ252">
        <v>669257</v>
      </c>
      <c r="BK252" t="s">
        <v>97</v>
      </c>
      <c r="BL252" t="s">
        <v>97</v>
      </c>
      <c r="BM252">
        <v>-5.3873489880000003</v>
      </c>
      <c r="BN252">
        <v>-128.7485629</v>
      </c>
      <c r="BO252">
        <v>-5.1793826589999998</v>
      </c>
      <c r="BP252">
        <v>-3.301100532</v>
      </c>
      <c r="BQ252">
        <v>27.397485499999998</v>
      </c>
      <c r="BR252">
        <v>-24.071738920000001</v>
      </c>
      <c r="BS252">
        <v>3.43</v>
      </c>
      <c r="BT252">
        <v>1.62</v>
      </c>
      <c r="BU252" t="s">
        <v>97</v>
      </c>
      <c r="BV252" t="s">
        <v>97</v>
      </c>
      <c r="BW252" t="s">
        <v>97</v>
      </c>
      <c r="BX252">
        <v>89</v>
      </c>
      <c r="BY252">
        <v>2216</v>
      </c>
      <c r="BZ252">
        <v>6.7</v>
      </c>
      <c r="CA252">
        <v>813036</v>
      </c>
      <c r="CB252">
        <v>669257</v>
      </c>
      <c r="CC252">
        <v>669257</v>
      </c>
      <c r="CD252">
        <v>518692</v>
      </c>
      <c r="CE252">
        <v>669242</v>
      </c>
      <c r="CF252">
        <v>571970</v>
      </c>
      <c r="CG252">
        <v>605141</v>
      </c>
      <c r="CH252">
        <v>571771</v>
      </c>
      <c r="CI252">
        <v>681624</v>
      </c>
      <c r="CJ252">
        <v>606192</v>
      </c>
      <c r="CK252">
        <v>53.81</v>
      </c>
      <c r="CL252" t="s">
        <v>97</v>
      </c>
      <c r="CM252">
        <v>0</v>
      </c>
      <c r="CN252">
        <v>0</v>
      </c>
      <c r="CO252">
        <v>1</v>
      </c>
      <c r="CP252">
        <v>0</v>
      </c>
      <c r="CQ252">
        <v>0</v>
      </c>
      <c r="CR252" t="s">
        <v>97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 t="s">
        <v>115</v>
      </c>
      <c r="DB252" t="s">
        <v>115</v>
      </c>
      <c r="DC252">
        <v>167</v>
      </c>
      <c r="DD252">
        <v>-2.9000000000000001E-2</v>
      </c>
      <c r="DE252">
        <v>-0.189</v>
      </c>
      <c r="DF252">
        <v>71.099999999999994</v>
      </c>
      <c r="DG252">
        <v>7.9</v>
      </c>
    </row>
    <row r="253" spans="1:111" x14ac:dyDescent="0.2">
      <c r="A253">
        <v>2025</v>
      </c>
      <c r="B253" s="1">
        <v>45943</v>
      </c>
      <c r="C253" t="s">
        <v>95</v>
      </c>
      <c r="D253">
        <v>605483</v>
      </c>
      <c r="E253">
        <v>683734</v>
      </c>
      <c r="F253">
        <v>0</v>
      </c>
      <c r="G253">
        <v>0</v>
      </c>
      <c r="H253">
        <v>5</v>
      </c>
      <c r="I253" t="s">
        <v>163</v>
      </c>
      <c r="J253">
        <v>34</v>
      </c>
      <c r="K253">
        <v>1</v>
      </c>
      <c r="L253" t="s">
        <v>97</v>
      </c>
      <c r="M253" t="s">
        <v>132</v>
      </c>
      <c r="N253" t="s">
        <v>133</v>
      </c>
      <c r="O253">
        <f t="shared" si="48"/>
        <v>0</v>
      </c>
      <c r="P253">
        <f t="shared" si="49"/>
        <v>0</v>
      </c>
      <c r="Q253">
        <f t="shared" si="50"/>
        <v>0</v>
      </c>
      <c r="R253">
        <f t="shared" si="51"/>
        <v>0</v>
      </c>
      <c r="S253">
        <f t="shared" si="52"/>
        <v>0</v>
      </c>
      <c r="T253">
        <f t="shared" si="53"/>
        <v>0</v>
      </c>
      <c r="U253">
        <f t="shared" si="54"/>
        <v>0</v>
      </c>
      <c r="V253">
        <f t="shared" si="55"/>
        <v>0</v>
      </c>
      <c r="W253">
        <f t="shared" si="56"/>
        <v>1</v>
      </c>
      <c r="X253">
        <f t="shared" si="57"/>
        <v>0</v>
      </c>
      <c r="Y253">
        <f t="shared" si="58"/>
        <v>0</v>
      </c>
      <c r="Z253">
        <f t="shared" si="59"/>
        <v>0</v>
      </c>
      <c r="AA253">
        <f t="shared" si="60"/>
        <v>0</v>
      </c>
      <c r="AB253">
        <f t="shared" si="61"/>
        <v>0</v>
      </c>
      <c r="AC253">
        <f t="shared" si="62"/>
        <v>0</v>
      </c>
      <c r="AD253">
        <f t="shared" si="63"/>
        <v>0</v>
      </c>
      <c r="AE253">
        <v>86.2</v>
      </c>
      <c r="AF253">
        <v>2.1800000000000002</v>
      </c>
      <c r="AG253">
        <v>6.33</v>
      </c>
      <c r="AH253" t="s">
        <v>113</v>
      </c>
      <c r="AI253" t="s">
        <v>97</v>
      </c>
      <c r="AJ253" t="s">
        <v>97</v>
      </c>
      <c r="AK253" t="s">
        <v>97</v>
      </c>
      <c r="AL253" t="s">
        <v>97</v>
      </c>
      <c r="AM253">
        <v>5</v>
      </c>
      <c r="AN253" t="s">
        <v>114</v>
      </c>
      <c r="AO253" t="s">
        <v>103</v>
      </c>
      <c r="AP253" t="s">
        <v>122</v>
      </c>
      <c r="AQ253" t="s">
        <v>103</v>
      </c>
      <c r="AR253" t="s">
        <v>190</v>
      </c>
      <c r="AS253" t="s">
        <v>104</v>
      </c>
      <c r="AT253" t="s">
        <v>110</v>
      </c>
      <c r="AU253" t="s">
        <v>97</v>
      </c>
      <c r="AV253" t="s">
        <v>97</v>
      </c>
      <c r="AW253">
        <v>1.2</v>
      </c>
      <c r="AX253">
        <v>0.75</v>
      </c>
      <c r="AY253">
        <v>0.24</v>
      </c>
      <c r="AZ253">
        <v>2.11</v>
      </c>
      <c r="BA253" t="s">
        <v>97</v>
      </c>
      <c r="BB253" t="s">
        <v>97</v>
      </c>
      <c r="BC253" t="s">
        <v>97</v>
      </c>
      <c r="BD253">
        <v>1</v>
      </c>
      <c r="BE253" t="s">
        <v>97</v>
      </c>
      <c r="BF253" t="s">
        <v>97</v>
      </c>
      <c r="BG253" t="s">
        <v>97</v>
      </c>
      <c r="BH253" t="s">
        <v>97</v>
      </c>
      <c r="BI253">
        <v>669257</v>
      </c>
      <c r="BJ253">
        <v>669257</v>
      </c>
      <c r="BK253" t="s">
        <v>97</v>
      </c>
      <c r="BL253" t="s">
        <v>97</v>
      </c>
      <c r="BM253">
        <v>-7.0893943430000004</v>
      </c>
      <c r="BN253">
        <v>-125.248372</v>
      </c>
      <c r="BO253">
        <v>-5.3362307009999999</v>
      </c>
      <c r="BP253">
        <v>14.08111179</v>
      </c>
      <c r="BQ253">
        <v>26.331477</v>
      </c>
      <c r="BR253">
        <v>-23.340314759999998</v>
      </c>
      <c r="BS253">
        <v>3.16</v>
      </c>
      <c r="BT253">
        <v>1.49</v>
      </c>
      <c r="BU253" t="s">
        <v>97</v>
      </c>
      <c r="BV253" t="s">
        <v>97</v>
      </c>
      <c r="BW253" t="s">
        <v>97</v>
      </c>
      <c r="BX253">
        <v>86.7</v>
      </c>
      <c r="BY253">
        <v>1792</v>
      </c>
      <c r="BZ253">
        <v>6.8</v>
      </c>
      <c r="CA253">
        <v>813036</v>
      </c>
      <c r="CB253">
        <v>669257</v>
      </c>
      <c r="CC253">
        <v>669257</v>
      </c>
      <c r="CD253">
        <v>518692</v>
      </c>
      <c r="CE253">
        <v>669242</v>
      </c>
      <c r="CF253">
        <v>571970</v>
      </c>
      <c r="CG253">
        <v>605141</v>
      </c>
      <c r="CH253">
        <v>571771</v>
      </c>
      <c r="CI253">
        <v>681624</v>
      </c>
      <c r="CJ253">
        <v>606192</v>
      </c>
      <c r="CK253">
        <v>53.73</v>
      </c>
      <c r="CL253" t="s">
        <v>97</v>
      </c>
      <c r="CM253" t="s">
        <v>97</v>
      </c>
      <c r="CN253" t="s">
        <v>97</v>
      </c>
      <c r="CO253" t="s">
        <v>97</v>
      </c>
      <c r="CP253" t="s">
        <v>97</v>
      </c>
      <c r="CQ253" t="s">
        <v>97</v>
      </c>
      <c r="CR253" t="s">
        <v>97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 t="s">
        <v>107</v>
      </c>
      <c r="DB253" t="s">
        <v>107</v>
      </c>
      <c r="DC253">
        <v>128</v>
      </c>
      <c r="DD253">
        <v>0</v>
      </c>
      <c r="DE253">
        <v>-3.9E-2</v>
      </c>
      <c r="DF253">
        <v>66.900000000000006</v>
      </c>
      <c r="DG253">
        <v>8.4</v>
      </c>
    </row>
    <row r="254" spans="1:111" x14ac:dyDescent="0.2">
      <c r="A254">
        <v>2025</v>
      </c>
      <c r="B254" s="1">
        <v>45943</v>
      </c>
      <c r="C254" t="s">
        <v>95</v>
      </c>
      <c r="D254">
        <v>605483</v>
      </c>
      <c r="E254">
        <v>683734</v>
      </c>
      <c r="F254">
        <v>0</v>
      </c>
      <c r="G254">
        <v>1</v>
      </c>
      <c r="H254">
        <v>5</v>
      </c>
      <c r="I254" t="s">
        <v>163</v>
      </c>
      <c r="J254">
        <v>34</v>
      </c>
      <c r="K254">
        <v>2</v>
      </c>
      <c r="L254" t="s">
        <v>119</v>
      </c>
      <c r="M254" t="s">
        <v>132</v>
      </c>
      <c r="N254" t="s">
        <v>133</v>
      </c>
      <c r="O254">
        <f t="shared" si="48"/>
        <v>0</v>
      </c>
      <c r="P254">
        <f t="shared" si="49"/>
        <v>0</v>
      </c>
      <c r="Q254">
        <f t="shared" si="50"/>
        <v>0</v>
      </c>
      <c r="R254">
        <f t="shared" si="51"/>
        <v>0</v>
      </c>
      <c r="S254">
        <f t="shared" si="52"/>
        <v>0</v>
      </c>
      <c r="T254">
        <f t="shared" si="53"/>
        <v>0</v>
      </c>
      <c r="U254">
        <f t="shared" si="54"/>
        <v>0</v>
      </c>
      <c r="V254">
        <f t="shared" si="55"/>
        <v>0</v>
      </c>
      <c r="W254">
        <f t="shared" si="56"/>
        <v>0</v>
      </c>
      <c r="X254">
        <f t="shared" si="57"/>
        <v>0</v>
      </c>
      <c r="Y254">
        <f t="shared" si="58"/>
        <v>0</v>
      </c>
      <c r="Z254">
        <f t="shared" si="59"/>
        <v>1</v>
      </c>
      <c r="AA254">
        <f t="shared" si="60"/>
        <v>0</v>
      </c>
      <c r="AB254">
        <f t="shared" si="61"/>
        <v>0</v>
      </c>
      <c r="AC254">
        <f t="shared" si="62"/>
        <v>0</v>
      </c>
      <c r="AD254">
        <f t="shared" si="63"/>
        <v>0</v>
      </c>
      <c r="AE254">
        <v>83.5</v>
      </c>
      <c r="AF254">
        <v>2.2599999999999998</v>
      </c>
      <c r="AG254">
        <v>6.24</v>
      </c>
      <c r="AH254" t="s">
        <v>120</v>
      </c>
      <c r="AI254" t="s">
        <v>97</v>
      </c>
      <c r="AJ254" t="s">
        <v>97</v>
      </c>
      <c r="AK254" t="s">
        <v>97</v>
      </c>
      <c r="AL254" t="s">
        <v>97</v>
      </c>
      <c r="AM254">
        <v>9</v>
      </c>
      <c r="AN254" t="s">
        <v>195</v>
      </c>
      <c r="AO254" t="s">
        <v>103</v>
      </c>
      <c r="AP254" t="s">
        <v>122</v>
      </c>
      <c r="AQ254" t="s">
        <v>103</v>
      </c>
      <c r="AR254" t="s">
        <v>190</v>
      </c>
      <c r="AS254" t="s">
        <v>104</v>
      </c>
      <c r="AT254" t="s">
        <v>123</v>
      </c>
      <c r="AU254">
        <v>6</v>
      </c>
      <c r="AV254" t="s">
        <v>127</v>
      </c>
      <c r="AW254">
        <v>1.18</v>
      </c>
      <c r="AX254">
        <v>0.69</v>
      </c>
      <c r="AY254">
        <v>0.35</v>
      </c>
      <c r="AZ254">
        <v>1.38</v>
      </c>
      <c r="BA254" t="s">
        <v>97</v>
      </c>
      <c r="BB254" t="s">
        <v>97</v>
      </c>
      <c r="BC254" t="s">
        <v>97</v>
      </c>
      <c r="BD254">
        <v>1</v>
      </c>
      <c r="BE254">
        <v>112.94</v>
      </c>
      <c r="BF254">
        <v>157.94</v>
      </c>
      <c r="BG254" t="s">
        <v>97</v>
      </c>
      <c r="BH254" t="s">
        <v>97</v>
      </c>
      <c r="BI254">
        <v>669257</v>
      </c>
      <c r="BJ254">
        <v>669257</v>
      </c>
      <c r="BK254" t="s">
        <v>97</v>
      </c>
      <c r="BL254" t="s">
        <v>97</v>
      </c>
      <c r="BM254">
        <v>-6.7756472399999996</v>
      </c>
      <c r="BN254">
        <v>-121.24991129999999</v>
      </c>
      <c r="BO254">
        <v>-6.0825712740000002</v>
      </c>
      <c r="BP254">
        <v>12.947989979999999</v>
      </c>
      <c r="BQ254">
        <v>24.634978</v>
      </c>
      <c r="BR254">
        <v>-24.37870474</v>
      </c>
      <c r="BS254">
        <v>3.16</v>
      </c>
      <c r="BT254">
        <v>1.49</v>
      </c>
      <c r="BU254">
        <v>59</v>
      </c>
      <c r="BV254">
        <v>78.7</v>
      </c>
      <c r="BW254">
        <v>4</v>
      </c>
      <c r="BX254">
        <v>84</v>
      </c>
      <c r="BY254">
        <v>1751</v>
      </c>
      <c r="BZ254">
        <v>6.8</v>
      </c>
      <c r="CA254">
        <v>813036</v>
      </c>
      <c r="CB254">
        <v>669257</v>
      </c>
      <c r="CC254">
        <v>669257</v>
      </c>
      <c r="CD254">
        <v>518692</v>
      </c>
      <c r="CE254">
        <v>669242</v>
      </c>
      <c r="CF254">
        <v>571970</v>
      </c>
      <c r="CG254">
        <v>605141</v>
      </c>
      <c r="CH254">
        <v>571771</v>
      </c>
      <c r="CI254">
        <v>681624</v>
      </c>
      <c r="CJ254">
        <v>606192</v>
      </c>
      <c r="CK254">
        <v>53.7</v>
      </c>
      <c r="CL254">
        <v>0.23400000000000001</v>
      </c>
      <c r="CM254">
        <v>0.189</v>
      </c>
      <c r="CN254">
        <v>0</v>
      </c>
      <c r="CO254">
        <v>1</v>
      </c>
      <c r="CP254">
        <v>0</v>
      </c>
      <c r="CQ254">
        <v>0</v>
      </c>
      <c r="CR254">
        <v>2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 t="s">
        <v>107</v>
      </c>
      <c r="DB254" t="s">
        <v>107</v>
      </c>
      <c r="DC254">
        <v>127</v>
      </c>
      <c r="DD254">
        <v>-2.1999999999999999E-2</v>
      </c>
      <c r="DE254">
        <v>-0.215</v>
      </c>
      <c r="DF254">
        <v>76.099999999999994</v>
      </c>
      <c r="DG254">
        <v>8.3000000000000007</v>
      </c>
    </row>
    <row r="255" spans="1:111" x14ac:dyDescent="0.2">
      <c r="A255">
        <v>2025</v>
      </c>
      <c r="B255" s="1">
        <v>45943</v>
      </c>
      <c r="C255" t="s">
        <v>95</v>
      </c>
      <c r="D255">
        <v>605483</v>
      </c>
      <c r="E255">
        <v>686217</v>
      </c>
      <c r="F255">
        <v>0</v>
      </c>
      <c r="G255">
        <v>0</v>
      </c>
      <c r="H255">
        <v>5</v>
      </c>
      <c r="I255" t="s">
        <v>163</v>
      </c>
      <c r="J255">
        <v>35</v>
      </c>
      <c r="K255">
        <v>1</v>
      </c>
      <c r="L255" t="s">
        <v>97</v>
      </c>
      <c r="M255" t="s">
        <v>138</v>
      </c>
      <c r="N255" t="s">
        <v>139</v>
      </c>
      <c r="O255">
        <f t="shared" si="48"/>
        <v>0</v>
      </c>
      <c r="P255">
        <f t="shared" si="49"/>
        <v>0</v>
      </c>
      <c r="Q255">
        <f t="shared" si="50"/>
        <v>0</v>
      </c>
      <c r="R255">
        <f t="shared" si="51"/>
        <v>0</v>
      </c>
      <c r="S255">
        <f t="shared" si="52"/>
        <v>0</v>
      </c>
      <c r="T255">
        <f t="shared" si="53"/>
        <v>0</v>
      </c>
      <c r="U255">
        <f t="shared" si="54"/>
        <v>0</v>
      </c>
      <c r="V255">
        <f t="shared" si="55"/>
        <v>0</v>
      </c>
      <c r="W255">
        <f t="shared" si="56"/>
        <v>0</v>
      </c>
      <c r="X255">
        <f t="shared" si="57"/>
        <v>0</v>
      </c>
      <c r="Y255">
        <f t="shared" si="58"/>
        <v>0</v>
      </c>
      <c r="Z255">
        <f t="shared" si="59"/>
        <v>0</v>
      </c>
      <c r="AA255">
        <f t="shared" si="60"/>
        <v>1</v>
      </c>
      <c r="AB255">
        <f t="shared" si="61"/>
        <v>0</v>
      </c>
      <c r="AC255">
        <f t="shared" si="62"/>
        <v>0</v>
      </c>
      <c r="AD255">
        <f t="shared" si="63"/>
        <v>0</v>
      </c>
      <c r="AE255">
        <v>89.8</v>
      </c>
      <c r="AF255">
        <v>1.99</v>
      </c>
      <c r="AG255">
        <v>6.48</v>
      </c>
      <c r="AH255" t="s">
        <v>108</v>
      </c>
      <c r="AI255" t="s">
        <v>97</v>
      </c>
      <c r="AJ255" t="s">
        <v>97</v>
      </c>
      <c r="AK255" t="s">
        <v>97</v>
      </c>
      <c r="AL255" t="s">
        <v>97</v>
      </c>
      <c r="AM255">
        <v>4</v>
      </c>
      <c r="AN255" t="s">
        <v>109</v>
      </c>
      <c r="AO255" t="s">
        <v>103</v>
      </c>
      <c r="AP255" t="s">
        <v>103</v>
      </c>
      <c r="AQ255" t="s">
        <v>103</v>
      </c>
      <c r="AR255" t="s">
        <v>190</v>
      </c>
      <c r="AS255" t="s">
        <v>104</v>
      </c>
      <c r="AT255" t="s">
        <v>110</v>
      </c>
      <c r="AU255" t="s">
        <v>97</v>
      </c>
      <c r="AV255" t="s">
        <v>97</v>
      </c>
      <c r="AW255">
        <v>-0.39</v>
      </c>
      <c r="AX255">
        <v>0.62</v>
      </c>
      <c r="AY255">
        <v>-0.34</v>
      </c>
      <c r="AZ255">
        <v>1.98</v>
      </c>
      <c r="BA255" t="s">
        <v>97</v>
      </c>
      <c r="BB255" t="s">
        <v>97</v>
      </c>
      <c r="BC255" t="s">
        <v>97</v>
      </c>
      <c r="BD255">
        <v>2</v>
      </c>
      <c r="BE255" t="s">
        <v>97</v>
      </c>
      <c r="BF255" t="s">
        <v>97</v>
      </c>
      <c r="BG255" t="s">
        <v>97</v>
      </c>
      <c r="BH255" t="s">
        <v>97</v>
      </c>
      <c r="BI255">
        <v>669257</v>
      </c>
      <c r="BJ255">
        <v>669257</v>
      </c>
      <c r="BK255" t="s">
        <v>97</v>
      </c>
      <c r="BL255" t="s">
        <v>97</v>
      </c>
      <c r="BM255">
        <v>-4.9793067759999996</v>
      </c>
      <c r="BN255">
        <v>-130.60213300000001</v>
      </c>
      <c r="BO255">
        <v>-6.5099003350000002</v>
      </c>
      <c r="BP255">
        <v>-3.3225733580000001</v>
      </c>
      <c r="BQ255">
        <v>28.545070809999999</v>
      </c>
      <c r="BR255">
        <v>-23.861529600000001</v>
      </c>
      <c r="BS255">
        <v>3.07</v>
      </c>
      <c r="BT255">
        <v>1.45</v>
      </c>
      <c r="BU255" t="s">
        <v>97</v>
      </c>
      <c r="BV255" t="s">
        <v>97</v>
      </c>
      <c r="BW255" t="s">
        <v>97</v>
      </c>
      <c r="BX255">
        <v>90.5</v>
      </c>
      <c r="BY255">
        <v>2426</v>
      </c>
      <c r="BZ255">
        <v>6.8</v>
      </c>
      <c r="CA255">
        <v>813036</v>
      </c>
      <c r="CB255">
        <v>669257</v>
      </c>
      <c r="CC255">
        <v>669257</v>
      </c>
      <c r="CD255">
        <v>518692</v>
      </c>
      <c r="CE255">
        <v>669242</v>
      </c>
      <c r="CF255">
        <v>571970</v>
      </c>
      <c r="CG255">
        <v>605141</v>
      </c>
      <c r="CH255">
        <v>571771</v>
      </c>
      <c r="CI255">
        <v>681624</v>
      </c>
      <c r="CJ255">
        <v>606192</v>
      </c>
      <c r="CK255">
        <v>53.66</v>
      </c>
      <c r="CL255" t="s">
        <v>97</v>
      </c>
      <c r="CM255" t="s">
        <v>97</v>
      </c>
      <c r="CN255" t="s">
        <v>97</v>
      </c>
      <c r="CO255" t="s">
        <v>97</v>
      </c>
      <c r="CP255" t="s">
        <v>97</v>
      </c>
      <c r="CQ255" t="s">
        <v>97</v>
      </c>
      <c r="CR255" t="s">
        <v>97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 t="s">
        <v>107</v>
      </c>
      <c r="DB255" t="s">
        <v>107</v>
      </c>
      <c r="DC255">
        <v>161</v>
      </c>
      <c r="DD255">
        <v>0</v>
      </c>
      <c r="DE255">
        <v>-4.2999999999999997E-2</v>
      </c>
      <c r="DF255" t="s">
        <v>97</v>
      </c>
      <c r="DG255" t="s">
        <v>97</v>
      </c>
    </row>
    <row r="256" spans="1:111" x14ac:dyDescent="0.2">
      <c r="A256">
        <v>2025</v>
      </c>
      <c r="B256" s="1">
        <v>45943</v>
      </c>
      <c r="C256" t="s">
        <v>95</v>
      </c>
      <c r="D256">
        <v>605483</v>
      </c>
      <c r="E256">
        <v>686217</v>
      </c>
      <c r="F256">
        <v>0</v>
      </c>
      <c r="G256">
        <v>1</v>
      </c>
      <c r="H256">
        <v>5</v>
      </c>
      <c r="I256" t="s">
        <v>163</v>
      </c>
      <c r="J256">
        <v>35</v>
      </c>
      <c r="K256">
        <v>2</v>
      </c>
      <c r="L256" t="s">
        <v>119</v>
      </c>
      <c r="M256" t="s">
        <v>138</v>
      </c>
      <c r="N256" t="s">
        <v>139</v>
      </c>
      <c r="O256">
        <f t="shared" si="48"/>
        <v>0</v>
      </c>
      <c r="P256">
        <f t="shared" si="49"/>
        <v>0</v>
      </c>
      <c r="Q256">
        <f t="shared" si="50"/>
        <v>0</v>
      </c>
      <c r="R256">
        <f t="shared" si="51"/>
        <v>0</v>
      </c>
      <c r="S256">
        <f t="shared" si="52"/>
        <v>0</v>
      </c>
      <c r="T256">
        <f t="shared" si="53"/>
        <v>0</v>
      </c>
      <c r="U256">
        <f t="shared" si="54"/>
        <v>0</v>
      </c>
      <c r="V256">
        <f t="shared" si="55"/>
        <v>0</v>
      </c>
      <c r="W256">
        <f t="shared" si="56"/>
        <v>0</v>
      </c>
      <c r="X256">
        <f t="shared" si="57"/>
        <v>0</v>
      </c>
      <c r="Y256">
        <f t="shared" si="58"/>
        <v>0</v>
      </c>
      <c r="Z256">
        <f t="shared" si="59"/>
        <v>0</v>
      </c>
      <c r="AA256">
        <f t="shared" si="60"/>
        <v>0</v>
      </c>
      <c r="AB256">
        <f t="shared" si="61"/>
        <v>0</v>
      </c>
      <c r="AC256">
        <f t="shared" si="62"/>
        <v>1</v>
      </c>
      <c r="AD256">
        <f t="shared" si="63"/>
        <v>0</v>
      </c>
      <c r="AE256">
        <v>88.3</v>
      </c>
      <c r="AF256">
        <v>1.89</v>
      </c>
      <c r="AG256">
        <v>6.46</v>
      </c>
      <c r="AH256" t="s">
        <v>120</v>
      </c>
      <c r="AI256" t="s">
        <v>97</v>
      </c>
      <c r="AJ256" t="s">
        <v>97</v>
      </c>
      <c r="AK256" t="s">
        <v>97</v>
      </c>
      <c r="AL256" t="s">
        <v>97</v>
      </c>
      <c r="AM256">
        <v>13</v>
      </c>
      <c r="AN256" t="s">
        <v>204</v>
      </c>
      <c r="AO256" t="s">
        <v>103</v>
      </c>
      <c r="AP256" t="s">
        <v>103</v>
      </c>
      <c r="AQ256" t="s">
        <v>103</v>
      </c>
      <c r="AR256" t="s">
        <v>190</v>
      </c>
      <c r="AS256" t="s">
        <v>104</v>
      </c>
      <c r="AT256" t="s">
        <v>123</v>
      </c>
      <c r="AU256">
        <v>6</v>
      </c>
      <c r="AV256" t="s">
        <v>127</v>
      </c>
      <c r="AW256">
        <v>-0.15</v>
      </c>
      <c r="AX256">
        <v>0.68</v>
      </c>
      <c r="AY256">
        <v>-0.99</v>
      </c>
      <c r="AZ256">
        <v>1.36</v>
      </c>
      <c r="BA256" t="s">
        <v>97</v>
      </c>
      <c r="BB256" t="s">
        <v>97</v>
      </c>
      <c r="BC256" t="s">
        <v>97</v>
      </c>
      <c r="BD256">
        <v>2</v>
      </c>
      <c r="BE256">
        <v>125.85</v>
      </c>
      <c r="BF256">
        <v>136.19</v>
      </c>
      <c r="BG256" t="s">
        <v>97</v>
      </c>
      <c r="BH256" t="s">
        <v>97</v>
      </c>
      <c r="BI256">
        <v>669257</v>
      </c>
      <c r="BJ256">
        <v>669257</v>
      </c>
      <c r="BK256" t="s">
        <v>97</v>
      </c>
      <c r="BL256" t="s">
        <v>97</v>
      </c>
      <c r="BM256">
        <v>-6.7540380860000004</v>
      </c>
      <c r="BN256">
        <v>-128.26007870000001</v>
      </c>
      <c r="BO256">
        <v>-7.7394035170000004</v>
      </c>
      <c r="BP256">
        <v>-0.20557123299999999</v>
      </c>
      <c r="BQ256">
        <v>28.15090524</v>
      </c>
      <c r="BR256">
        <v>-23.229629559999999</v>
      </c>
      <c r="BS256">
        <v>3.06</v>
      </c>
      <c r="BT256">
        <v>1.44</v>
      </c>
      <c r="BU256">
        <v>138</v>
      </c>
      <c r="BV256">
        <v>61.3</v>
      </c>
      <c r="BW256">
        <v>15</v>
      </c>
      <c r="BX256">
        <v>88.8</v>
      </c>
      <c r="BY256">
        <v>2342</v>
      </c>
      <c r="BZ256">
        <v>6.8</v>
      </c>
      <c r="CA256">
        <v>813036</v>
      </c>
      <c r="CB256">
        <v>669257</v>
      </c>
      <c r="CC256">
        <v>669257</v>
      </c>
      <c r="CD256">
        <v>518692</v>
      </c>
      <c r="CE256">
        <v>669242</v>
      </c>
      <c r="CF256">
        <v>571970</v>
      </c>
      <c r="CG256">
        <v>605141</v>
      </c>
      <c r="CH256">
        <v>571771</v>
      </c>
      <c r="CI256">
        <v>681624</v>
      </c>
      <c r="CJ256">
        <v>606192</v>
      </c>
      <c r="CK256">
        <v>53.66</v>
      </c>
      <c r="CL256">
        <v>0.23400000000000001</v>
      </c>
      <c r="CM256">
        <v>0.21099999999999999</v>
      </c>
      <c r="CN256">
        <v>0</v>
      </c>
      <c r="CO256">
        <v>1</v>
      </c>
      <c r="CP256">
        <v>0</v>
      </c>
      <c r="CQ256">
        <v>0</v>
      </c>
      <c r="CR256">
        <v>2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 t="s">
        <v>107</v>
      </c>
      <c r="DB256" t="s">
        <v>107</v>
      </c>
      <c r="DC256">
        <v>164</v>
      </c>
      <c r="DD256">
        <v>-1.4E-2</v>
      </c>
      <c r="DE256">
        <v>-0.217</v>
      </c>
      <c r="DF256">
        <v>62.5</v>
      </c>
      <c r="DG256">
        <v>7.8</v>
      </c>
    </row>
    <row r="257" spans="1:111" x14ac:dyDescent="0.2">
      <c r="A257">
        <v>2025</v>
      </c>
      <c r="B257" s="1">
        <v>45943</v>
      </c>
      <c r="C257" t="s">
        <v>95</v>
      </c>
      <c r="D257">
        <v>605483</v>
      </c>
      <c r="E257">
        <v>702332</v>
      </c>
      <c r="F257">
        <v>0</v>
      </c>
      <c r="G257">
        <v>0</v>
      </c>
      <c r="H257">
        <v>6</v>
      </c>
      <c r="I257" t="s">
        <v>163</v>
      </c>
      <c r="J257">
        <v>42</v>
      </c>
      <c r="K257">
        <v>1</v>
      </c>
      <c r="L257" t="s">
        <v>97</v>
      </c>
      <c r="M257" t="s">
        <v>111</v>
      </c>
      <c r="N257" t="s">
        <v>112</v>
      </c>
      <c r="O257">
        <f t="shared" si="48"/>
        <v>0</v>
      </c>
      <c r="P257">
        <f t="shared" si="49"/>
        <v>0</v>
      </c>
      <c r="Q257">
        <f t="shared" si="50"/>
        <v>0</v>
      </c>
      <c r="R257">
        <f t="shared" si="51"/>
        <v>0</v>
      </c>
      <c r="S257">
        <f t="shared" si="52"/>
        <v>0</v>
      </c>
      <c r="T257">
        <f t="shared" si="53"/>
        <v>0</v>
      </c>
      <c r="U257">
        <f t="shared" si="54"/>
        <v>1</v>
      </c>
      <c r="V257">
        <f t="shared" si="55"/>
        <v>0</v>
      </c>
      <c r="W257">
        <f t="shared" si="56"/>
        <v>0</v>
      </c>
      <c r="X257">
        <f t="shared" si="57"/>
        <v>0</v>
      </c>
      <c r="Y257">
        <f t="shared" si="58"/>
        <v>0</v>
      </c>
      <c r="Z257">
        <f t="shared" si="59"/>
        <v>0</v>
      </c>
      <c r="AA257">
        <f t="shared" si="60"/>
        <v>0</v>
      </c>
      <c r="AB257">
        <f t="shared" si="61"/>
        <v>0</v>
      </c>
      <c r="AC257">
        <f t="shared" si="62"/>
        <v>0</v>
      </c>
      <c r="AD257">
        <f t="shared" si="63"/>
        <v>0</v>
      </c>
      <c r="AE257">
        <v>79.900000000000006</v>
      </c>
      <c r="AF257">
        <v>1.95</v>
      </c>
      <c r="AG257">
        <v>6.53</v>
      </c>
      <c r="AH257" t="s">
        <v>108</v>
      </c>
      <c r="AI257" t="s">
        <v>97</v>
      </c>
      <c r="AJ257" t="s">
        <v>97</v>
      </c>
      <c r="AK257" t="s">
        <v>97</v>
      </c>
      <c r="AL257" t="s">
        <v>97</v>
      </c>
      <c r="AM257">
        <v>7</v>
      </c>
      <c r="AN257" t="s">
        <v>109</v>
      </c>
      <c r="AO257" t="s">
        <v>103</v>
      </c>
      <c r="AP257" t="s">
        <v>122</v>
      </c>
      <c r="AQ257" t="s">
        <v>103</v>
      </c>
      <c r="AR257" t="s">
        <v>190</v>
      </c>
      <c r="AS257" t="s">
        <v>104</v>
      </c>
      <c r="AT257" t="s">
        <v>110</v>
      </c>
      <c r="AU257" t="s">
        <v>97</v>
      </c>
      <c r="AV257" t="s">
        <v>97</v>
      </c>
      <c r="AW257">
        <v>-1.34</v>
      </c>
      <c r="AX257">
        <v>-0.42</v>
      </c>
      <c r="AY257">
        <v>-0.43</v>
      </c>
      <c r="AZ257">
        <v>1.85</v>
      </c>
      <c r="BA257" t="s">
        <v>97</v>
      </c>
      <c r="BB257" t="s">
        <v>97</v>
      </c>
      <c r="BC257" t="s">
        <v>97</v>
      </c>
      <c r="BD257">
        <v>0</v>
      </c>
      <c r="BE257" t="s">
        <v>97</v>
      </c>
      <c r="BF257" t="s">
        <v>97</v>
      </c>
      <c r="BG257" t="s">
        <v>97</v>
      </c>
      <c r="BH257" t="s">
        <v>97</v>
      </c>
      <c r="BI257">
        <v>669257</v>
      </c>
      <c r="BJ257">
        <v>669257</v>
      </c>
      <c r="BK257" t="s">
        <v>97</v>
      </c>
      <c r="BL257" t="s">
        <v>97</v>
      </c>
      <c r="BM257">
        <v>-2.7219800969999999</v>
      </c>
      <c r="BN257">
        <v>-116.30592919999999</v>
      </c>
      <c r="BO257">
        <v>-2.6755697430000001</v>
      </c>
      <c r="BP257">
        <v>-11.4496921</v>
      </c>
      <c r="BQ257">
        <v>25.442323269999999</v>
      </c>
      <c r="BR257">
        <v>-35.636725079999998</v>
      </c>
      <c r="BS257">
        <v>3.28</v>
      </c>
      <c r="BT257">
        <v>1.45</v>
      </c>
      <c r="BU257" t="s">
        <v>97</v>
      </c>
      <c r="BV257" t="s">
        <v>97</v>
      </c>
      <c r="BW257" t="s">
        <v>97</v>
      </c>
      <c r="BX257">
        <v>79.7</v>
      </c>
      <c r="BY257">
        <v>2462</v>
      </c>
      <c r="BZ257">
        <v>6.5</v>
      </c>
      <c r="CA257">
        <v>813036</v>
      </c>
      <c r="CB257">
        <v>669257</v>
      </c>
      <c r="CC257">
        <v>669257</v>
      </c>
      <c r="CD257">
        <v>518692</v>
      </c>
      <c r="CE257">
        <v>669242</v>
      </c>
      <c r="CF257">
        <v>571970</v>
      </c>
      <c r="CG257">
        <v>605141</v>
      </c>
      <c r="CH257">
        <v>571771</v>
      </c>
      <c r="CI257">
        <v>681624</v>
      </c>
      <c r="CJ257">
        <v>606192</v>
      </c>
      <c r="CK257">
        <v>54</v>
      </c>
      <c r="CL257" t="s">
        <v>97</v>
      </c>
      <c r="CM257" t="s">
        <v>97</v>
      </c>
      <c r="CN257" t="s">
        <v>97</v>
      </c>
      <c r="CO257" t="s">
        <v>97</v>
      </c>
      <c r="CP257" t="s">
        <v>97</v>
      </c>
      <c r="CQ257" t="s">
        <v>97</v>
      </c>
      <c r="CR257" t="s">
        <v>97</v>
      </c>
      <c r="CS257">
        <v>0</v>
      </c>
      <c r="CT257">
        <v>1</v>
      </c>
      <c r="CU257">
        <v>0</v>
      </c>
      <c r="CV257">
        <v>1</v>
      </c>
      <c r="CW257">
        <v>1</v>
      </c>
      <c r="CX257">
        <v>0</v>
      </c>
      <c r="CY257">
        <v>0</v>
      </c>
      <c r="CZ257">
        <v>1</v>
      </c>
      <c r="DA257" t="s">
        <v>107</v>
      </c>
      <c r="DB257" t="s">
        <v>107</v>
      </c>
      <c r="DC257">
        <v>318</v>
      </c>
      <c r="DD257">
        <v>0</v>
      </c>
      <c r="DE257">
        <v>-3.9E-2</v>
      </c>
      <c r="DF257" t="s">
        <v>97</v>
      </c>
      <c r="DG257" t="s">
        <v>97</v>
      </c>
    </row>
    <row r="258" spans="1:111" x14ac:dyDescent="0.2">
      <c r="A258">
        <v>2025</v>
      </c>
      <c r="B258" s="1">
        <v>45943</v>
      </c>
      <c r="C258" t="s">
        <v>95</v>
      </c>
      <c r="D258">
        <v>605483</v>
      </c>
      <c r="E258">
        <v>702332</v>
      </c>
      <c r="F258">
        <v>0</v>
      </c>
      <c r="G258">
        <v>1</v>
      </c>
      <c r="H258">
        <v>6</v>
      </c>
      <c r="I258" t="s">
        <v>163</v>
      </c>
      <c r="J258">
        <v>42</v>
      </c>
      <c r="K258">
        <v>2</v>
      </c>
      <c r="L258" t="s">
        <v>97</v>
      </c>
      <c r="M258" t="s">
        <v>132</v>
      </c>
      <c r="N258" t="s">
        <v>133</v>
      </c>
      <c r="O258">
        <f t="shared" si="48"/>
        <v>0</v>
      </c>
      <c r="P258">
        <f t="shared" si="49"/>
        <v>0</v>
      </c>
      <c r="Q258">
        <f t="shared" si="50"/>
        <v>0</v>
      </c>
      <c r="R258">
        <f t="shared" si="51"/>
        <v>0</v>
      </c>
      <c r="S258">
        <f t="shared" si="52"/>
        <v>0</v>
      </c>
      <c r="T258">
        <f t="shared" si="53"/>
        <v>0</v>
      </c>
      <c r="U258">
        <f t="shared" si="54"/>
        <v>0</v>
      </c>
      <c r="V258">
        <f t="shared" si="55"/>
        <v>0</v>
      </c>
      <c r="W258">
        <f t="shared" si="56"/>
        <v>1</v>
      </c>
      <c r="X258">
        <f t="shared" si="57"/>
        <v>0</v>
      </c>
      <c r="Y258">
        <f t="shared" si="58"/>
        <v>0</v>
      </c>
      <c r="Z258">
        <f t="shared" si="59"/>
        <v>0</v>
      </c>
      <c r="AA258">
        <f t="shared" si="60"/>
        <v>0</v>
      </c>
      <c r="AB258">
        <f t="shared" si="61"/>
        <v>0</v>
      </c>
      <c r="AC258">
        <f t="shared" si="62"/>
        <v>0</v>
      </c>
      <c r="AD258">
        <f t="shared" si="63"/>
        <v>0</v>
      </c>
      <c r="AE258">
        <v>83.6</v>
      </c>
      <c r="AF258">
        <v>2.2999999999999998</v>
      </c>
      <c r="AG258">
        <v>6.29</v>
      </c>
      <c r="AH258" t="s">
        <v>113</v>
      </c>
      <c r="AI258" t="s">
        <v>97</v>
      </c>
      <c r="AJ258" t="s">
        <v>97</v>
      </c>
      <c r="AK258" t="s">
        <v>97</v>
      </c>
      <c r="AL258" t="s">
        <v>97</v>
      </c>
      <c r="AM258">
        <v>9</v>
      </c>
      <c r="AN258" t="s">
        <v>114</v>
      </c>
      <c r="AO258" t="s">
        <v>103</v>
      </c>
      <c r="AP258" t="s">
        <v>122</v>
      </c>
      <c r="AQ258" t="s">
        <v>103</v>
      </c>
      <c r="AR258" t="s">
        <v>190</v>
      </c>
      <c r="AS258" t="s">
        <v>104</v>
      </c>
      <c r="AT258" t="s">
        <v>110</v>
      </c>
      <c r="AU258" t="s">
        <v>97</v>
      </c>
      <c r="AV258" t="s">
        <v>97</v>
      </c>
      <c r="AW258">
        <v>1.07</v>
      </c>
      <c r="AX258">
        <v>1.1200000000000001</v>
      </c>
      <c r="AY258">
        <v>0.56000000000000005</v>
      </c>
      <c r="AZ258">
        <v>1.75</v>
      </c>
      <c r="BA258" t="s">
        <v>97</v>
      </c>
      <c r="BB258" t="s">
        <v>97</v>
      </c>
      <c r="BC258" t="s">
        <v>97</v>
      </c>
      <c r="BD258">
        <v>0</v>
      </c>
      <c r="BE258" t="s">
        <v>97</v>
      </c>
      <c r="BF258" t="s">
        <v>97</v>
      </c>
      <c r="BG258" t="s">
        <v>97</v>
      </c>
      <c r="BH258" t="s">
        <v>97</v>
      </c>
      <c r="BI258">
        <v>669257</v>
      </c>
      <c r="BJ258">
        <v>669257</v>
      </c>
      <c r="BK258" t="s">
        <v>97</v>
      </c>
      <c r="BL258" t="s">
        <v>97</v>
      </c>
      <c r="BM258">
        <v>-6.1460985020000001</v>
      </c>
      <c r="BN258">
        <v>-121.5043544</v>
      </c>
      <c r="BO258">
        <v>-6.2423271099999997</v>
      </c>
      <c r="BP258">
        <v>11.777571379999999</v>
      </c>
      <c r="BQ258">
        <v>24.858036389999999</v>
      </c>
      <c r="BR258">
        <v>-20.023089939999998</v>
      </c>
      <c r="BS258">
        <v>3.2</v>
      </c>
      <c r="BT258">
        <v>1.45</v>
      </c>
      <c r="BU258" t="s">
        <v>97</v>
      </c>
      <c r="BV258" t="s">
        <v>97</v>
      </c>
      <c r="BW258" t="s">
        <v>97</v>
      </c>
      <c r="BX258">
        <v>84</v>
      </c>
      <c r="BY258">
        <v>1904</v>
      </c>
      <c r="BZ258">
        <v>6.7</v>
      </c>
      <c r="CA258">
        <v>813036</v>
      </c>
      <c r="CB258">
        <v>669257</v>
      </c>
      <c r="CC258">
        <v>669257</v>
      </c>
      <c r="CD258">
        <v>518692</v>
      </c>
      <c r="CE258">
        <v>669242</v>
      </c>
      <c r="CF258">
        <v>571970</v>
      </c>
      <c r="CG258">
        <v>605141</v>
      </c>
      <c r="CH258">
        <v>571771</v>
      </c>
      <c r="CI258">
        <v>681624</v>
      </c>
      <c r="CJ258">
        <v>606192</v>
      </c>
      <c r="CK258">
        <v>53.76</v>
      </c>
      <c r="CL258" t="s">
        <v>97</v>
      </c>
      <c r="CM258" t="s">
        <v>97</v>
      </c>
      <c r="CN258" t="s">
        <v>97</v>
      </c>
      <c r="CO258" t="s">
        <v>97</v>
      </c>
      <c r="CP258" t="s">
        <v>97</v>
      </c>
      <c r="CQ258" t="s">
        <v>97</v>
      </c>
      <c r="CR258" t="s">
        <v>97</v>
      </c>
      <c r="CS258">
        <v>0</v>
      </c>
      <c r="CT258">
        <v>1</v>
      </c>
      <c r="CU258">
        <v>0</v>
      </c>
      <c r="CV258">
        <v>1</v>
      </c>
      <c r="CW258">
        <v>1</v>
      </c>
      <c r="CX258">
        <v>0</v>
      </c>
      <c r="CY258">
        <v>0</v>
      </c>
      <c r="CZ258">
        <v>1</v>
      </c>
      <c r="DA258" t="s">
        <v>107</v>
      </c>
      <c r="DB258" t="s">
        <v>107</v>
      </c>
      <c r="DC258">
        <v>126</v>
      </c>
      <c r="DD258">
        <v>0</v>
      </c>
      <c r="DE258">
        <v>-5.5E-2</v>
      </c>
      <c r="DF258">
        <v>62.8</v>
      </c>
      <c r="DG258">
        <v>8.1</v>
      </c>
    </row>
    <row r="259" spans="1:111" x14ac:dyDescent="0.2">
      <c r="A259">
        <v>2025</v>
      </c>
      <c r="B259" s="1">
        <v>45943</v>
      </c>
      <c r="C259" t="s">
        <v>95</v>
      </c>
      <c r="D259">
        <v>605483</v>
      </c>
      <c r="E259">
        <v>702332</v>
      </c>
      <c r="F259">
        <v>0</v>
      </c>
      <c r="G259">
        <v>2</v>
      </c>
      <c r="H259">
        <v>6</v>
      </c>
      <c r="I259" t="s">
        <v>163</v>
      </c>
      <c r="J259">
        <v>42</v>
      </c>
      <c r="K259">
        <v>3</v>
      </c>
      <c r="L259" t="s">
        <v>97</v>
      </c>
      <c r="M259" t="s">
        <v>132</v>
      </c>
      <c r="N259" t="s">
        <v>133</v>
      </c>
      <c r="O259">
        <f t="shared" ref="O259:O322" si="64">IF(AND(N259="4-Seam Fastball",N260="4-Seam Fastball"),1,0)</f>
        <v>0</v>
      </c>
      <c r="P259">
        <f t="shared" ref="P259:P322" si="65">IF(AND(N259="4-Seam Fastball",N260="Curveball"),1,0)</f>
        <v>0</v>
      </c>
      <c r="Q259">
        <f t="shared" ref="Q259:Q322" si="66">IF(AND(N259="4-Seam Fastball",N260="Changeup"),1,0)</f>
        <v>0</v>
      </c>
      <c r="R259">
        <f t="shared" ref="R259:R322" si="67">IF(AND(N259="4-Seam Fastball",N260="Slider"),1,0)</f>
        <v>0</v>
      </c>
      <c r="S259">
        <f t="shared" ref="S259:S322" si="68">IF(AND(N259="Curveball",N260="Curveball"),1,0)</f>
        <v>0</v>
      </c>
      <c r="T259">
        <f t="shared" ref="T259:T322" si="69">IF(AND(N259="Curveball",N260="4-Seam Fastball"),1,0)</f>
        <v>0</v>
      </c>
      <c r="U259">
        <f t="shared" ref="U259:U322" si="70">IF(AND(N259="Curveball",N260="Changeup"),1,0)</f>
        <v>0</v>
      </c>
      <c r="V259">
        <f t="shared" ref="V259:V322" si="71">IF(AND(N259="Curveball",N260="Slider"),1,0)</f>
        <v>0</v>
      </c>
      <c r="W259">
        <f t="shared" ref="W259:W322" si="72">IF(AND(N259="Changeup",N260="Changeup"),1,0)</f>
        <v>1</v>
      </c>
      <c r="X259">
        <f t="shared" ref="X259:X322" si="73">IF(AND(N259="Changeup",N260="4-Seam Fastball"),1,0)</f>
        <v>0</v>
      </c>
      <c r="Y259">
        <f t="shared" ref="Y259:Y322" si="74">IF(AND(N259="Changeup",N260="Curveball"),1,0)</f>
        <v>0</v>
      </c>
      <c r="Z259">
        <f t="shared" ref="Z259:Z322" si="75">IF(AND(N259="Changeup",N260="Slider"),1,0)</f>
        <v>0</v>
      </c>
      <c r="AA259">
        <f t="shared" ref="AA259:AA322" si="76">IF(AND(N259="Slider",N260="Slider"),1,0)</f>
        <v>0</v>
      </c>
      <c r="AB259">
        <f t="shared" ref="AB259:AB322" si="77">IF(AND(N259="Slider",N260="4-Seam Fastball"),1,0)</f>
        <v>0</v>
      </c>
      <c r="AC259">
        <f t="shared" ref="AC259:AC322" si="78">IF(AND(N259="Slider",N260="Curveball"),1,0)</f>
        <v>0</v>
      </c>
      <c r="AD259">
        <f t="shared" ref="AD259:AD322" si="79">IF(AND(N259="Slider",N260="Changeup"),1,0)</f>
        <v>0</v>
      </c>
      <c r="AE259">
        <v>82.7</v>
      </c>
      <c r="AF259">
        <v>2.23</v>
      </c>
      <c r="AG259">
        <v>6.28</v>
      </c>
      <c r="AH259" t="s">
        <v>100</v>
      </c>
      <c r="AI259" t="s">
        <v>97</v>
      </c>
      <c r="AJ259" t="s">
        <v>97</v>
      </c>
      <c r="AK259" t="s">
        <v>97</v>
      </c>
      <c r="AL259" t="s">
        <v>97</v>
      </c>
      <c r="AM259">
        <v>14</v>
      </c>
      <c r="AN259" t="s">
        <v>101</v>
      </c>
      <c r="AO259" t="s">
        <v>103</v>
      </c>
      <c r="AP259" t="s">
        <v>122</v>
      </c>
      <c r="AQ259" t="s">
        <v>103</v>
      </c>
      <c r="AR259" t="s">
        <v>190</v>
      </c>
      <c r="AS259" t="s">
        <v>104</v>
      </c>
      <c r="AT259" t="s">
        <v>106</v>
      </c>
      <c r="AU259" t="s">
        <v>97</v>
      </c>
      <c r="AV259" t="s">
        <v>97</v>
      </c>
      <c r="AW259">
        <v>1.36</v>
      </c>
      <c r="AX259">
        <v>0.51</v>
      </c>
      <c r="AY259">
        <v>1.44</v>
      </c>
      <c r="AZ259">
        <v>2.12</v>
      </c>
      <c r="BA259" t="s">
        <v>97</v>
      </c>
      <c r="BB259" t="s">
        <v>97</v>
      </c>
      <c r="BC259" t="s">
        <v>97</v>
      </c>
      <c r="BD259">
        <v>0</v>
      </c>
      <c r="BE259" t="s">
        <v>97</v>
      </c>
      <c r="BF259" t="s">
        <v>97</v>
      </c>
      <c r="BG259" t="s">
        <v>97</v>
      </c>
      <c r="BH259" t="s">
        <v>97</v>
      </c>
      <c r="BI259">
        <v>669257</v>
      </c>
      <c r="BJ259">
        <v>669257</v>
      </c>
      <c r="BK259" t="s">
        <v>97</v>
      </c>
      <c r="BL259" t="s">
        <v>97</v>
      </c>
      <c r="BM259">
        <v>-4.4948999079999998</v>
      </c>
      <c r="BN259">
        <v>-120.3724141</v>
      </c>
      <c r="BO259">
        <v>-3.9710714610000002</v>
      </c>
      <c r="BP259">
        <v>14.062505639999999</v>
      </c>
      <c r="BQ259">
        <v>24.920705179999999</v>
      </c>
      <c r="BR259">
        <v>-26.672870369999998</v>
      </c>
      <c r="BS259">
        <v>3.26</v>
      </c>
      <c r="BT259">
        <v>1.54</v>
      </c>
      <c r="BU259" t="s">
        <v>97</v>
      </c>
      <c r="BV259" t="s">
        <v>97</v>
      </c>
      <c r="BW259" t="s">
        <v>97</v>
      </c>
      <c r="BX259">
        <v>83.4</v>
      </c>
      <c r="BY259">
        <v>1862</v>
      </c>
      <c r="BZ259">
        <v>6.9</v>
      </c>
      <c r="CA259">
        <v>813036</v>
      </c>
      <c r="CB259">
        <v>669257</v>
      </c>
      <c r="CC259">
        <v>669257</v>
      </c>
      <c r="CD259">
        <v>518692</v>
      </c>
      <c r="CE259">
        <v>669242</v>
      </c>
      <c r="CF259">
        <v>571970</v>
      </c>
      <c r="CG259">
        <v>605141</v>
      </c>
      <c r="CH259">
        <v>571771</v>
      </c>
      <c r="CI259">
        <v>681624</v>
      </c>
      <c r="CJ259">
        <v>606192</v>
      </c>
      <c r="CK259">
        <v>53.62</v>
      </c>
      <c r="CL259" t="s">
        <v>97</v>
      </c>
      <c r="CM259" t="s">
        <v>97</v>
      </c>
      <c r="CN259" t="s">
        <v>97</v>
      </c>
      <c r="CO259" t="s">
        <v>97</v>
      </c>
      <c r="CP259" t="s">
        <v>97</v>
      </c>
      <c r="CQ259" t="s">
        <v>97</v>
      </c>
      <c r="CR259" t="s">
        <v>97</v>
      </c>
      <c r="CS259">
        <v>0</v>
      </c>
      <c r="CT259">
        <v>1</v>
      </c>
      <c r="CU259">
        <v>0</v>
      </c>
      <c r="CV259">
        <v>1</v>
      </c>
      <c r="CW259">
        <v>1</v>
      </c>
      <c r="CX259">
        <v>0</v>
      </c>
      <c r="CY259">
        <v>0</v>
      </c>
      <c r="CZ259">
        <v>1</v>
      </c>
      <c r="DA259" t="s">
        <v>107</v>
      </c>
      <c r="DB259" t="s">
        <v>107</v>
      </c>
      <c r="DC259">
        <v>132</v>
      </c>
      <c r="DD259">
        <v>0</v>
      </c>
      <c r="DE259">
        <v>2.4E-2</v>
      </c>
      <c r="DF259" t="s">
        <v>97</v>
      </c>
      <c r="DG259" t="s">
        <v>97</v>
      </c>
    </row>
    <row r="260" spans="1:111" x14ac:dyDescent="0.2">
      <c r="A260">
        <v>2025</v>
      </c>
      <c r="B260" s="1">
        <v>45943</v>
      </c>
      <c r="C260" t="s">
        <v>95</v>
      </c>
      <c r="D260">
        <v>605483</v>
      </c>
      <c r="E260">
        <v>702332</v>
      </c>
      <c r="F260">
        <v>1</v>
      </c>
      <c r="G260">
        <v>2</v>
      </c>
      <c r="H260">
        <v>6</v>
      </c>
      <c r="I260" t="s">
        <v>163</v>
      </c>
      <c r="J260">
        <v>42</v>
      </c>
      <c r="K260">
        <v>4</v>
      </c>
      <c r="L260" t="s">
        <v>116</v>
      </c>
      <c r="M260" t="s">
        <v>132</v>
      </c>
      <c r="N260" t="s">
        <v>133</v>
      </c>
      <c r="O260">
        <f t="shared" si="64"/>
        <v>0</v>
      </c>
      <c r="P260">
        <f t="shared" si="65"/>
        <v>0</v>
      </c>
      <c r="Q260">
        <f t="shared" si="66"/>
        <v>0</v>
      </c>
      <c r="R260">
        <f t="shared" si="67"/>
        <v>0</v>
      </c>
      <c r="S260">
        <f t="shared" si="68"/>
        <v>0</v>
      </c>
      <c r="T260">
        <f t="shared" si="69"/>
        <v>0</v>
      </c>
      <c r="U260">
        <f t="shared" si="70"/>
        <v>0</v>
      </c>
      <c r="V260">
        <f t="shared" si="71"/>
        <v>0</v>
      </c>
      <c r="W260">
        <f t="shared" si="72"/>
        <v>0</v>
      </c>
      <c r="X260">
        <f t="shared" si="73"/>
        <v>1</v>
      </c>
      <c r="Y260">
        <f t="shared" si="74"/>
        <v>0</v>
      </c>
      <c r="Z260">
        <f t="shared" si="75"/>
        <v>0</v>
      </c>
      <c r="AA260">
        <f t="shared" si="76"/>
        <v>0</v>
      </c>
      <c r="AB260">
        <f t="shared" si="77"/>
        <v>0</v>
      </c>
      <c r="AC260">
        <f t="shared" si="78"/>
        <v>0</v>
      </c>
      <c r="AD260">
        <f t="shared" si="79"/>
        <v>0</v>
      </c>
      <c r="AE260">
        <v>83.8</v>
      </c>
      <c r="AF260">
        <v>2.35</v>
      </c>
      <c r="AG260">
        <v>6.25</v>
      </c>
      <c r="AH260" t="s">
        <v>108</v>
      </c>
      <c r="AI260" t="s">
        <v>97</v>
      </c>
      <c r="AJ260" t="s">
        <v>97</v>
      </c>
      <c r="AK260" t="s">
        <v>97</v>
      </c>
      <c r="AL260" t="s">
        <v>97</v>
      </c>
      <c r="AM260">
        <v>7</v>
      </c>
      <c r="AN260" t="s">
        <v>205</v>
      </c>
      <c r="AO260" t="s">
        <v>103</v>
      </c>
      <c r="AP260" t="s">
        <v>122</v>
      </c>
      <c r="AQ260" t="s">
        <v>103</v>
      </c>
      <c r="AR260" t="s">
        <v>190</v>
      </c>
      <c r="AS260" t="s">
        <v>104</v>
      </c>
      <c r="AT260" t="s">
        <v>110</v>
      </c>
      <c r="AU260">
        <v>2</v>
      </c>
      <c r="AV260" t="s">
        <v>97</v>
      </c>
      <c r="AW260">
        <v>0.93</v>
      </c>
      <c r="AX260">
        <v>1.34</v>
      </c>
      <c r="AY260">
        <v>-0.35</v>
      </c>
      <c r="AZ260">
        <v>1.81</v>
      </c>
      <c r="BA260" t="s">
        <v>97</v>
      </c>
      <c r="BB260" t="s">
        <v>97</v>
      </c>
      <c r="BC260" t="s">
        <v>97</v>
      </c>
      <c r="BD260">
        <v>0</v>
      </c>
      <c r="BE260" t="s">
        <v>97</v>
      </c>
      <c r="BF260" t="s">
        <v>97</v>
      </c>
      <c r="BG260" t="s">
        <v>97</v>
      </c>
      <c r="BH260" t="s">
        <v>97</v>
      </c>
      <c r="BI260">
        <v>669257</v>
      </c>
      <c r="BJ260">
        <v>669257</v>
      </c>
      <c r="BK260" t="s">
        <v>97</v>
      </c>
      <c r="BL260" t="s">
        <v>97</v>
      </c>
      <c r="BM260">
        <v>-8.109937811</v>
      </c>
      <c r="BN260">
        <v>-121.67112729999999</v>
      </c>
      <c r="BO260">
        <v>-6.5111847740000002</v>
      </c>
      <c r="BP260">
        <v>10.83989418</v>
      </c>
      <c r="BQ260">
        <v>24.953902110000001</v>
      </c>
      <c r="BR260">
        <v>-17.717828399999998</v>
      </c>
      <c r="BS260">
        <v>3.37</v>
      </c>
      <c r="BT260">
        <v>1.55</v>
      </c>
      <c r="BU260" t="s">
        <v>97</v>
      </c>
      <c r="BV260" t="s">
        <v>97</v>
      </c>
      <c r="BW260" t="s">
        <v>97</v>
      </c>
      <c r="BX260">
        <v>84.2</v>
      </c>
      <c r="BY260">
        <v>1971</v>
      </c>
      <c r="BZ260">
        <v>6.8</v>
      </c>
      <c r="CA260">
        <v>813036</v>
      </c>
      <c r="CB260">
        <v>669257</v>
      </c>
      <c r="CC260">
        <v>669257</v>
      </c>
      <c r="CD260">
        <v>518692</v>
      </c>
      <c r="CE260">
        <v>669242</v>
      </c>
      <c r="CF260">
        <v>571970</v>
      </c>
      <c r="CG260">
        <v>605141</v>
      </c>
      <c r="CH260">
        <v>571771</v>
      </c>
      <c r="CI260">
        <v>681624</v>
      </c>
      <c r="CJ260">
        <v>606192</v>
      </c>
      <c r="CK260">
        <v>53.72</v>
      </c>
      <c r="CL260" t="s">
        <v>97</v>
      </c>
      <c r="CM260">
        <v>0</v>
      </c>
      <c r="CN260">
        <v>0</v>
      </c>
      <c r="CO260">
        <v>1</v>
      </c>
      <c r="CP260">
        <v>0</v>
      </c>
      <c r="CQ260">
        <v>0</v>
      </c>
      <c r="CR260" t="s">
        <v>97</v>
      </c>
      <c r="CS260">
        <v>0</v>
      </c>
      <c r="CT260">
        <v>1</v>
      </c>
      <c r="CU260">
        <v>0</v>
      </c>
      <c r="CV260">
        <v>1</v>
      </c>
      <c r="CW260">
        <v>1</v>
      </c>
      <c r="CX260">
        <v>0</v>
      </c>
      <c r="CY260">
        <v>0</v>
      </c>
      <c r="CZ260">
        <v>1</v>
      </c>
      <c r="DA260" t="s">
        <v>107</v>
      </c>
      <c r="DB260" t="s">
        <v>107</v>
      </c>
      <c r="DC260">
        <v>133</v>
      </c>
      <c r="DD260">
        <v>-0.04</v>
      </c>
      <c r="DE260">
        <v>-0.189</v>
      </c>
      <c r="DF260" t="s">
        <v>97</v>
      </c>
      <c r="DG260" t="s">
        <v>97</v>
      </c>
    </row>
    <row r="261" spans="1:111" x14ac:dyDescent="0.2">
      <c r="A261">
        <v>2025</v>
      </c>
      <c r="B261" s="1">
        <v>45943</v>
      </c>
      <c r="C261" t="s">
        <v>95</v>
      </c>
      <c r="D261">
        <v>605483</v>
      </c>
      <c r="E261">
        <v>686555</v>
      </c>
      <c r="F261">
        <v>0</v>
      </c>
      <c r="G261">
        <v>0</v>
      </c>
      <c r="H261">
        <v>6</v>
      </c>
      <c r="I261" t="s">
        <v>163</v>
      </c>
      <c r="J261">
        <v>43</v>
      </c>
      <c r="K261">
        <v>1</v>
      </c>
      <c r="L261" t="s">
        <v>97</v>
      </c>
      <c r="M261" t="s">
        <v>98</v>
      </c>
      <c r="N261" t="s">
        <v>99</v>
      </c>
      <c r="O261">
        <f t="shared" si="64"/>
        <v>0</v>
      </c>
      <c r="P261">
        <f t="shared" si="65"/>
        <v>0</v>
      </c>
      <c r="Q261">
        <f t="shared" si="66"/>
        <v>1</v>
      </c>
      <c r="R261">
        <f t="shared" si="67"/>
        <v>0</v>
      </c>
      <c r="S261">
        <f t="shared" si="68"/>
        <v>0</v>
      </c>
      <c r="T261">
        <f t="shared" si="69"/>
        <v>0</v>
      </c>
      <c r="U261">
        <f t="shared" si="70"/>
        <v>0</v>
      </c>
      <c r="V261">
        <f t="shared" si="71"/>
        <v>0</v>
      </c>
      <c r="W261">
        <f t="shared" si="72"/>
        <v>0</v>
      </c>
      <c r="X261">
        <f t="shared" si="73"/>
        <v>0</v>
      </c>
      <c r="Y261">
        <f t="shared" si="74"/>
        <v>0</v>
      </c>
      <c r="Z261">
        <f t="shared" si="75"/>
        <v>0</v>
      </c>
      <c r="AA261">
        <f t="shared" si="76"/>
        <v>0</v>
      </c>
      <c r="AB261">
        <f t="shared" si="77"/>
        <v>0</v>
      </c>
      <c r="AC261">
        <f t="shared" si="78"/>
        <v>0</v>
      </c>
      <c r="AD261">
        <f t="shared" si="79"/>
        <v>0</v>
      </c>
      <c r="AE261">
        <v>95.8</v>
      </c>
      <c r="AF261">
        <v>1.85</v>
      </c>
      <c r="AG261">
        <v>6.51</v>
      </c>
      <c r="AH261" t="s">
        <v>108</v>
      </c>
      <c r="AI261" t="s">
        <v>97</v>
      </c>
      <c r="AJ261" t="s">
        <v>97</v>
      </c>
      <c r="AK261" t="s">
        <v>97</v>
      </c>
      <c r="AL261" t="s">
        <v>97</v>
      </c>
      <c r="AM261">
        <v>1</v>
      </c>
      <c r="AN261" t="s">
        <v>109</v>
      </c>
      <c r="AO261" t="s">
        <v>103</v>
      </c>
      <c r="AP261" t="s">
        <v>122</v>
      </c>
      <c r="AQ261" t="s">
        <v>103</v>
      </c>
      <c r="AR261" t="s">
        <v>190</v>
      </c>
      <c r="AS261" t="s">
        <v>104</v>
      </c>
      <c r="AT261" t="s">
        <v>110</v>
      </c>
      <c r="AU261" t="s">
        <v>97</v>
      </c>
      <c r="AV261" t="s">
        <v>97</v>
      </c>
      <c r="AW261">
        <v>0.54</v>
      </c>
      <c r="AX261">
        <v>1.91</v>
      </c>
      <c r="AY261">
        <v>-0.36</v>
      </c>
      <c r="AZ261">
        <v>3</v>
      </c>
      <c r="BA261" t="s">
        <v>97</v>
      </c>
      <c r="BB261" t="s">
        <v>97</v>
      </c>
      <c r="BC261" t="s">
        <v>97</v>
      </c>
      <c r="BD261">
        <v>1</v>
      </c>
      <c r="BE261" t="s">
        <v>97</v>
      </c>
      <c r="BF261" t="s">
        <v>97</v>
      </c>
      <c r="BG261" t="s">
        <v>97</v>
      </c>
      <c r="BH261" t="s">
        <v>97</v>
      </c>
      <c r="BI261">
        <v>669257</v>
      </c>
      <c r="BJ261">
        <v>669257</v>
      </c>
      <c r="BK261" t="s">
        <v>97</v>
      </c>
      <c r="BL261" t="s">
        <v>97</v>
      </c>
      <c r="BM261">
        <v>-7.1030262510000002</v>
      </c>
      <c r="BN261">
        <v>-139.0459405</v>
      </c>
      <c r="BO261">
        <v>-7.89675978</v>
      </c>
      <c r="BP261">
        <v>8.8097231800000007</v>
      </c>
      <c r="BQ261">
        <v>36.943161570000001</v>
      </c>
      <c r="BR261">
        <v>-5.900708914</v>
      </c>
      <c r="BS261">
        <v>3.35</v>
      </c>
      <c r="BT261">
        <v>1.56</v>
      </c>
      <c r="BU261" t="s">
        <v>97</v>
      </c>
      <c r="BV261" t="s">
        <v>97</v>
      </c>
      <c r="BW261" t="s">
        <v>97</v>
      </c>
      <c r="BX261">
        <v>95.5</v>
      </c>
      <c r="BY261">
        <v>2558</v>
      </c>
      <c r="BZ261">
        <v>6.7</v>
      </c>
      <c r="CA261">
        <v>813036</v>
      </c>
      <c r="CB261">
        <v>669257</v>
      </c>
      <c r="CC261">
        <v>669257</v>
      </c>
      <c r="CD261">
        <v>518692</v>
      </c>
      <c r="CE261">
        <v>669242</v>
      </c>
      <c r="CF261">
        <v>571970</v>
      </c>
      <c r="CG261">
        <v>605141</v>
      </c>
      <c r="CH261">
        <v>571771</v>
      </c>
      <c r="CI261">
        <v>681624</v>
      </c>
      <c r="CJ261">
        <v>606192</v>
      </c>
      <c r="CK261">
        <v>53.8</v>
      </c>
      <c r="CL261" t="s">
        <v>97</v>
      </c>
      <c r="CM261" t="s">
        <v>97</v>
      </c>
      <c r="CN261" t="s">
        <v>97</v>
      </c>
      <c r="CO261" t="s">
        <v>97</v>
      </c>
      <c r="CP261" t="s">
        <v>97</v>
      </c>
      <c r="CQ261" t="s">
        <v>97</v>
      </c>
      <c r="CR261" t="s">
        <v>97</v>
      </c>
      <c r="CS261">
        <v>0</v>
      </c>
      <c r="CT261">
        <v>1</v>
      </c>
      <c r="CU261">
        <v>0</v>
      </c>
      <c r="CV261">
        <v>1</v>
      </c>
      <c r="CW261">
        <v>1</v>
      </c>
      <c r="CX261">
        <v>0</v>
      </c>
      <c r="CY261">
        <v>0</v>
      </c>
      <c r="CZ261">
        <v>1</v>
      </c>
      <c r="DA261" t="s">
        <v>107</v>
      </c>
      <c r="DB261" t="s">
        <v>107</v>
      </c>
      <c r="DC261">
        <v>161</v>
      </c>
      <c r="DD261">
        <v>0</v>
      </c>
      <c r="DE261">
        <v>-3.9E-2</v>
      </c>
      <c r="DF261" t="s">
        <v>97</v>
      </c>
      <c r="DG261" t="s">
        <v>97</v>
      </c>
    </row>
    <row r="262" spans="1:111" x14ac:dyDescent="0.2">
      <c r="A262">
        <v>2025</v>
      </c>
      <c r="B262" s="1">
        <v>45943</v>
      </c>
      <c r="C262" t="s">
        <v>95</v>
      </c>
      <c r="D262">
        <v>605483</v>
      </c>
      <c r="E262">
        <v>686555</v>
      </c>
      <c r="F262">
        <v>0</v>
      </c>
      <c r="G262">
        <v>1</v>
      </c>
      <c r="H262">
        <v>6</v>
      </c>
      <c r="I262" t="s">
        <v>163</v>
      </c>
      <c r="J262">
        <v>43</v>
      </c>
      <c r="K262">
        <v>2</v>
      </c>
      <c r="L262" t="s">
        <v>97</v>
      </c>
      <c r="M262" t="s">
        <v>132</v>
      </c>
      <c r="N262" t="s">
        <v>133</v>
      </c>
      <c r="O262">
        <f t="shared" si="64"/>
        <v>0</v>
      </c>
      <c r="P262">
        <f t="shared" si="65"/>
        <v>0</v>
      </c>
      <c r="Q262">
        <f t="shared" si="66"/>
        <v>0</v>
      </c>
      <c r="R262">
        <f t="shared" si="67"/>
        <v>0</v>
      </c>
      <c r="S262">
        <f t="shared" si="68"/>
        <v>0</v>
      </c>
      <c r="T262">
        <f t="shared" si="69"/>
        <v>0</v>
      </c>
      <c r="U262">
        <f t="shared" si="70"/>
        <v>0</v>
      </c>
      <c r="V262">
        <f t="shared" si="71"/>
        <v>0</v>
      </c>
      <c r="W262">
        <f t="shared" si="72"/>
        <v>0</v>
      </c>
      <c r="X262">
        <f t="shared" si="73"/>
        <v>0</v>
      </c>
      <c r="Y262">
        <f t="shared" si="74"/>
        <v>1</v>
      </c>
      <c r="Z262">
        <f t="shared" si="75"/>
        <v>0</v>
      </c>
      <c r="AA262">
        <f t="shared" si="76"/>
        <v>0</v>
      </c>
      <c r="AB262">
        <f t="shared" si="77"/>
        <v>0</v>
      </c>
      <c r="AC262">
        <f t="shared" si="78"/>
        <v>0</v>
      </c>
      <c r="AD262">
        <f t="shared" si="79"/>
        <v>0</v>
      </c>
      <c r="AE262">
        <v>83.5</v>
      </c>
      <c r="AF262">
        <v>2.2999999999999998</v>
      </c>
      <c r="AG262">
        <v>6.24</v>
      </c>
      <c r="AH262" t="s">
        <v>113</v>
      </c>
      <c r="AI262" t="s">
        <v>97</v>
      </c>
      <c r="AJ262" t="s">
        <v>97</v>
      </c>
      <c r="AK262" t="s">
        <v>97</v>
      </c>
      <c r="AL262" t="s">
        <v>97</v>
      </c>
      <c r="AM262">
        <v>14</v>
      </c>
      <c r="AN262" t="s">
        <v>114</v>
      </c>
      <c r="AO262" t="s">
        <v>103</v>
      </c>
      <c r="AP262" t="s">
        <v>122</v>
      </c>
      <c r="AQ262" t="s">
        <v>103</v>
      </c>
      <c r="AR262" t="s">
        <v>190</v>
      </c>
      <c r="AS262" t="s">
        <v>104</v>
      </c>
      <c r="AT262" t="s">
        <v>110</v>
      </c>
      <c r="AU262" t="s">
        <v>97</v>
      </c>
      <c r="AV262" t="s">
        <v>97</v>
      </c>
      <c r="AW262">
        <v>1.41</v>
      </c>
      <c r="AX262">
        <v>0.65</v>
      </c>
      <c r="AY262">
        <v>0.56000000000000005</v>
      </c>
      <c r="AZ262">
        <v>1.21</v>
      </c>
      <c r="BA262" t="s">
        <v>97</v>
      </c>
      <c r="BB262" t="s">
        <v>97</v>
      </c>
      <c r="BC262" t="s">
        <v>97</v>
      </c>
      <c r="BD262">
        <v>1</v>
      </c>
      <c r="BE262" t="s">
        <v>97</v>
      </c>
      <c r="BF262" t="s">
        <v>97</v>
      </c>
      <c r="BG262" t="s">
        <v>97</v>
      </c>
      <c r="BH262" t="s">
        <v>97</v>
      </c>
      <c r="BI262">
        <v>669257</v>
      </c>
      <c r="BJ262">
        <v>669257</v>
      </c>
      <c r="BK262" t="s">
        <v>97</v>
      </c>
      <c r="BL262" t="s">
        <v>97</v>
      </c>
      <c r="BM262">
        <v>-6.8189847879999999</v>
      </c>
      <c r="BN262">
        <v>-121.2415022</v>
      </c>
      <c r="BO262">
        <v>-6.4004755690000001</v>
      </c>
      <c r="BP262">
        <v>15.22080201</v>
      </c>
      <c r="BQ262">
        <v>25.739429220000002</v>
      </c>
      <c r="BR262">
        <v>-24.644242739999999</v>
      </c>
      <c r="BS262">
        <v>3.28</v>
      </c>
      <c r="BT262">
        <v>1.56</v>
      </c>
      <c r="BU262" t="s">
        <v>97</v>
      </c>
      <c r="BV262" t="s">
        <v>97</v>
      </c>
      <c r="BW262" t="s">
        <v>97</v>
      </c>
      <c r="BX262">
        <v>83.7</v>
      </c>
      <c r="BY262">
        <v>1946</v>
      </c>
      <c r="BZ262">
        <v>6.8</v>
      </c>
      <c r="CA262">
        <v>813036</v>
      </c>
      <c r="CB262">
        <v>669257</v>
      </c>
      <c r="CC262">
        <v>669257</v>
      </c>
      <c r="CD262">
        <v>518692</v>
      </c>
      <c r="CE262">
        <v>669242</v>
      </c>
      <c r="CF262">
        <v>571970</v>
      </c>
      <c r="CG262">
        <v>605141</v>
      </c>
      <c r="CH262">
        <v>571771</v>
      </c>
      <c r="CI262">
        <v>681624</v>
      </c>
      <c r="CJ262">
        <v>606192</v>
      </c>
      <c r="CK262">
        <v>53.74</v>
      </c>
      <c r="CL262" t="s">
        <v>97</v>
      </c>
      <c r="CM262" t="s">
        <v>97</v>
      </c>
      <c r="CN262" t="s">
        <v>97</v>
      </c>
      <c r="CO262" t="s">
        <v>97</v>
      </c>
      <c r="CP262" t="s">
        <v>97</v>
      </c>
      <c r="CQ262" t="s">
        <v>97</v>
      </c>
      <c r="CR262" t="s">
        <v>97</v>
      </c>
      <c r="CS262">
        <v>0</v>
      </c>
      <c r="CT262">
        <v>1</v>
      </c>
      <c r="CU262">
        <v>0</v>
      </c>
      <c r="CV262">
        <v>1</v>
      </c>
      <c r="CW262">
        <v>1</v>
      </c>
      <c r="CX262">
        <v>0</v>
      </c>
      <c r="CY262">
        <v>0</v>
      </c>
      <c r="CZ262">
        <v>1</v>
      </c>
      <c r="DA262" t="s">
        <v>107</v>
      </c>
      <c r="DB262" t="s">
        <v>107</v>
      </c>
      <c r="DC262">
        <v>138</v>
      </c>
      <c r="DD262">
        <v>0</v>
      </c>
      <c r="DE262">
        <v>-5.1999999999999998E-2</v>
      </c>
      <c r="DF262">
        <v>77.3</v>
      </c>
      <c r="DG262">
        <v>7.9</v>
      </c>
    </row>
    <row r="263" spans="1:111" x14ac:dyDescent="0.2">
      <c r="A263">
        <v>2025</v>
      </c>
      <c r="B263" s="1">
        <v>45943</v>
      </c>
      <c r="C263" t="s">
        <v>95</v>
      </c>
      <c r="D263">
        <v>605483</v>
      </c>
      <c r="E263">
        <v>686555</v>
      </c>
      <c r="F263">
        <v>0</v>
      </c>
      <c r="G263">
        <v>2</v>
      </c>
      <c r="H263">
        <v>6</v>
      </c>
      <c r="I263" t="s">
        <v>163</v>
      </c>
      <c r="J263">
        <v>43</v>
      </c>
      <c r="K263">
        <v>3</v>
      </c>
      <c r="L263" t="s">
        <v>116</v>
      </c>
      <c r="M263" t="s">
        <v>111</v>
      </c>
      <c r="N263" t="s">
        <v>112</v>
      </c>
      <c r="O263">
        <f t="shared" si="64"/>
        <v>0</v>
      </c>
      <c r="P263">
        <f t="shared" si="65"/>
        <v>0</v>
      </c>
      <c r="Q263">
        <f t="shared" si="66"/>
        <v>0</v>
      </c>
      <c r="R263">
        <f t="shared" si="67"/>
        <v>0</v>
      </c>
      <c r="S263">
        <f t="shared" si="68"/>
        <v>0</v>
      </c>
      <c r="T263">
        <f t="shared" si="69"/>
        <v>0</v>
      </c>
      <c r="U263">
        <f t="shared" si="70"/>
        <v>1</v>
      </c>
      <c r="V263">
        <f t="shared" si="71"/>
        <v>0</v>
      </c>
      <c r="W263">
        <f t="shared" si="72"/>
        <v>0</v>
      </c>
      <c r="X263">
        <f t="shared" si="73"/>
        <v>0</v>
      </c>
      <c r="Y263">
        <f t="shared" si="74"/>
        <v>0</v>
      </c>
      <c r="Z263">
        <f t="shared" si="75"/>
        <v>0</v>
      </c>
      <c r="AA263">
        <f t="shared" si="76"/>
        <v>0</v>
      </c>
      <c r="AB263">
        <f t="shared" si="77"/>
        <v>0</v>
      </c>
      <c r="AC263">
        <f t="shared" si="78"/>
        <v>0</v>
      </c>
      <c r="AD263">
        <f t="shared" si="79"/>
        <v>0</v>
      </c>
      <c r="AE263">
        <v>82.6</v>
      </c>
      <c r="AF263">
        <v>1.96</v>
      </c>
      <c r="AG263">
        <v>6.39</v>
      </c>
      <c r="AH263" t="s">
        <v>117</v>
      </c>
      <c r="AI263" t="s">
        <v>97</v>
      </c>
      <c r="AJ263" t="s">
        <v>97</v>
      </c>
      <c r="AK263" t="s">
        <v>97</v>
      </c>
      <c r="AL263" t="s">
        <v>97</v>
      </c>
      <c r="AM263">
        <v>13</v>
      </c>
      <c r="AN263" t="s">
        <v>198</v>
      </c>
      <c r="AO263" t="s">
        <v>103</v>
      </c>
      <c r="AP263" t="s">
        <v>122</v>
      </c>
      <c r="AQ263" t="s">
        <v>103</v>
      </c>
      <c r="AR263" t="s">
        <v>190</v>
      </c>
      <c r="AS263" t="s">
        <v>104</v>
      </c>
      <c r="AT263" t="s">
        <v>110</v>
      </c>
      <c r="AU263">
        <v>2</v>
      </c>
      <c r="AV263" t="s">
        <v>97</v>
      </c>
      <c r="AW263">
        <v>-0.95</v>
      </c>
      <c r="AX263">
        <v>-0.59</v>
      </c>
      <c r="AY263">
        <v>-1.17</v>
      </c>
      <c r="AZ263">
        <v>-0.59</v>
      </c>
      <c r="BA263" t="s">
        <v>97</v>
      </c>
      <c r="BB263" t="s">
        <v>97</v>
      </c>
      <c r="BC263" t="s">
        <v>97</v>
      </c>
      <c r="BD263">
        <v>1</v>
      </c>
      <c r="BE263" t="s">
        <v>97</v>
      </c>
      <c r="BF263" t="s">
        <v>97</v>
      </c>
      <c r="BG263" t="s">
        <v>97</v>
      </c>
      <c r="BH263" t="s">
        <v>97</v>
      </c>
      <c r="BI263">
        <v>669257</v>
      </c>
      <c r="BJ263">
        <v>669257</v>
      </c>
      <c r="BK263" t="s">
        <v>97</v>
      </c>
      <c r="BL263" t="s">
        <v>97</v>
      </c>
      <c r="BM263">
        <v>-5.3249242160000003</v>
      </c>
      <c r="BN263">
        <v>-119.9805289</v>
      </c>
      <c r="BO263">
        <v>-8.172892719</v>
      </c>
      <c r="BP263">
        <v>-7.9019254109999997</v>
      </c>
      <c r="BQ263">
        <v>26.979472040000001</v>
      </c>
      <c r="BR263">
        <v>-36.148893549999997</v>
      </c>
      <c r="BS263">
        <v>3.28</v>
      </c>
      <c r="BT263">
        <v>1.56</v>
      </c>
      <c r="BU263" t="s">
        <v>97</v>
      </c>
      <c r="BV263" t="s">
        <v>97</v>
      </c>
      <c r="BW263" t="s">
        <v>97</v>
      </c>
      <c r="BX263">
        <v>82.7</v>
      </c>
      <c r="BY263">
        <v>2621</v>
      </c>
      <c r="BZ263">
        <v>6.8</v>
      </c>
      <c r="CA263">
        <v>813036</v>
      </c>
      <c r="CB263">
        <v>669257</v>
      </c>
      <c r="CC263">
        <v>669257</v>
      </c>
      <c r="CD263">
        <v>518692</v>
      </c>
      <c r="CE263">
        <v>669242</v>
      </c>
      <c r="CF263">
        <v>571970</v>
      </c>
      <c r="CG263">
        <v>605141</v>
      </c>
      <c r="CH263">
        <v>571771</v>
      </c>
      <c r="CI263">
        <v>681624</v>
      </c>
      <c r="CJ263">
        <v>606192</v>
      </c>
      <c r="CK263">
        <v>53.68</v>
      </c>
      <c r="CL263" t="s">
        <v>97</v>
      </c>
      <c r="CM263">
        <v>0</v>
      </c>
      <c r="CN263">
        <v>0</v>
      </c>
      <c r="CO263">
        <v>1</v>
      </c>
      <c r="CP263">
        <v>0</v>
      </c>
      <c r="CQ263">
        <v>0</v>
      </c>
      <c r="CR263" t="s">
        <v>97</v>
      </c>
      <c r="CS263">
        <v>0</v>
      </c>
      <c r="CT263">
        <v>1</v>
      </c>
      <c r="CU263">
        <v>0</v>
      </c>
      <c r="CV263">
        <v>1</v>
      </c>
      <c r="CW263">
        <v>1</v>
      </c>
      <c r="CX263">
        <v>0</v>
      </c>
      <c r="CY263">
        <v>0</v>
      </c>
      <c r="CZ263">
        <v>1</v>
      </c>
      <c r="DA263" t="s">
        <v>107</v>
      </c>
      <c r="DB263" t="s">
        <v>107</v>
      </c>
      <c r="DC263">
        <v>327</v>
      </c>
      <c r="DD263">
        <v>-2.8000000000000001E-2</v>
      </c>
      <c r="DE263">
        <v>-0.16300000000000001</v>
      </c>
      <c r="DF263">
        <v>21.3</v>
      </c>
      <c r="DG263">
        <v>6.4</v>
      </c>
    </row>
    <row r="264" spans="1:111" x14ac:dyDescent="0.2">
      <c r="A264">
        <v>2025</v>
      </c>
      <c r="B264" s="1">
        <v>45943</v>
      </c>
      <c r="C264" t="s">
        <v>95</v>
      </c>
      <c r="D264">
        <v>605483</v>
      </c>
      <c r="E264">
        <v>687401</v>
      </c>
      <c r="F264">
        <v>0</v>
      </c>
      <c r="G264">
        <v>0</v>
      </c>
      <c r="H264">
        <v>6</v>
      </c>
      <c r="I264" t="s">
        <v>163</v>
      </c>
      <c r="J264">
        <v>44</v>
      </c>
      <c r="K264">
        <v>1</v>
      </c>
      <c r="L264" t="s">
        <v>97</v>
      </c>
      <c r="M264" t="s">
        <v>132</v>
      </c>
      <c r="N264" t="s">
        <v>133</v>
      </c>
      <c r="O264">
        <f t="shared" si="64"/>
        <v>0</v>
      </c>
      <c r="P264">
        <f t="shared" si="65"/>
        <v>0</v>
      </c>
      <c r="Q264">
        <f t="shared" si="66"/>
        <v>0</v>
      </c>
      <c r="R264">
        <f t="shared" si="67"/>
        <v>0</v>
      </c>
      <c r="S264">
        <f t="shared" si="68"/>
        <v>0</v>
      </c>
      <c r="T264">
        <f t="shared" si="69"/>
        <v>0</v>
      </c>
      <c r="U264">
        <f t="shared" si="70"/>
        <v>0</v>
      </c>
      <c r="V264">
        <f t="shared" si="71"/>
        <v>0</v>
      </c>
      <c r="W264">
        <f t="shared" si="72"/>
        <v>1</v>
      </c>
      <c r="X264">
        <f t="shared" si="73"/>
        <v>0</v>
      </c>
      <c r="Y264">
        <f t="shared" si="74"/>
        <v>0</v>
      </c>
      <c r="Z264">
        <f t="shared" si="75"/>
        <v>0</v>
      </c>
      <c r="AA264">
        <f t="shared" si="76"/>
        <v>0</v>
      </c>
      <c r="AB264">
        <f t="shared" si="77"/>
        <v>0</v>
      </c>
      <c r="AC264">
        <f t="shared" si="78"/>
        <v>0</v>
      </c>
      <c r="AD264">
        <f t="shared" si="79"/>
        <v>0</v>
      </c>
      <c r="AE264">
        <v>87.1</v>
      </c>
      <c r="AF264">
        <v>2.2000000000000002</v>
      </c>
      <c r="AG264">
        <v>6.31</v>
      </c>
      <c r="AH264" t="s">
        <v>113</v>
      </c>
      <c r="AI264" t="s">
        <v>97</v>
      </c>
      <c r="AJ264" t="s">
        <v>97</v>
      </c>
      <c r="AK264" t="s">
        <v>97</v>
      </c>
      <c r="AL264" t="s">
        <v>97</v>
      </c>
      <c r="AM264">
        <v>14</v>
      </c>
      <c r="AN264" t="s">
        <v>114</v>
      </c>
      <c r="AO264" t="s">
        <v>103</v>
      </c>
      <c r="AP264" t="s">
        <v>122</v>
      </c>
      <c r="AQ264" t="s">
        <v>103</v>
      </c>
      <c r="AR264" t="s">
        <v>190</v>
      </c>
      <c r="AS264" t="s">
        <v>104</v>
      </c>
      <c r="AT264" t="s">
        <v>110</v>
      </c>
      <c r="AU264" t="s">
        <v>97</v>
      </c>
      <c r="AV264" t="s">
        <v>97</v>
      </c>
      <c r="AW264">
        <v>1.22</v>
      </c>
      <c r="AX264">
        <v>0.74</v>
      </c>
      <c r="AY264">
        <v>0.86</v>
      </c>
      <c r="AZ264">
        <v>2.13</v>
      </c>
      <c r="BA264" t="s">
        <v>97</v>
      </c>
      <c r="BB264" t="s">
        <v>97</v>
      </c>
      <c r="BC264" t="s">
        <v>97</v>
      </c>
      <c r="BD264">
        <v>2</v>
      </c>
      <c r="BE264" t="s">
        <v>97</v>
      </c>
      <c r="BF264" t="s">
        <v>97</v>
      </c>
      <c r="BG264" t="s">
        <v>97</v>
      </c>
      <c r="BH264" t="s">
        <v>97</v>
      </c>
      <c r="BI264">
        <v>669257</v>
      </c>
      <c r="BJ264">
        <v>669257</v>
      </c>
      <c r="BK264" t="s">
        <v>97</v>
      </c>
      <c r="BL264" t="s">
        <v>97</v>
      </c>
      <c r="BM264">
        <v>-5.7901803989999996</v>
      </c>
      <c r="BN264">
        <v>-126.67927659999999</v>
      </c>
      <c r="BO264">
        <v>-5.3807825740000004</v>
      </c>
      <c r="BP264">
        <v>14.330123950000001</v>
      </c>
      <c r="BQ264">
        <v>27.52432232</v>
      </c>
      <c r="BR264">
        <v>-23.293107079999999</v>
      </c>
      <c r="BS264">
        <v>3.33</v>
      </c>
      <c r="BT264">
        <v>1.53</v>
      </c>
      <c r="BU264" t="s">
        <v>97</v>
      </c>
      <c r="BV264" t="s">
        <v>97</v>
      </c>
      <c r="BW264" t="s">
        <v>97</v>
      </c>
      <c r="BX264">
        <v>87.6</v>
      </c>
      <c r="BY264">
        <v>1972</v>
      </c>
      <c r="BZ264">
        <v>6.8</v>
      </c>
      <c r="CA264">
        <v>813036</v>
      </c>
      <c r="CB264">
        <v>669257</v>
      </c>
      <c r="CC264">
        <v>669257</v>
      </c>
      <c r="CD264">
        <v>518692</v>
      </c>
      <c r="CE264">
        <v>669242</v>
      </c>
      <c r="CF264">
        <v>571970</v>
      </c>
      <c r="CG264">
        <v>605141</v>
      </c>
      <c r="CH264">
        <v>571771</v>
      </c>
      <c r="CI264">
        <v>681624</v>
      </c>
      <c r="CJ264">
        <v>606192</v>
      </c>
      <c r="CK264">
        <v>53.73</v>
      </c>
      <c r="CL264" t="s">
        <v>97</v>
      </c>
      <c r="CM264" t="s">
        <v>97</v>
      </c>
      <c r="CN264" t="s">
        <v>97</v>
      </c>
      <c r="CO264" t="s">
        <v>97</v>
      </c>
      <c r="CP264" t="s">
        <v>97</v>
      </c>
      <c r="CQ264" t="s">
        <v>97</v>
      </c>
      <c r="CR264" t="s">
        <v>97</v>
      </c>
      <c r="CS264">
        <v>0</v>
      </c>
      <c r="CT264">
        <v>1</v>
      </c>
      <c r="CU264">
        <v>0</v>
      </c>
      <c r="CV264">
        <v>1</v>
      </c>
      <c r="CW264">
        <v>1</v>
      </c>
      <c r="CX264">
        <v>0</v>
      </c>
      <c r="CY264">
        <v>0</v>
      </c>
      <c r="CZ264">
        <v>1</v>
      </c>
      <c r="DA264" t="s">
        <v>107</v>
      </c>
      <c r="DB264" t="s">
        <v>107</v>
      </c>
      <c r="DC264">
        <v>130</v>
      </c>
      <c r="DD264">
        <v>0</v>
      </c>
      <c r="DE264">
        <v>-4.2999999999999997E-2</v>
      </c>
      <c r="DF264">
        <v>73.900000000000006</v>
      </c>
      <c r="DG264">
        <v>8.4</v>
      </c>
    </row>
    <row r="265" spans="1:111" x14ac:dyDescent="0.2">
      <c r="A265">
        <v>2025</v>
      </c>
      <c r="B265" s="1">
        <v>45943</v>
      </c>
      <c r="C265" t="s">
        <v>95</v>
      </c>
      <c r="D265">
        <v>605483</v>
      </c>
      <c r="E265">
        <v>687401</v>
      </c>
      <c r="F265">
        <v>0</v>
      </c>
      <c r="G265">
        <v>1</v>
      </c>
      <c r="H265">
        <v>6</v>
      </c>
      <c r="I265" t="s">
        <v>163</v>
      </c>
      <c r="J265">
        <v>44</v>
      </c>
      <c r="K265">
        <v>2</v>
      </c>
      <c r="L265" t="s">
        <v>97</v>
      </c>
      <c r="M265" t="s">
        <v>132</v>
      </c>
      <c r="N265" t="s">
        <v>133</v>
      </c>
      <c r="O265">
        <f t="shared" si="64"/>
        <v>0</v>
      </c>
      <c r="P265">
        <f t="shared" si="65"/>
        <v>0</v>
      </c>
      <c r="Q265">
        <f t="shared" si="66"/>
        <v>0</v>
      </c>
      <c r="R265">
        <f t="shared" si="67"/>
        <v>0</v>
      </c>
      <c r="S265">
        <f t="shared" si="68"/>
        <v>0</v>
      </c>
      <c r="T265">
        <f t="shared" si="69"/>
        <v>0</v>
      </c>
      <c r="U265">
        <f t="shared" si="70"/>
        <v>0</v>
      </c>
      <c r="V265">
        <f t="shared" si="71"/>
        <v>0</v>
      </c>
      <c r="W265">
        <f t="shared" si="72"/>
        <v>1</v>
      </c>
      <c r="X265">
        <f t="shared" si="73"/>
        <v>0</v>
      </c>
      <c r="Y265">
        <f t="shared" si="74"/>
        <v>0</v>
      </c>
      <c r="Z265">
        <f t="shared" si="75"/>
        <v>0</v>
      </c>
      <c r="AA265">
        <f t="shared" si="76"/>
        <v>0</v>
      </c>
      <c r="AB265">
        <f t="shared" si="77"/>
        <v>0</v>
      </c>
      <c r="AC265">
        <f t="shared" si="78"/>
        <v>0</v>
      </c>
      <c r="AD265">
        <f t="shared" si="79"/>
        <v>0</v>
      </c>
      <c r="AE265">
        <v>85.2</v>
      </c>
      <c r="AF265">
        <v>2.2999999999999998</v>
      </c>
      <c r="AG265">
        <v>6.2</v>
      </c>
      <c r="AH265" t="s">
        <v>100</v>
      </c>
      <c r="AI265" t="s">
        <v>97</v>
      </c>
      <c r="AJ265" t="s">
        <v>97</v>
      </c>
      <c r="AK265" t="s">
        <v>97</v>
      </c>
      <c r="AL265" t="s">
        <v>97</v>
      </c>
      <c r="AM265">
        <v>14</v>
      </c>
      <c r="AN265" t="s">
        <v>101</v>
      </c>
      <c r="AO265" t="s">
        <v>103</v>
      </c>
      <c r="AP265" t="s">
        <v>122</v>
      </c>
      <c r="AQ265" t="s">
        <v>103</v>
      </c>
      <c r="AR265" t="s">
        <v>190</v>
      </c>
      <c r="AS265" t="s">
        <v>104</v>
      </c>
      <c r="AT265" t="s">
        <v>106</v>
      </c>
      <c r="AU265" t="s">
        <v>97</v>
      </c>
      <c r="AV265" t="s">
        <v>97</v>
      </c>
      <c r="AW265">
        <v>1.33</v>
      </c>
      <c r="AX265">
        <v>0.66</v>
      </c>
      <c r="AY265">
        <v>0.11</v>
      </c>
      <c r="AZ265">
        <v>0.32</v>
      </c>
      <c r="BA265" t="s">
        <v>97</v>
      </c>
      <c r="BB265" t="s">
        <v>97</v>
      </c>
      <c r="BC265" t="s">
        <v>97</v>
      </c>
      <c r="BD265">
        <v>2</v>
      </c>
      <c r="BE265" t="s">
        <v>97</v>
      </c>
      <c r="BF265" t="s">
        <v>97</v>
      </c>
      <c r="BG265" t="s">
        <v>97</v>
      </c>
      <c r="BH265" t="s">
        <v>97</v>
      </c>
      <c r="BI265">
        <v>669257</v>
      </c>
      <c r="BJ265">
        <v>669257</v>
      </c>
      <c r="BK265" t="s">
        <v>97</v>
      </c>
      <c r="BL265" t="s">
        <v>97</v>
      </c>
      <c r="BM265">
        <v>-7.8834840990000004</v>
      </c>
      <c r="BN265">
        <v>-123.53527920000001</v>
      </c>
      <c r="BO265">
        <v>-8.7770521160000001</v>
      </c>
      <c r="BP265">
        <v>15.2965602</v>
      </c>
      <c r="BQ265">
        <v>27.39609248</v>
      </c>
      <c r="BR265">
        <v>-23.71391903</v>
      </c>
      <c r="BS265">
        <v>3.27</v>
      </c>
      <c r="BT265">
        <v>1.54</v>
      </c>
      <c r="BU265" t="s">
        <v>97</v>
      </c>
      <c r="BV265" t="s">
        <v>97</v>
      </c>
      <c r="BW265" t="s">
        <v>97</v>
      </c>
      <c r="BX265">
        <v>85.4</v>
      </c>
      <c r="BY265">
        <v>2054</v>
      </c>
      <c r="BZ265">
        <v>6.9</v>
      </c>
      <c r="CA265">
        <v>813036</v>
      </c>
      <c r="CB265">
        <v>669257</v>
      </c>
      <c r="CC265">
        <v>669257</v>
      </c>
      <c r="CD265">
        <v>518692</v>
      </c>
      <c r="CE265">
        <v>669242</v>
      </c>
      <c r="CF265">
        <v>571970</v>
      </c>
      <c r="CG265">
        <v>605141</v>
      </c>
      <c r="CH265">
        <v>571771</v>
      </c>
      <c r="CI265">
        <v>681624</v>
      </c>
      <c r="CJ265">
        <v>606192</v>
      </c>
      <c r="CK265">
        <v>53.64</v>
      </c>
      <c r="CL265" t="s">
        <v>97</v>
      </c>
      <c r="CM265" t="s">
        <v>97</v>
      </c>
      <c r="CN265" t="s">
        <v>97</v>
      </c>
      <c r="CO265" t="s">
        <v>97</v>
      </c>
      <c r="CP265" t="s">
        <v>97</v>
      </c>
      <c r="CQ265" t="s">
        <v>97</v>
      </c>
      <c r="CR265" t="s">
        <v>97</v>
      </c>
      <c r="CS265">
        <v>0</v>
      </c>
      <c r="CT265">
        <v>1</v>
      </c>
      <c r="CU265">
        <v>0</v>
      </c>
      <c r="CV265">
        <v>1</v>
      </c>
      <c r="CW265">
        <v>1</v>
      </c>
      <c r="CX265">
        <v>0</v>
      </c>
      <c r="CY265">
        <v>0</v>
      </c>
      <c r="CZ265">
        <v>1</v>
      </c>
      <c r="DA265" t="s">
        <v>107</v>
      </c>
      <c r="DB265" t="s">
        <v>107</v>
      </c>
      <c r="DC265">
        <v>126</v>
      </c>
      <c r="DD265">
        <v>0</v>
      </c>
      <c r="DE265">
        <v>2.7E-2</v>
      </c>
      <c r="DF265" t="s">
        <v>97</v>
      </c>
      <c r="DG265" t="s">
        <v>97</v>
      </c>
    </row>
    <row r="266" spans="1:111" x14ac:dyDescent="0.2">
      <c r="A266">
        <v>2025</v>
      </c>
      <c r="B266" s="1">
        <v>45943</v>
      </c>
      <c r="C266" t="s">
        <v>95</v>
      </c>
      <c r="D266">
        <v>605483</v>
      </c>
      <c r="E266">
        <v>687401</v>
      </c>
      <c r="F266">
        <v>1</v>
      </c>
      <c r="G266">
        <v>1</v>
      </c>
      <c r="H266">
        <v>6</v>
      </c>
      <c r="I266" t="s">
        <v>163</v>
      </c>
      <c r="J266">
        <v>44</v>
      </c>
      <c r="K266">
        <v>3</v>
      </c>
      <c r="L266" t="s">
        <v>97</v>
      </c>
      <c r="M266" t="s">
        <v>132</v>
      </c>
      <c r="N266" t="s">
        <v>133</v>
      </c>
      <c r="O266">
        <f t="shared" si="64"/>
        <v>0</v>
      </c>
      <c r="P266">
        <f t="shared" si="65"/>
        <v>0</v>
      </c>
      <c r="Q266">
        <f t="shared" si="66"/>
        <v>0</v>
      </c>
      <c r="R266">
        <f t="shared" si="67"/>
        <v>0</v>
      </c>
      <c r="S266">
        <f t="shared" si="68"/>
        <v>0</v>
      </c>
      <c r="T266">
        <f t="shared" si="69"/>
        <v>0</v>
      </c>
      <c r="U266">
        <f t="shared" si="70"/>
        <v>0</v>
      </c>
      <c r="V266">
        <f t="shared" si="71"/>
        <v>0</v>
      </c>
      <c r="W266">
        <f t="shared" si="72"/>
        <v>1</v>
      </c>
      <c r="X266">
        <f t="shared" si="73"/>
        <v>0</v>
      </c>
      <c r="Y266">
        <f t="shared" si="74"/>
        <v>0</v>
      </c>
      <c r="Z266">
        <f t="shared" si="75"/>
        <v>0</v>
      </c>
      <c r="AA266">
        <f t="shared" si="76"/>
        <v>0</v>
      </c>
      <c r="AB266">
        <f t="shared" si="77"/>
        <v>0</v>
      </c>
      <c r="AC266">
        <f t="shared" si="78"/>
        <v>0</v>
      </c>
      <c r="AD266">
        <f t="shared" si="79"/>
        <v>0</v>
      </c>
      <c r="AE266">
        <v>85</v>
      </c>
      <c r="AF266">
        <v>2.2400000000000002</v>
      </c>
      <c r="AG266">
        <v>6.34</v>
      </c>
      <c r="AH266" t="s">
        <v>100</v>
      </c>
      <c r="AI266" t="s">
        <v>97</v>
      </c>
      <c r="AJ266" t="s">
        <v>97</v>
      </c>
      <c r="AK266" t="s">
        <v>97</v>
      </c>
      <c r="AL266" t="s">
        <v>97</v>
      </c>
      <c r="AM266">
        <v>12</v>
      </c>
      <c r="AN266" t="s">
        <v>101</v>
      </c>
      <c r="AO266" t="s">
        <v>103</v>
      </c>
      <c r="AP266" t="s">
        <v>122</v>
      </c>
      <c r="AQ266" t="s">
        <v>103</v>
      </c>
      <c r="AR266" t="s">
        <v>190</v>
      </c>
      <c r="AS266" t="s">
        <v>104</v>
      </c>
      <c r="AT266" t="s">
        <v>106</v>
      </c>
      <c r="AU266" t="s">
        <v>97</v>
      </c>
      <c r="AV266" t="s">
        <v>97</v>
      </c>
      <c r="AW266">
        <v>1.33</v>
      </c>
      <c r="AX266">
        <v>0.56999999999999995</v>
      </c>
      <c r="AY266">
        <v>1.3</v>
      </c>
      <c r="AZ266">
        <v>2.84</v>
      </c>
      <c r="BA266" t="s">
        <v>97</v>
      </c>
      <c r="BB266" t="s">
        <v>97</v>
      </c>
      <c r="BC266" t="s">
        <v>97</v>
      </c>
      <c r="BD266">
        <v>2</v>
      </c>
      <c r="BE266" t="s">
        <v>97</v>
      </c>
      <c r="BF266" t="s">
        <v>97</v>
      </c>
      <c r="BG266" t="s">
        <v>97</v>
      </c>
      <c r="BH266" t="s">
        <v>97</v>
      </c>
      <c r="BI266">
        <v>669257</v>
      </c>
      <c r="BJ266">
        <v>669257</v>
      </c>
      <c r="BK266" t="s">
        <v>97</v>
      </c>
      <c r="BL266" t="s">
        <v>97</v>
      </c>
      <c r="BM266">
        <v>-4.9129603199999998</v>
      </c>
      <c r="BN266">
        <v>-123.6211744</v>
      </c>
      <c r="BO266">
        <v>-2.9873027919999999</v>
      </c>
      <c r="BP266">
        <v>14.60625988</v>
      </c>
      <c r="BQ266">
        <v>26.060406310000001</v>
      </c>
      <c r="BR266">
        <v>-25.91719711</v>
      </c>
      <c r="BS266">
        <v>3.2</v>
      </c>
      <c r="BT266">
        <v>1.53</v>
      </c>
      <c r="BU266" t="s">
        <v>97</v>
      </c>
      <c r="BV266" t="s">
        <v>97</v>
      </c>
      <c r="BW266" t="s">
        <v>97</v>
      </c>
      <c r="BX266">
        <v>85.4</v>
      </c>
      <c r="BY266">
        <v>1695</v>
      </c>
      <c r="BZ266">
        <v>6.7</v>
      </c>
      <c r="CA266">
        <v>813036</v>
      </c>
      <c r="CB266">
        <v>669257</v>
      </c>
      <c r="CC266">
        <v>669257</v>
      </c>
      <c r="CD266">
        <v>518692</v>
      </c>
      <c r="CE266">
        <v>669242</v>
      </c>
      <c r="CF266">
        <v>571970</v>
      </c>
      <c r="CG266">
        <v>605141</v>
      </c>
      <c r="CH266">
        <v>571771</v>
      </c>
      <c r="CI266">
        <v>681624</v>
      </c>
      <c r="CJ266">
        <v>606192</v>
      </c>
      <c r="CK266">
        <v>53.82</v>
      </c>
      <c r="CL266" t="s">
        <v>97</v>
      </c>
      <c r="CM266" t="s">
        <v>97</v>
      </c>
      <c r="CN266" t="s">
        <v>97</v>
      </c>
      <c r="CO266" t="s">
        <v>97</v>
      </c>
      <c r="CP266" t="s">
        <v>97</v>
      </c>
      <c r="CQ266" t="s">
        <v>97</v>
      </c>
      <c r="CR266" t="s">
        <v>97</v>
      </c>
      <c r="CS266">
        <v>0</v>
      </c>
      <c r="CT266">
        <v>1</v>
      </c>
      <c r="CU266">
        <v>0</v>
      </c>
      <c r="CV266">
        <v>1</v>
      </c>
      <c r="CW266">
        <v>1</v>
      </c>
      <c r="CX266">
        <v>0</v>
      </c>
      <c r="CY266">
        <v>0</v>
      </c>
      <c r="CZ266">
        <v>1</v>
      </c>
      <c r="DA266" t="s">
        <v>107</v>
      </c>
      <c r="DB266" t="s">
        <v>107</v>
      </c>
      <c r="DC266">
        <v>139</v>
      </c>
      <c r="DD266">
        <v>0</v>
      </c>
      <c r="DE266">
        <v>5.2999999999999999E-2</v>
      </c>
      <c r="DF266" t="s">
        <v>97</v>
      </c>
      <c r="DG266" t="s">
        <v>97</v>
      </c>
    </row>
    <row r="267" spans="1:111" x14ac:dyDescent="0.2">
      <c r="A267">
        <v>2025</v>
      </c>
      <c r="B267" s="1">
        <v>45943</v>
      </c>
      <c r="C267" t="s">
        <v>95</v>
      </c>
      <c r="D267">
        <v>605483</v>
      </c>
      <c r="E267">
        <v>687401</v>
      </c>
      <c r="F267">
        <v>2</v>
      </c>
      <c r="G267">
        <v>1</v>
      </c>
      <c r="H267">
        <v>6</v>
      </c>
      <c r="I267" t="s">
        <v>163</v>
      </c>
      <c r="J267">
        <v>44</v>
      </c>
      <c r="K267">
        <v>4</v>
      </c>
      <c r="L267" t="s">
        <v>97</v>
      </c>
      <c r="M267" t="s">
        <v>132</v>
      </c>
      <c r="N267" t="s">
        <v>133</v>
      </c>
      <c r="O267">
        <f t="shared" si="64"/>
        <v>0</v>
      </c>
      <c r="P267">
        <f t="shared" si="65"/>
        <v>0</v>
      </c>
      <c r="Q267">
        <f t="shared" si="66"/>
        <v>0</v>
      </c>
      <c r="R267">
        <f t="shared" si="67"/>
        <v>0</v>
      </c>
      <c r="S267">
        <f t="shared" si="68"/>
        <v>0</v>
      </c>
      <c r="T267">
        <f t="shared" si="69"/>
        <v>0</v>
      </c>
      <c r="U267">
        <f t="shared" si="70"/>
        <v>0</v>
      </c>
      <c r="V267">
        <f t="shared" si="71"/>
        <v>0</v>
      </c>
      <c r="W267">
        <f t="shared" si="72"/>
        <v>0</v>
      </c>
      <c r="X267">
        <f t="shared" si="73"/>
        <v>0</v>
      </c>
      <c r="Y267">
        <f t="shared" si="74"/>
        <v>1</v>
      </c>
      <c r="Z267">
        <f t="shared" si="75"/>
        <v>0</v>
      </c>
      <c r="AA267">
        <f t="shared" si="76"/>
        <v>0</v>
      </c>
      <c r="AB267">
        <f t="shared" si="77"/>
        <v>0</v>
      </c>
      <c r="AC267">
        <f t="shared" si="78"/>
        <v>0</v>
      </c>
      <c r="AD267">
        <f t="shared" si="79"/>
        <v>0</v>
      </c>
      <c r="AE267">
        <v>84.9</v>
      </c>
      <c r="AF267">
        <v>2.2200000000000002</v>
      </c>
      <c r="AG267">
        <v>6.29</v>
      </c>
      <c r="AH267" t="s">
        <v>108</v>
      </c>
      <c r="AI267" t="s">
        <v>97</v>
      </c>
      <c r="AJ267" t="s">
        <v>97</v>
      </c>
      <c r="AK267" t="s">
        <v>97</v>
      </c>
      <c r="AL267" t="s">
        <v>97</v>
      </c>
      <c r="AM267">
        <v>2</v>
      </c>
      <c r="AN267" t="s">
        <v>109</v>
      </c>
      <c r="AO267" t="s">
        <v>103</v>
      </c>
      <c r="AP267" t="s">
        <v>122</v>
      </c>
      <c r="AQ267" t="s">
        <v>103</v>
      </c>
      <c r="AR267" t="s">
        <v>190</v>
      </c>
      <c r="AS267" t="s">
        <v>104</v>
      </c>
      <c r="AT267" t="s">
        <v>110</v>
      </c>
      <c r="AU267" t="s">
        <v>97</v>
      </c>
      <c r="AV267" t="s">
        <v>97</v>
      </c>
      <c r="AW267">
        <v>1.1399999999999999</v>
      </c>
      <c r="AX267">
        <v>0.91</v>
      </c>
      <c r="AY267">
        <v>0.02</v>
      </c>
      <c r="AZ267">
        <v>2.91</v>
      </c>
      <c r="BA267" t="s">
        <v>97</v>
      </c>
      <c r="BB267" t="s">
        <v>97</v>
      </c>
      <c r="BC267" t="s">
        <v>97</v>
      </c>
      <c r="BD267">
        <v>2</v>
      </c>
      <c r="BE267" t="s">
        <v>97</v>
      </c>
      <c r="BF267" t="s">
        <v>97</v>
      </c>
      <c r="BG267" t="s">
        <v>97</v>
      </c>
      <c r="BH267" t="s">
        <v>97</v>
      </c>
      <c r="BI267">
        <v>669257</v>
      </c>
      <c r="BJ267">
        <v>669257</v>
      </c>
      <c r="BK267" t="s">
        <v>97</v>
      </c>
      <c r="BL267" t="s">
        <v>97</v>
      </c>
      <c r="BM267">
        <v>-7.4845368670000001</v>
      </c>
      <c r="BN267">
        <v>-123.3900771</v>
      </c>
      <c r="BO267">
        <v>-3.4090761270000001</v>
      </c>
      <c r="BP267">
        <v>13.123019190000001</v>
      </c>
      <c r="BQ267">
        <v>25.512942649999999</v>
      </c>
      <c r="BR267">
        <v>-22.384194900000001</v>
      </c>
      <c r="BS267">
        <v>3.25</v>
      </c>
      <c r="BT267">
        <v>1.54</v>
      </c>
      <c r="BU267" t="s">
        <v>97</v>
      </c>
      <c r="BV267" t="s">
        <v>97</v>
      </c>
      <c r="BW267" t="s">
        <v>97</v>
      </c>
      <c r="BX267">
        <v>85.3</v>
      </c>
      <c r="BY267">
        <v>1820</v>
      </c>
      <c r="BZ267">
        <v>6.7</v>
      </c>
      <c r="CA267">
        <v>813036</v>
      </c>
      <c r="CB267">
        <v>669257</v>
      </c>
      <c r="CC267">
        <v>669257</v>
      </c>
      <c r="CD267">
        <v>518692</v>
      </c>
      <c r="CE267">
        <v>669242</v>
      </c>
      <c r="CF267">
        <v>571970</v>
      </c>
      <c r="CG267">
        <v>605141</v>
      </c>
      <c r="CH267">
        <v>571771</v>
      </c>
      <c r="CI267">
        <v>681624</v>
      </c>
      <c r="CJ267">
        <v>606192</v>
      </c>
      <c r="CK267">
        <v>53.77</v>
      </c>
      <c r="CL267" t="s">
        <v>97</v>
      </c>
      <c r="CM267" t="s">
        <v>97</v>
      </c>
      <c r="CN267" t="s">
        <v>97</v>
      </c>
      <c r="CO267" t="s">
        <v>97</v>
      </c>
      <c r="CP267" t="s">
        <v>97</v>
      </c>
      <c r="CQ267" t="s">
        <v>97</v>
      </c>
      <c r="CR267" t="s">
        <v>97</v>
      </c>
      <c r="CS267">
        <v>0</v>
      </c>
      <c r="CT267">
        <v>1</v>
      </c>
      <c r="CU267">
        <v>0</v>
      </c>
      <c r="CV267">
        <v>1</v>
      </c>
      <c r="CW267">
        <v>1</v>
      </c>
      <c r="CX267">
        <v>0</v>
      </c>
      <c r="CY267">
        <v>0</v>
      </c>
      <c r="CZ267">
        <v>1</v>
      </c>
      <c r="DA267" t="s">
        <v>107</v>
      </c>
      <c r="DB267" t="s">
        <v>107</v>
      </c>
      <c r="DC267">
        <v>126</v>
      </c>
      <c r="DD267">
        <v>0</v>
      </c>
      <c r="DE267">
        <v>-7.2999999999999995E-2</v>
      </c>
      <c r="DF267" t="s">
        <v>97</v>
      </c>
      <c r="DG267" t="s">
        <v>97</v>
      </c>
    </row>
    <row r="268" spans="1:111" x14ac:dyDescent="0.2">
      <c r="A268">
        <v>2025</v>
      </c>
      <c r="B268" s="1">
        <v>45943</v>
      </c>
      <c r="C268" t="s">
        <v>95</v>
      </c>
      <c r="D268">
        <v>605483</v>
      </c>
      <c r="E268">
        <v>687401</v>
      </c>
      <c r="F268">
        <v>2</v>
      </c>
      <c r="G268">
        <v>2</v>
      </c>
      <c r="H268">
        <v>6</v>
      </c>
      <c r="I268" t="s">
        <v>163</v>
      </c>
      <c r="J268">
        <v>44</v>
      </c>
      <c r="K268">
        <v>5</v>
      </c>
      <c r="L268" t="s">
        <v>119</v>
      </c>
      <c r="M268" t="s">
        <v>111</v>
      </c>
      <c r="N268" t="s">
        <v>112</v>
      </c>
      <c r="O268">
        <f t="shared" si="64"/>
        <v>0</v>
      </c>
      <c r="P268">
        <f t="shared" si="65"/>
        <v>0</v>
      </c>
      <c r="Q268">
        <f t="shared" si="66"/>
        <v>0</v>
      </c>
      <c r="R268">
        <f t="shared" si="67"/>
        <v>0</v>
      </c>
      <c r="S268">
        <f t="shared" si="68"/>
        <v>0</v>
      </c>
      <c r="T268">
        <f t="shared" si="69"/>
        <v>0</v>
      </c>
      <c r="U268">
        <f t="shared" si="70"/>
        <v>1</v>
      </c>
      <c r="V268">
        <f t="shared" si="71"/>
        <v>0</v>
      </c>
      <c r="W268">
        <f t="shared" si="72"/>
        <v>0</v>
      </c>
      <c r="X268">
        <f t="shared" si="73"/>
        <v>0</v>
      </c>
      <c r="Y268">
        <f t="shared" si="74"/>
        <v>0</v>
      </c>
      <c r="Z268">
        <f t="shared" si="75"/>
        <v>0</v>
      </c>
      <c r="AA268">
        <f t="shared" si="76"/>
        <v>0</v>
      </c>
      <c r="AB268">
        <f t="shared" si="77"/>
        <v>0</v>
      </c>
      <c r="AC268">
        <f t="shared" si="78"/>
        <v>0</v>
      </c>
      <c r="AD268">
        <f t="shared" si="79"/>
        <v>0</v>
      </c>
      <c r="AE268">
        <v>82.4</v>
      </c>
      <c r="AF268">
        <v>1.95</v>
      </c>
      <c r="AG268">
        <v>6.45</v>
      </c>
      <c r="AH268" t="s">
        <v>120</v>
      </c>
      <c r="AI268" t="s">
        <v>97</v>
      </c>
      <c r="AJ268" t="s">
        <v>97</v>
      </c>
      <c r="AK268" t="s">
        <v>97</v>
      </c>
      <c r="AL268" t="s">
        <v>97</v>
      </c>
      <c r="AM268">
        <v>8</v>
      </c>
      <c r="AN268" t="s">
        <v>206</v>
      </c>
      <c r="AO268" t="s">
        <v>103</v>
      </c>
      <c r="AP268" t="s">
        <v>122</v>
      </c>
      <c r="AQ268" t="s">
        <v>103</v>
      </c>
      <c r="AR268" t="s">
        <v>190</v>
      </c>
      <c r="AS268" t="s">
        <v>104</v>
      </c>
      <c r="AT268" t="s">
        <v>123</v>
      </c>
      <c r="AU268">
        <v>5</v>
      </c>
      <c r="AV268" t="s">
        <v>127</v>
      </c>
      <c r="AW268">
        <v>-0.91</v>
      </c>
      <c r="AX268">
        <v>-0.52</v>
      </c>
      <c r="AY268">
        <v>-0.01</v>
      </c>
      <c r="AZ268">
        <v>1.79</v>
      </c>
      <c r="BA268" t="s">
        <v>97</v>
      </c>
      <c r="BB268" t="s">
        <v>97</v>
      </c>
      <c r="BC268" t="s">
        <v>97</v>
      </c>
      <c r="BD268">
        <v>2</v>
      </c>
      <c r="BE268">
        <v>107.45</v>
      </c>
      <c r="BF268">
        <v>163.38</v>
      </c>
      <c r="BG268" t="s">
        <v>97</v>
      </c>
      <c r="BH268" t="s">
        <v>97</v>
      </c>
      <c r="BI268">
        <v>669257</v>
      </c>
      <c r="BJ268">
        <v>669257</v>
      </c>
      <c r="BK268" t="s">
        <v>97</v>
      </c>
      <c r="BL268" t="s">
        <v>97</v>
      </c>
      <c r="BM268">
        <v>-2.7054549880000001</v>
      </c>
      <c r="BN268">
        <v>-119.8551014</v>
      </c>
      <c r="BO268">
        <v>-2.9605839220000001</v>
      </c>
      <c r="BP268">
        <v>-8.0877242999999996</v>
      </c>
      <c r="BQ268">
        <v>26.20484609</v>
      </c>
      <c r="BR268">
        <v>-36.758182869999999</v>
      </c>
      <c r="BS268">
        <v>3.33</v>
      </c>
      <c r="BT268">
        <v>1.53</v>
      </c>
      <c r="BU268">
        <v>2</v>
      </c>
      <c r="BV268">
        <v>47.7</v>
      </c>
      <c r="BW268">
        <v>-45</v>
      </c>
      <c r="BX268">
        <v>82.5</v>
      </c>
      <c r="BY268">
        <v>2569</v>
      </c>
      <c r="BZ268">
        <v>6.7</v>
      </c>
      <c r="CA268">
        <v>813036</v>
      </c>
      <c r="CB268">
        <v>669257</v>
      </c>
      <c r="CC268">
        <v>669257</v>
      </c>
      <c r="CD268">
        <v>518692</v>
      </c>
      <c r="CE268">
        <v>669242</v>
      </c>
      <c r="CF268">
        <v>571970</v>
      </c>
      <c r="CG268">
        <v>605141</v>
      </c>
      <c r="CH268">
        <v>571771</v>
      </c>
      <c r="CI268">
        <v>681624</v>
      </c>
      <c r="CJ268">
        <v>606192</v>
      </c>
      <c r="CK268">
        <v>53.82</v>
      </c>
      <c r="CL268">
        <v>0.214</v>
      </c>
      <c r="CM268">
        <v>0.22500000000000001</v>
      </c>
      <c r="CN268">
        <v>0</v>
      </c>
      <c r="CO268">
        <v>1</v>
      </c>
      <c r="CP268">
        <v>0</v>
      </c>
      <c r="CQ268">
        <v>0</v>
      </c>
      <c r="CR268">
        <v>1</v>
      </c>
      <c r="CS268">
        <v>0</v>
      </c>
      <c r="CT268">
        <v>1</v>
      </c>
      <c r="CU268">
        <v>0</v>
      </c>
      <c r="CV268">
        <v>1</v>
      </c>
      <c r="CW268">
        <v>1</v>
      </c>
      <c r="CX268">
        <v>0</v>
      </c>
      <c r="CY268">
        <v>0</v>
      </c>
      <c r="CZ268">
        <v>1</v>
      </c>
      <c r="DA268" t="s">
        <v>107</v>
      </c>
      <c r="DB268" t="s">
        <v>107</v>
      </c>
      <c r="DC268">
        <v>320</v>
      </c>
      <c r="DD268">
        <v>-1.9E-2</v>
      </c>
      <c r="DE268">
        <v>-0.224</v>
      </c>
      <c r="DF268">
        <v>70.400000000000006</v>
      </c>
      <c r="DG268">
        <v>7.4</v>
      </c>
    </row>
    <row r="269" spans="1:111" x14ac:dyDescent="0.2">
      <c r="A269">
        <v>2025</v>
      </c>
      <c r="B269" s="1">
        <v>45943</v>
      </c>
      <c r="C269" t="s">
        <v>95</v>
      </c>
      <c r="D269">
        <v>605483</v>
      </c>
      <c r="E269">
        <v>694192</v>
      </c>
      <c r="F269">
        <v>0</v>
      </c>
      <c r="G269">
        <v>0</v>
      </c>
      <c r="H269">
        <v>7</v>
      </c>
      <c r="I269" t="s">
        <v>163</v>
      </c>
      <c r="J269">
        <v>48</v>
      </c>
      <c r="K269">
        <v>1</v>
      </c>
      <c r="L269" t="s">
        <v>97</v>
      </c>
      <c r="M269" t="s">
        <v>132</v>
      </c>
      <c r="N269" t="s">
        <v>133</v>
      </c>
      <c r="O269">
        <f t="shared" si="64"/>
        <v>0</v>
      </c>
      <c r="P269">
        <f t="shared" si="65"/>
        <v>0</v>
      </c>
      <c r="Q269">
        <f t="shared" si="66"/>
        <v>0</v>
      </c>
      <c r="R269">
        <f t="shared" si="67"/>
        <v>0</v>
      </c>
      <c r="S269">
        <f t="shared" si="68"/>
        <v>0</v>
      </c>
      <c r="T269">
        <f t="shared" si="69"/>
        <v>0</v>
      </c>
      <c r="U269">
        <f t="shared" si="70"/>
        <v>0</v>
      </c>
      <c r="V269">
        <f t="shared" si="71"/>
        <v>0</v>
      </c>
      <c r="W269">
        <f t="shared" si="72"/>
        <v>1</v>
      </c>
      <c r="X269">
        <f t="shared" si="73"/>
        <v>0</v>
      </c>
      <c r="Y269">
        <f t="shared" si="74"/>
        <v>0</v>
      </c>
      <c r="Z269">
        <f t="shared" si="75"/>
        <v>0</v>
      </c>
      <c r="AA269">
        <f t="shared" si="76"/>
        <v>0</v>
      </c>
      <c r="AB269">
        <f t="shared" si="77"/>
        <v>0</v>
      </c>
      <c r="AC269">
        <f t="shared" si="78"/>
        <v>0</v>
      </c>
      <c r="AD269">
        <f t="shared" si="79"/>
        <v>0</v>
      </c>
      <c r="AE269">
        <v>85.7</v>
      </c>
      <c r="AF269">
        <v>2.2599999999999998</v>
      </c>
      <c r="AG269">
        <v>6.32</v>
      </c>
      <c r="AH269" t="s">
        <v>100</v>
      </c>
      <c r="AI269" t="s">
        <v>97</v>
      </c>
      <c r="AJ269" t="s">
        <v>97</v>
      </c>
      <c r="AK269" t="s">
        <v>97</v>
      </c>
      <c r="AL269" t="s">
        <v>97</v>
      </c>
      <c r="AM269">
        <v>14</v>
      </c>
      <c r="AN269" t="s">
        <v>101</v>
      </c>
      <c r="AO269" t="s">
        <v>103</v>
      </c>
      <c r="AP269" t="s">
        <v>122</v>
      </c>
      <c r="AQ269" t="s">
        <v>103</v>
      </c>
      <c r="AR269" t="s">
        <v>190</v>
      </c>
      <c r="AS269" t="s">
        <v>104</v>
      </c>
      <c r="AT269" t="s">
        <v>106</v>
      </c>
      <c r="AU269" t="s">
        <v>97</v>
      </c>
      <c r="AV269" t="s">
        <v>97</v>
      </c>
      <c r="AW269">
        <v>1.1399999999999999</v>
      </c>
      <c r="AX269">
        <v>1.01</v>
      </c>
      <c r="AY269">
        <v>7.0000000000000007E-2</v>
      </c>
      <c r="AZ269">
        <v>1.23</v>
      </c>
      <c r="BA269" t="s">
        <v>97</v>
      </c>
      <c r="BB269" t="s">
        <v>97</v>
      </c>
      <c r="BC269" t="s">
        <v>97</v>
      </c>
      <c r="BD269">
        <v>0</v>
      </c>
      <c r="BE269" t="s">
        <v>97</v>
      </c>
      <c r="BF269" t="s">
        <v>97</v>
      </c>
      <c r="BG269" t="s">
        <v>97</v>
      </c>
      <c r="BH269" t="s">
        <v>97</v>
      </c>
      <c r="BI269">
        <v>669257</v>
      </c>
      <c r="BJ269">
        <v>669257</v>
      </c>
      <c r="BK269" t="s">
        <v>97</v>
      </c>
      <c r="BL269" t="s">
        <v>97</v>
      </c>
      <c r="BM269">
        <v>-7.5388621479999998</v>
      </c>
      <c r="BN269">
        <v>-124.41941799999999</v>
      </c>
      <c r="BO269">
        <v>-7.8154685859999997</v>
      </c>
      <c r="BP269">
        <v>13.368304350000001</v>
      </c>
      <c r="BQ269">
        <v>25.261842649999998</v>
      </c>
      <c r="BR269">
        <v>-20.306684789999998</v>
      </c>
      <c r="BS269">
        <v>3.41</v>
      </c>
      <c r="BT269">
        <v>1.59</v>
      </c>
      <c r="BU269" t="s">
        <v>97</v>
      </c>
      <c r="BV269" t="s">
        <v>97</v>
      </c>
      <c r="BW269" t="s">
        <v>97</v>
      </c>
      <c r="BX269">
        <v>86.2</v>
      </c>
      <c r="BY269">
        <v>1714</v>
      </c>
      <c r="BZ269">
        <v>6.8</v>
      </c>
      <c r="CA269">
        <v>813036</v>
      </c>
      <c r="CB269">
        <v>669257</v>
      </c>
      <c r="CC269">
        <v>669257</v>
      </c>
      <c r="CD269">
        <v>518692</v>
      </c>
      <c r="CE269">
        <v>669242</v>
      </c>
      <c r="CF269">
        <v>571970</v>
      </c>
      <c r="CG269">
        <v>605141</v>
      </c>
      <c r="CH269">
        <v>571771</v>
      </c>
      <c r="CI269">
        <v>681624</v>
      </c>
      <c r="CJ269">
        <v>606192</v>
      </c>
      <c r="CK269">
        <v>53.73</v>
      </c>
      <c r="CL269" t="s">
        <v>97</v>
      </c>
      <c r="CM269" t="s">
        <v>97</v>
      </c>
      <c r="CN269" t="s">
        <v>97</v>
      </c>
      <c r="CO269" t="s">
        <v>97</v>
      </c>
      <c r="CP269" t="s">
        <v>97</v>
      </c>
      <c r="CQ269" t="s">
        <v>97</v>
      </c>
      <c r="CR269" t="s">
        <v>97</v>
      </c>
      <c r="CS269">
        <v>0</v>
      </c>
      <c r="CT269">
        <v>1</v>
      </c>
      <c r="CU269">
        <v>0</v>
      </c>
      <c r="CV269">
        <v>1</v>
      </c>
      <c r="CW269">
        <v>1</v>
      </c>
      <c r="CX269">
        <v>0</v>
      </c>
      <c r="CY269">
        <v>0</v>
      </c>
      <c r="CZ269">
        <v>1</v>
      </c>
      <c r="DA269" t="s">
        <v>107</v>
      </c>
      <c r="DB269" t="s">
        <v>107</v>
      </c>
      <c r="DC269">
        <v>127</v>
      </c>
      <c r="DD269">
        <v>0</v>
      </c>
      <c r="DE269">
        <v>4.1000000000000002E-2</v>
      </c>
      <c r="DF269" t="s">
        <v>97</v>
      </c>
      <c r="DG269" t="s">
        <v>97</v>
      </c>
    </row>
    <row r="270" spans="1:111" x14ac:dyDescent="0.2">
      <c r="A270">
        <v>2025</v>
      </c>
      <c r="B270" s="1">
        <v>45943</v>
      </c>
      <c r="C270" t="s">
        <v>95</v>
      </c>
      <c r="D270">
        <v>605483</v>
      </c>
      <c r="E270">
        <v>694192</v>
      </c>
      <c r="F270">
        <v>1</v>
      </c>
      <c r="G270">
        <v>0</v>
      </c>
      <c r="H270">
        <v>7</v>
      </c>
      <c r="I270" t="s">
        <v>163</v>
      </c>
      <c r="J270">
        <v>48</v>
      </c>
      <c r="K270">
        <v>2</v>
      </c>
      <c r="L270" t="s">
        <v>97</v>
      </c>
      <c r="M270" t="s">
        <v>132</v>
      </c>
      <c r="N270" t="s">
        <v>133</v>
      </c>
      <c r="O270">
        <f t="shared" si="64"/>
        <v>0</v>
      </c>
      <c r="P270">
        <f t="shared" si="65"/>
        <v>0</v>
      </c>
      <c r="Q270">
        <f t="shared" si="66"/>
        <v>0</v>
      </c>
      <c r="R270">
        <f t="shared" si="67"/>
        <v>0</v>
      </c>
      <c r="S270">
        <f t="shared" si="68"/>
        <v>0</v>
      </c>
      <c r="T270">
        <f t="shared" si="69"/>
        <v>0</v>
      </c>
      <c r="U270">
        <f t="shared" si="70"/>
        <v>0</v>
      </c>
      <c r="V270">
        <f t="shared" si="71"/>
        <v>0</v>
      </c>
      <c r="W270">
        <f t="shared" si="72"/>
        <v>1</v>
      </c>
      <c r="X270">
        <f t="shared" si="73"/>
        <v>0</v>
      </c>
      <c r="Y270">
        <f t="shared" si="74"/>
        <v>0</v>
      </c>
      <c r="Z270">
        <f t="shared" si="75"/>
        <v>0</v>
      </c>
      <c r="AA270">
        <f t="shared" si="76"/>
        <v>0</v>
      </c>
      <c r="AB270">
        <f t="shared" si="77"/>
        <v>0</v>
      </c>
      <c r="AC270">
        <f t="shared" si="78"/>
        <v>0</v>
      </c>
      <c r="AD270">
        <f t="shared" si="79"/>
        <v>0</v>
      </c>
      <c r="AE270">
        <v>86.8</v>
      </c>
      <c r="AF270">
        <v>2.27</v>
      </c>
      <c r="AG270">
        <v>6.28</v>
      </c>
      <c r="AH270" t="s">
        <v>129</v>
      </c>
      <c r="AI270" t="s">
        <v>97</v>
      </c>
      <c r="AJ270" t="s">
        <v>97</v>
      </c>
      <c r="AK270" t="s">
        <v>97</v>
      </c>
      <c r="AL270" t="s">
        <v>97</v>
      </c>
      <c r="AM270">
        <v>8</v>
      </c>
      <c r="AN270" t="s">
        <v>130</v>
      </c>
      <c r="AO270" t="s">
        <v>103</v>
      </c>
      <c r="AP270" t="s">
        <v>122</v>
      </c>
      <c r="AQ270" t="s">
        <v>103</v>
      </c>
      <c r="AR270" t="s">
        <v>190</v>
      </c>
      <c r="AS270" t="s">
        <v>104</v>
      </c>
      <c r="AT270" t="s">
        <v>110</v>
      </c>
      <c r="AU270" t="s">
        <v>97</v>
      </c>
      <c r="AV270" t="s">
        <v>97</v>
      </c>
      <c r="AW270">
        <v>1.1599999999999999</v>
      </c>
      <c r="AX270">
        <v>0.87</v>
      </c>
      <c r="AY270">
        <v>0</v>
      </c>
      <c r="AZ270">
        <v>1.89</v>
      </c>
      <c r="BA270" t="s">
        <v>97</v>
      </c>
      <c r="BB270" t="s">
        <v>97</v>
      </c>
      <c r="BC270" t="s">
        <v>97</v>
      </c>
      <c r="BD270">
        <v>0</v>
      </c>
      <c r="BE270" t="s">
        <v>97</v>
      </c>
      <c r="BF270" t="s">
        <v>97</v>
      </c>
      <c r="BG270" t="s">
        <v>97</v>
      </c>
      <c r="BH270" t="s">
        <v>97</v>
      </c>
      <c r="BI270">
        <v>669257</v>
      </c>
      <c r="BJ270">
        <v>669257</v>
      </c>
      <c r="BK270" t="s">
        <v>97</v>
      </c>
      <c r="BL270" t="s">
        <v>97</v>
      </c>
      <c r="BM270">
        <v>-7.8490983180000002</v>
      </c>
      <c r="BN270">
        <v>-126.05662169999999</v>
      </c>
      <c r="BO270">
        <v>-6.1246627220000001</v>
      </c>
      <c r="BP270">
        <v>13.93547193</v>
      </c>
      <c r="BQ270">
        <v>25.72951333</v>
      </c>
      <c r="BR270">
        <v>-21.76742715</v>
      </c>
      <c r="BS270">
        <v>3.34</v>
      </c>
      <c r="BT270">
        <v>1.58</v>
      </c>
      <c r="BU270" t="s">
        <v>97</v>
      </c>
      <c r="BV270" t="s">
        <v>97</v>
      </c>
      <c r="BW270" t="s">
        <v>97</v>
      </c>
      <c r="BX270">
        <v>87.4</v>
      </c>
      <c r="BY270">
        <v>1747</v>
      </c>
      <c r="BZ270">
        <v>6.8</v>
      </c>
      <c r="CA270">
        <v>813036</v>
      </c>
      <c r="CB270">
        <v>669257</v>
      </c>
      <c r="CC270">
        <v>669257</v>
      </c>
      <c r="CD270">
        <v>518692</v>
      </c>
      <c r="CE270">
        <v>669242</v>
      </c>
      <c r="CF270">
        <v>571970</v>
      </c>
      <c r="CG270">
        <v>605141</v>
      </c>
      <c r="CH270">
        <v>571771</v>
      </c>
      <c r="CI270">
        <v>681624</v>
      </c>
      <c r="CJ270">
        <v>606192</v>
      </c>
      <c r="CK270">
        <v>53.69</v>
      </c>
      <c r="CL270" t="s">
        <v>97</v>
      </c>
      <c r="CM270" t="s">
        <v>97</v>
      </c>
      <c r="CN270" t="s">
        <v>97</v>
      </c>
      <c r="CO270" t="s">
        <v>97</v>
      </c>
      <c r="CP270" t="s">
        <v>97</v>
      </c>
      <c r="CQ270" t="s">
        <v>97</v>
      </c>
      <c r="CR270" t="s">
        <v>97</v>
      </c>
      <c r="CS270">
        <v>0</v>
      </c>
      <c r="CT270">
        <v>1</v>
      </c>
      <c r="CU270">
        <v>0</v>
      </c>
      <c r="CV270">
        <v>1</v>
      </c>
      <c r="CW270">
        <v>1</v>
      </c>
      <c r="CX270">
        <v>0</v>
      </c>
      <c r="CY270">
        <v>0</v>
      </c>
      <c r="CZ270">
        <v>1</v>
      </c>
      <c r="DA270" t="s">
        <v>107</v>
      </c>
      <c r="DB270" t="s">
        <v>107</v>
      </c>
      <c r="DC270">
        <v>132</v>
      </c>
      <c r="DD270">
        <v>0</v>
      </c>
      <c r="DE270">
        <v>-0.05</v>
      </c>
      <c r="DF270">
        <v>79.3</v>
      </c>
      <c r="DG270">
        <v>8.6999999999999993</v>
      </c>
    </row>
    <row r="271" spans="1:111" x14ac:dyDescent="0.2">
      <c r="A271">
        <v>2025</v>
      </c>
      <c r="B271" s="1">
        <v>45943</v>
      </c>
      <c r="C271" t="s">
        <v>95</v>
      </c>
      <c r="D271">
        <v>605483</v>
      </c>
      <c r="E271">
        <v>694192</v>
      </c>
      <c r="F271">
        <v>1</v>
      </c>
      <c r="G271">
        <v>1</v>
      </c>
      <c r="H271">
        <v>7</v>
      </c>
      <c r="I271" t="s">
        <v>163</v>
      </c>
      <c r="J271">
        <v>48</v>
      </c>
      <c r="K271">
        <v>3</v>
      </c>
      <c r="L271" t="s">
        <v>97</v>
      </c>
      <c r="M271" t="s">
        <v>132</v>
      </c>
      <c r="N271" t="s">
        <v>133</v>
      </c>
      <c r="O271">
        <f t="shared" si="64"/>
        <v>0</v>
      </c>
      <c r="P271">
        <f t="shared" si="65"/>
        <v>0</v>
      </c>
      <c r="Q271">
        <f t="shared" si="66"/>
        <v>0</v>
      </c>
      <c r="R271">
        <f t="shared" si="67"/>
        <v>0</v>
      </c>
      <c r="S271">
        <f t="shared" si="68"/>
        <v>0</v>
      </c>
      <c r="T271">
        <f t="shared" si="69"/>
        <v>0</v>
      </c>
      <c r="U271">
        <f t="shared" si="70"/>
        <v>0</v>
      </c>
      <c r="V271">
        <f t="shared" si="71"/>
        <v>0</v>
      </c>
      <c r="W271">
        <f t="shared" si="72"/>
        <v>1</v>
      </c>
      <c r="X271">
        <f t="shared" si="73"/>
        <v>0</v>
      </c>
      <c r="Y271">
        <f t="shared" si="74"/>
        <v>0</v>
      </c>
      <c r="Z271">
        <f t="shared" si="75"/>
        <v>0</v>
      </c>
      <c r="AA271">
        <f t="shared" si="76"/>
        <v>0</v>
      </c>
      <c r="AB271">
        <f t="shared" si="77"/>
        <v>0</v>
      </c>
      <c r="AC271">
        <f t="shared" si="78"/>
        <v>0</v>
      </c>
      <c r="AD271">
        <f t="shared" si="79"/>
        <v>0</v>
      </c>
      <c r="AE271">
        <v>85.1</v>
      </c>
      <c r="AF271">
        <v>2.19</v>
      </c>
      <c r="AG271">
        <v>6.29</v>
      </c>
      <c r="AH271" t="s">
        <v>113</v>
      </c>
      <c r="AI271" t="s">
        <v>97</v>
      </c>
      <c r="AJ271" t="s">
        <v>97</v>
      </c>
      <c r="AK271" t="s">
        <v>97</v>
      </c>
      <c r="AL271" t="s">
        <v>97</v>
      </c>
      <c r="AM271">
        <v>8</v>
      </c>
      <c r="AN271" t="s">
        <v>114</v>
      </c>
      <c r="AO271" t="s">
        <v>103</v>
      </c>
      <c r="AP271" t="s">
        <v>122</v>
      </c>
      <c r="AQ271" t="s">
        <v>103</v>
      </c>
      <c r="AR271" t="s">
        <v>190</v>
      </c>
      <c r="AS271" t="s">
        <v>104</v>
      </c>
      <c r="AT271" t="s">
        <v>110</v>
      </c>
      <c r="AU271" t="s">
        <v>97</v>
      </c>
      <c r="AV271" t="s">
        <v>97</v>
      </c>
      <c r="AW271">
        <v>1.06</v>
      </c>
      <c r="AX271">
        <v>0.8</v>
      </c>
      <c r="AY271">
        <v>0.22</v>
      </c>
      <c r="AZ271">
        <v>1.85</v>
      </c>
      <c r="BA271" t="s">
        <v>97</v>
      </c>
      <c r="BB271" t="s">
        <v>97</v>
      </c>
      <c r="BC271" t="s">
        <v>97</v>
      </c>
      <c r="BD271">
        <v>0</v>
      </c>
      <c r="BE271" t="s">
        <v>97</v>
      </c>
      <c r="BF271" t="s">
        <v>97</v>
      </c>
      <c r="BG271" t="s">
        <v>97</v>
      </c>
      <c r="BH271" t="s">
        <v>97</v>
      </c>
      <c r="BI271">
        <v>669257</v>
      </c>
      <c r="BJ271">
        <v>669257</v>
      </c>
      <c r="BK271" t="s">
        <v>97</v>
      </c>
      <c r="BL271" t="s">
        <v>97</v>
      </c>
      <c r="BM271">
        <v>-6.7867168160000002</v>
      </c>
      <c r="BN271">
        <v>-123.61668640000001</v>
      </c>
      <c r="BO271">
        <v>-5.7164654869999998</v>
      </c>
      <c r="BP271">
        <v>12.26682606</v>
      </c>
      <c r="BQ271">
        <v>25.608226550000001</v>
      </c>
      <c r="BR271">
        <v>-22.963760350000001</v>
      </c>
      <c r="BS271">
        <v>3.34</v>
      </c>
      <c r="BT271">
        <v>1.58</v>
      </c>
      <c r="BU271" t="s">
        <v>97</v>
      </c>
      <c r="BV271" t="s">
        <v>97</v>
      </c>
      <c r="BW271" t="s">
        <v>97</v>
      </c>
      <c r="BX271">
        <v>85.6</v>
      </c>
      <c r="BY271">
        <v>1735</v>
      </c>
      <c r="BZ271">
        <v>6.8</v>
      </c>
      <c r="CA271">
        <v>813036</v>
      </c>
      <c r="CB271">
        <v>669257</v>
      </c>
      <c r="CC271">
        <v>669257</v>
      </c>
      <c r="CD271">
        <v>518692</v>
      </c>
      <c r="CE271">
        <v>669242</v>
      </c>
      <c r="CF271">
        <v>571970</v>
      </c>
      <c r="CG271">
        <v>605141</v>
      </c>
      <c r="CH271">
        <v>571771</v>
      </c>
      <c r="CI271">
        <v>681624</v>
      </c>
      <c r="CJ271">
        <v>606192</v>
      </c>
      <c r="CK271">
        <v>53.73</v>
      </c>
      <c r="CL271" t="s">
        <v>97</v>
      </c>
      <c r="CM271" t="s">
        <v>97</v>
      </c>
      <c r="CN271" t="s">
        <v>97</v>
      </c>
      <c r="CO271" t="s">
        <v>97</v>
      </c>
      <c r="CP271" t="s">
        <v>97</v>
      </c>
      <c r="CQ271" t="s">
        <v>97</v>
      </c>
      <c r="CR271" t="s">
        <v>97</v>
      </c>
      <c r="CS271">
        <v>0</v>
      </c>
      <c r="CT271">
        <v>1</v>
      </c>
      <c r="CU271">
        <v>0</v>
      </c>
      <c r="CV271">
        <v>1</v>
      </c>
      <c r="CW271">
        <v>1</v>
      </c>
      <c r="CX271">
        <v>0</v>
      </c>
      <c r="CY271">
        <v>0</v>
      </c>
      <c r="CZ271">
        <v>1</v>
      </c>
      <c r="DA271" t="s">
        <v>107</v>
      </c>
      <c r="DB271" t="s">
        <v>107</v>
      </c>
      <c r="DC271">
        <v>129</v>
      </c>
      <c r="DD271">
        <v>0</v>
      </c>
      <c r="DE271">
        <v>-6.0999999999999999E-2</v>
      </c>
      <c r="DF271">
        <v>75</v>
      </c>
      <c r="DG271">
        <v>8.8000000000000007</v>
      </c>
    </row>
    <row r="272" spans="1:111" x14ac:dyDescent="0.2">
      <c r="A272">
        <v>2025</v>
      </c>
      <c r="B272" s="1">
        <v>45943</v>
      </c>
      <c r="C272" t="s">
        <v>95</v>
      </c>
      <c r="D272">
        <v>605483</v>
      </c>
      <c r="E272">
        <v>694192</v>
      </c>
      <c r="F272">
        <v>1</v>
      </c>
      <c r="G272">
        <v>2</v>
      </c>
      <c r="H272">
        <v>7</v>
      </c>
      <c r="I272" t="s">
        <v>163</v>
      </c>
      <c r="J272">
        <v>48</v>
      </c>
      <c r="K272">
        <v>4</v>
      </c>
      <c r="L272" t="s">
        <v>116</v>
      </c>
      <c r="M272" t="s">
        <v>132</v>
      </c>
      <c r="N272" t="s">
        <v>133</v>
      </c>
      <c r="O272">
        <f t="shared" si="64"/>
        <v>0</v>
      </c>
      <c r="P272">
        <f t="shared" si="65"/>
        <v>0</v>
      </c>
      <c r="Q272">
        <f t="shared" si="66"/>
        <v>0</v>
      </c>
      <c r="R272">
        <f t="shared" si="67"/>
        <v>0</v>
      </c>
      <c r="S272">
        <f t="shared" si="68"/>
        <v>0</v>
      </c>
      <c r="T272">
        <f t="shared" si="69"/>
        <v>0</v>
      </c>
      <c r="U272">
        <f t="shared" si="70"/>
        <v>0</v>
      </c>
      <c r="V272">
        <f t="shared" si="71"/>
        <v>0</v>
      </c>
      <c r="W272">
        <f t="shared" si="72"/>
        <v>0</v>
      </c>
      <c r="X272">
        <f t="shared" si="73"/>
        <v>0</v>
      </c>
      <c r="Y272">
        <f t="shared" si="74"/>
        <v>1</v>
      </c>
      <c r="Z272">
        <f t="shared" si="75"/>
        <v>0</v>
      </c>
      <c r="AA272">
        <f t="shared" si="76"/>
        <v>0</v>
      </c>
      <c r="AB272">
        <f t="shared" si="77"/>
        <v>0</v>
      </c>
      <c r="AC272">
        <f t="shared" si="78"/>
        <v>0</v>
      </c>
      <c r="AD272">
        <f t="shared" si="79"/>
        <v>0</v>
      </c>
      <c r="AE272">
        <v>79.3</v>
      </c>
      <c r="AF272">
        <v>2.34</v>
      </c>
      <c r="AG272">
        <v>6.21</v>
      </c>
      <c r="AH272" t="s">
        <v>113</v>
      </c>
      <c r="AI272" t="s">
        <v>97</v>
      </c>
      <c r="AJ272" t="s">
        <v>97</v>
      </c>
      <c r="AK272" t="s">
        <v>97</v>
      </c>
      <c r="AL272" t="s">
        <v>97</v>
      </c>
      <c r="AM272">
        <v>14</v>
      </c>
      <c r="AN272" t="s">
        <v>207</v>
      </c>
      <c r="AO272" t="s">
        <v>103</v>
      </c>
      <c r="AP272" t="s">
        <v>122</v>
      </c>
      <c r="AQ272" t="s">
        <v>103</v>
      </c>
      <c r="AR272" t="s">
        <v>190</v>
      </c>
      <c r="AS272" t="s">
        <v>104</v>
      </c>
      <c r="AT272" t="s">
        <v>110</v>
      </c>
      <c r="AU272">
        <v>2</v>
      </c>
      <c r="AV272" t="s">
        <v>97</v>
      </c>
      <c r="AW272">
        <v>1.24</v>
      </c>
      <c r="AX272">
        <v>0.44</v>
      </c>
      <c r="AY272">
        <v>1.1499999999999999</v>
      </c>
      <c r="AZ272">
        <v>2.0299999999999998</v>
      </c>
      <c r="BA272" t="s">
        <v>97</v>
      </c>
      <c r="BB272" t="s">
        <v>97</v>
      </c>
      <c r="BC272" t="s">
        <v>97</v>
      </c>
      <c r="BD272">
        <v>0</v>
      </c>
      <c r="BE272" t="s">
        <v>97</v>
      </c>
      <c r="BF272" t="s">
        <v>97</v>
      </c>
      <c r="BG272" t="s">
        <v>97</v>
      </c>
      <c r="BH272" t="s">
        <v>97</v>
      </c>
      <c r="BI272">
        <v>669257</v>
      </c>
      <c r="BJ272">
        <v>669257</v>
      </c>
      <c r="BK272" t="s">
        <v>97</v>
      </c>
      <c r="BL272" t="s">
        <v>97</v>
      </c>
      <c r="BM272">
        <v>-4.9768620009999998</v>
      </c>
      <c r="BN272">
        <v>-115.36336369999999</v>
      </c>
      <c r="BO272">
        <v>-3.153192029</v>
      </c>
      <c r="BP272">
        <v>12.0412862</v>
      </c>
      <c r="BQ272">
        <v>23.340910319999999</v>
      </c>
      <c r="BR272">
        <v>-27.815264519999999</v>
      </c>
      <c r="BS272">
        <v>3.34</v>
      </c>
      <c r="BT272">
        <v>1.58</v>
      </c>
      <c r="BU272" t="s">
        <v>97</v>
      </c>
      <c r="BV272" t="s">
        <v>97</v>
      </c>
      <c r="BW272" t="s">
        <v>97</v>
      </c>
      <c r="BX272">
        <v>79.599999999999994</v>
      </c>
      <c r="BY272">
        <v>1846</v>
      </c>
      <c r="BZ272">
        <v>6.7</v>
      </c>
      <c r="CA272">
        <v>813036</v>
      </c>
      <c r="CB272">
        <v>669257</v>
      </c>
      <c r="CC272">
        <v>669257</v>
      </c>
      <c r="CD272">
        <v>518692</v>
      </c>
      <c r="CE272">
        <v>669242</v>
      </c>
      <c r="CF272">
        <v>571970</v>
      </c>
      <c r="CG272">
        <v>605141</v>
      </c>
      <c r="CH272">
        <v>571771</v>
      </c>
      <c r="CI272">
        <v>681624</v>
      </c>
      <c r="CJ272">
        <v>606192</v>
      </c>
      <c r="CK272">
        <v>53.77</v>
      </c>
      <c r="CL272" t="s">
        <v>97</v>
      </c>
      <c r="CM272">
        <v>0</v>
      </c>
      <c r="CN272">
        <v>0</v>
      </c>
      <c r="CO272">
        <v>1</v>
      </c>
      <c r="CP272">
        <v>0</v>
      </c>
      <c r="CQ272">
        <v>0</v>
      </c>
      <c r="CR272" t="s">
        <v>97</v>
      </c>
      <c r="CS272">
        <v>0</v>
      </c>
      <c r="CT272">
        <v>1</v>
      </c>
      <c r="CU272">
        <v>0</v>
      </c>
      <c r="CV272">
        <v>1</v>
      </c>
      <c r="CW272">
        <v>1</v>
      </c>
      <c r="CX272">
        <v>0</v>
      </c>
      <c r="CY272">
        <v>0</v>
      </c>
      <c r="CZ272">
        <v>1</v>
      </c>
      <c r="DA272" t="s">
        <v>107</v>
      </c>
      <c r="DB272" t="s">
        <v>107</v>
      </c>
      <c r="DC272">
        <v>125</v>
      </c>
      <c r="DD272">
        <v>-4.9000000000000002E-2</v>
      </c>
      <c r="DE272">
        <v>-0.189</v>
      </c>
      <c r="DF272">
        <v>73.400000000000006</v>
      </c>
      <c r="DG272">
        <v>7.7</v>
      </c>
    </row>
    <row r="273" spans="1:111" x14ac:dyDescent="0.2">
      <c r="A273">
        <v>2025</v>
      </c>
      <c r="B273" s="1">
        <v>45943</v>
      </c>
      <c r="C273" t="s">
        <v>95</v>
      </c>
      <c r="D273">
        <v>605483</v>
      </c>
      <c r="E273">
        <v>592885</v>
      </c>
      <c r="F273">
        <v>0</v>
      </c>
      <c r="G273">
        <v>0</v>
      </c>
      <c r="H273">
        <v>7</v>
      </c>
      <c r="I273" t="s">
        <v>163</v>
      </c>
      <c r="J273">
        <v>49</v>
      </c>
      <c r="K273">
        <v>1</v>
      </c>
      <c r="L273" t="s">
        <v>97</v>
      </c>
      <c r="M273" t="s">
        <v>111</v>
      </c>
      <c r="N273" t="s">
        <v>112</v>
      </c>
      <c r="O273">
        <f t="shared" si="64"/>
        <v>0</v>
      </c>
      <c r="P273">
        <f t="shared" si="65"/>
        <v>0</v>
      </c>
      <c r="Q273">
        <f t="shared" si="66"/>
        <v>0</v>
      </c>
      <c r="R273">
        <f t="shared" si="67"/>
        <v>0</v>
      </c>
      <c r="S273">
        <f t="shared" si="68"/>
        <v>0</v>
      </c>
      <c r="T273">
        <f t="shared" si="69"/>
        <v>0</v>
      </c>
      <c r="U273">
        <f t="shared" si="70"/>
        <v>0</v>
      </c>
      <c r="V273">
        <f t="shared" si="71"/>
        <v>1</v>
      </c>
      <c r="W273">
        <f t="shared" si="72"/>
        <v>0</v>
      </c>
      <c r="X273">
        <f t="shared" si="73"/>
        <v>0</v>
      </c>
      <c r="Y273">
        <f t="shared" si="74"/>
        <v>0</v>
      </c>
      <c r="Z273">
        <f t="shared" si="75"/>
        <v>0</v>
      </c>
      <c r="AA273">
        <f t="shared" si="76"/>
        <v>0</v>
      </c>
      <c r="AB273">
        <f t="shared" si="77"/>
        <v>0</v>
      </c>
      <c r="AC273">
        <f t="shared" si="78"/>
        <v>0</v>
      </c>
      <c r="AD273">
        <f t="shared" si="79"/>
        <v>0</v>
      </c>
      <c r="AE273">
        <v>81.400000000000006</v>
      </c>
      <c r="AF273">
        <v>1.9</v>
      </c>
      <c r="AG273">
        <v>6.48</v>
      </c>
      <c r="AH273" t="s">
        <v>108</v>
      </c>
      <c r="AI273" t="s">
        <v>97</v>
      </c>
      <c r="AJ273" t="s">
        <v>97</v>
      </c>
      <c r="AK273" t="s">
        <v>97</v>
      </c>
      <c r="AL273" t="s">
        <v>97</v>
      </c>
      <c r="AM273">
        <v>2</v>
      </c>
      <c r="AN273" t="s">
        <v>109</v>
      </c>
      <c r="AO273" t="s">
        <v>103</v>
      </c>
      <c r="AP273" t="s">
        <v>103</v>
      </c>
      <c r="AQ273" t="s">
        <v>103</v>
      </c>
      <c r="AR273" t="s">
        <v>190</v>
      </c>
      <c r="AS273" t="s">
        <v>104</v>
      </c>
      <c r="AT273" t="s">
        <v>110</v>
      </c>
      <c r="AU273" t="s">
        <v>97</v>
      </c>
      <c r="AV273" t="s">
        <v>97</v>
      </c>
      <c r="AW273">
        <v>-1.04</v>
      </c>
      <c r="AX273">
        <v>-0.36</v>
      </c>
      <c r="AY273">
        <v>0.01</v>
      </c>
      <c r="AZ273">
        <v>3.23</v>
      </c>
      <c r="BA273" t="s">
        <v>97</v>
      </c>
      <c r="BB273" t="s">
        <v>97</v>
      </c>
      <c r="BC273" t="s">
        <v>97</v>
      </c>
      <c r="BD273">
        <v>1</v>
      </c>
      <c r="BE273" t="s">
        <v>97</v>
      </c>
      <c r="BF273" t="s">
        <v>97</v>
      </c>
      <c r="BG273" t="s">
        <v>97</v>
      </c>
      <c r="BH273" t="s">
        <v>97</v>
      </c>
      <c r="BI273">
        <v>669257</v>
      </c>
      <c r="BJ273">
        <v>669257</v>
      </c>
      <c r="BK273" t="s">
        <v>97</v>
      </c>
      <c r="BL273" t="s">
        <v>97</v>
      </c>
      <c r="BM273">
        <v>-2.263557955</v>
      </c>
      <c r="BN273">
        <v>-118.4610668</v>
      </c>
      <c r="BO273">
        <v>6.3735068000000006E-2</v>
      </c>
      <c r="BP273">
        <v>-9.1820702460000003</v>
      </c>
      <c r="BQ273">
        <v>25.29826439</v>
      </c>
      <c r="BR273">
        <v>-35.780627440000004</v>
      </c>
      <c r="BS273">
        <v>3.29</v>
      </c>
      <c r="BT273">
        <v>1.69</v>
      </c>
      <c r="BU273" t="s">
        <v>97</v>
      </c>
      <c r="BV273" t="s">
        <v>97</v>
      </c>
      <c r="BW273" t="s">
        <v>97</v>
      </c>
      <c r="BX273">
        <v>81.5</v>
      </c>
      <c r="BY273">
        <v>2565</v>
      </c>
      <c r="BZ273">
        <v>6.6</v>
      </c>
      <c r="CA273">
        <v>813036</v>
      </c>
      <c r="CB273">
        <v>669257</v>
      </c>
      <c r="CC273">
        <v>669257</v>
      </c>
      <c r="CD273">
        <v>518692</v>
      </c>
      <c r="CE273">
        <v>669242</v>
      </c>
      <c r="CF273">
        <v>571970</v>
      </c>
      <c r="CG273">
        <v>605141</v>
      </c>
      <c r="CH273">
        <v>571771</v>
      </c>
      <c r="CI273">
        <v>681624</v>
      </c>
      <c r="CJ273">
        <v>606192</v>
      </c>
      <c r="CK273">
        <v>53.88</v>
      </c>
      <c r="CL273" t="s">
        <v>97</v>
      </c>
      <c r="CM273" t="s">
        <v>97</v>
      </c>
      <c r="CN273" t="s">
        <v>97</v>
      </c>
      <c r="CO273" t="s">
        <v>97</v>
      </c>
      <c r="CP273" t="s">
        <v>97</v>
      </c>
      <c r="CQ273" t="s">
        <v>97</v>
      </c>
      <c r="CR273" t="s">
        <v>97</v>
      </c>
      <c r="CS273">
        <v>0</v>
      </c>
      <c r="CT273">
        <v>1</v>
      </c>
      <c r="CU273">
        <v>0</v>
      </c>
      <c r="CV273">
        <v>1</v>
      </c>
      <c r="CW273">
        <v>1</v>
      </c>
      <c r="CX273">
        <v>0</v>
      </c>
      <c r="CY273">
        <v>0</v>
      </c>
      <c r="CZ273">
        <v>1</v>
      </c>
      <c r="DA273" t="s">
        <v>107</v>
      </c>
      <c r="DB273" t="s">
        <v>107</v>
      </c>
      <c r="DC273">
        <v>314</v>
      </c>
      <c r="DD273">
        <v>0</v>
      </c>
      <c r="DE273">
        <v>-3.9E-2</v>
      </c>
      <c r="DF273" t="s">
        <v>97</v>
      </c>
      <c r="DG273" t="s">
        <v>97</v>
      </c>
    </row>
    <row r="274" spans="1:111" x14ac:dyDescent="0.2">
      <c r="A274">
        <v>2025</v>
      </c>
      <c r="B274" s="1">
        <v>45943</v>
      </c>
      <c r="C274" t="s">
        <v>95</v>
      </c>
      <c r="D274">
        <v>605483</v>
      </c>
      <c r="E274">
        <v>592885</v>
      </c>
      <c r="F274">
        <v>0</v>
      </c>
      <c r="G274">
        <v>1</v>
      </c>
      <c r="H274">
        <v>7</v>
      </c>
      <c r="I274" t="s">
        <v>163</v>
      </c>
      <c r="J274">
        <v>49</v>
      </c>
      <c r="K274">
        <v>2</v>
      </c>
      <c r="L274" t="s">
        <v>97</v>
      </c>
      <c r="M274" t="s">
        <v>138</v>
      </c>
      <c r="N274" t="s">
        <v>139</v>
      </c>
      <c r="O274">
        <f t="shared" si="64"/>
        <v>0</v>
      </c>
      <c r="P274">
        <f t="shared" si="65"/>
        <v>0</v>
      </c>
      <c r="Q274">
        <f t="shared" si="66"/>
        <v>0</v>
      </c>
      <c r="R274">
        <f t="shared" si="67"/>
        <v>0</v>
      </c>
      <c r="S274">
        <f t="shared" si="68"/>
        <v>0</v>
      </c>
      <c r="T274">
        <f t="shared" si="69"/>
        <v>0</v>
      </c>
      <c r="U274">
        <f t="shared" si="70"/>
        <v>0</v>
      </c>
      <c r="V274">
        <f t="shared" si="71"/>
        <v>0</v>
      </c>
      <c r="W274">
        <f t="shared" si="72"/>
        <v>0</v>
      </c>
      <c r="X274">
        <f t="shared" si="73"/>
        <v>0</v>
      </c>
      <c r="Y274">
        <f t="shared" si="74"/>
        <v>0</v>
      </c>
      <c r="Z274">
        <f t="shared" si="75"/>
        <v>0</v>
      </c>
      <c r="AA274">
        <f t="shared" si="76"/>
        <v>1</v>
      </c>
      <c r="AB274">
        <f t="shared" si="77"/>
        <v>0</v>
      </c>
      <c r="AC274">
        <f t="shared" si="78"/>
        <v>0</v>
      </c>
      <c r="AD274">
        <f t="shared" si="79"/>
        <v>0</v>
      </c>
      <c r="AE274">
        <v>87.9</v>
      </c>
      <c r="AF274">
        <v>2</v>
      </c>
      <c r="AG274">
        <v>6.43</v>
      </c>
      <c r="AH274" t="s">
        <v>100</v>
      </c>
      <c r="AI274" t="s">
        <v>97</v>
      </c>
      <c r="AJ274" t="s">
        <v>97</v>
      </c>
      <c r="AK274" t="s">
        <v>97</v>
      </c>
      <c r="AL274" t="s">
        <v>97</v>
      </c>
      <c r="AM274">
        <v>13</v>
      </c>
      <c r="AN274" t="s">
        <v>101</v>
      </c>
      <c r="AO274" t="s">
        <v>103</v>
      </c>
      <c r="AP274" t="s">
        <v>103</v>
      </c>
      <c r="AQ274" t="s">
        <v>103</v>
      </c>
      <c r="AR274" t="s">
        <v>190</v>
      </c>
      <c r="AS274" t="s">
        <v>104</v>
      </c>
      <c r="AT274" t="s">
        <v>106</v>
      </c>
      <c r="AU274" t="s">
        <v>97</v>
      </c>
      <c r="AV274" t="s">
        <v>97</v>
      </c>
      <c r="AW274">
        <v>-0.09</v>
      </c>
      <c r="AX274">
        <v>0.68</v>
      </c>
      <c r="AY274">
        <v>-0.14000000000000001</v>
      </c>
      <c r="AZ274">
        <v>0.63</v>
      </c>
      <c r="BA274" t="s">
        <v>97</v>
      </c>
      <c r="BB274" t="s">
        <v>97</v>
      </c>
      <c r="BC274" t="s">
        <v>97</v>
      </c>
      <c r="BD274">
        <v>1</v>
      </c>
      <c r="BE274" t="s">
        <v>97</v>
      </c>
      <c r="BF274" t="s">
        <v>97</v>
      </c>
      <c r="BG274" t="s">
        <v>97</v>
      </c>
      <c r="BH274" t="s">
        <v>97</v>
      </c>
      <c r="BI274">
        <v>669257</v>
      </c>
      <c r="BJ274">
        <v>669257</v>
      </c>
      <c r="BK274" t="s">
        <v>97</v>
      </c>
      <c r="BL274" t="s">
        <v>97</v>
      </c>
      <c r="BM274">
        <v>-5.0166887759999996</v>
      </c>
      <c r="BN274">
        <v>-127.5436337</v>
      </c>
      <c r="BO274">
        <v>-9.3227161429999992</v>
      </c>
      <c r="BP274">
        <v>0.156630294</v>
      </c>
      <c r="BQ274">
        <v>29.036572790000001</v>
      </c>
      <c r="BR274">
        <v>-22.85980777</v>
      </c>
      <c r="BS274">
        <v>3.34</v>
      </c>
      <c r="BT274">
        <v>1.69</v>
      </c>
      <c r="BU274" t="s">
        <v>97</v>
      </c>
      <c r="BV274" t="s">
        <v>97</v>
      </c>
      <c r="BW274" t="s">
        <v>97</v>
      </c>
      <c r="BX274">
        <v>88</v>
      </c>
      <c r="BY274">
        <v>2326</v>
      </c>
      <c r="BZ274">
        <v>6.8</v>
      </c>
      <c r="CA274">
        <v>813036</v>
      </c>
      <c r="CB274">
        <v>669257</v>
      </c>
      <c r="CC274">
        <v>669257</v>
      </c>
      <c r="CD274">
        <v>518692</v>
      </c>
      <c r="CE274">
        <v>669242</v>
      </c>
      <c r="CF274">
        <v>571970</v>
      </c>
      <c r="CG274">
        <v>605141</v>
      </c>
      <c r="CH274">
        <v>571771</v>
      </c>
      <c r="CI274">
        <v>681624</v>
      </c>
      <c r="CJ274">
        <v>606192</v>
      </c>
      <c r="CK274">
        <v>53.75</v>
      </c>
      <c r="CL274" t="s">
        <v>97</v>
      </c>
      <c r="CM274" t="s">
        <v>97</v>
      </c>
      <c r="CN274" t="s">
        <v>97</v>
      </c>
      <c r="CO274" t="s">
        <v>97</v>
      </c>
      <c r="CP274" t="s">
        <v>97</v>
      </c>
      <c r="CQ274" t="s">
        <v>97</v>
      </c>
      <c r="CR274" t="s">
        <v>97</v>
      </c>
      <c r="CS274">
        <v>0</v>
      </c>
      <c r="CT274">
        <v>1</v>
      </c>
      <c r="CU274">
        <v>0</v>
      </c>
      <c r="CV274">
        <v>1</v>
      </c>
      <c r="CW274">
        <v>1</v>
      </c>
      <c r="CX274">
        <v>0</v>
      </c>
      <c r="CY274">
        <v>0</v>
      </c>
      <c r="CZ274">
        <v>1</v>
      </c>
      <c r="DA274" t="s">
        <v>107</v>
      </c>
      <c r="DB274" t="s">
        <v>107</v>
      </c>
      <c r="DC274">
        <v>170</v>
      </c>
      <c r="DD274">
        <v>0</v>
      </c>
      <c r="DE274">
        <v>2.8000000000000001E-2</v>
      </c>
      <c r="DF274" t="s">
        <v>97</v>
      </c>
      <c r="DG274" t="s">
        <v>97</v>
      </c>
    </row>
    <row r="275" spans="1:111" x14ac:dyDescent="0.2">
      <c r="A275">
        <v>2025</v>
      </c>
      <c r="B275" s="1">
        <v>45943</v>
      </c>
      <c r="C275" t="s">
        <v>95</v>
      </c>
      <c r="D275">
        <v>605483</v>
      </c>
      <c r="E275">
        <v>592885</v>
      </c>
      <c r="F275">
        <v>1</v>
      </c>
      <c r="G275">
        <v>1</v>
      </c>
      <c r="H275">
        <v>7</v>
      </c>
      <c r="I275" t="s">
        <v>163</v>
      </c>
      <c r="J275">
        <v>49</v>
      </c>
      <c r="K275">
        <v>3</v>
      </c>
      <c r="L275" t="s">
        <v>97</v>
      </c>
      <c r="M275" t="s">
        <v>138</v>
      </c>
      <c r="N275" t="s">
        <v>139</v>
      </c>
      <c r="O275">
        <f t="shared" si="64"/>
        <v>0</v>
      </c>
      <c r="P275">
        <f t="shared" si="65"/>
        <v>0</v>
      </c>
      <c r="Q275">
        <f t="shared" si="66"/>
        <v>0</v>
      </c>
      <c r="R275">
        <f t="shared" si="67"/>
        <v>0</v>
      </c>
      <c r="S275">
        <f t="shared" si="68"/>
        <v>0</v>
      </c>
      <c r="T275">
        <f t="shared" si="69"/>
        <v>0</v>
      </c>
      <c r="U275">
        <f t="shared" si="70"/>
        <v>0</v>
      </c>
      <c r="V275">
        <f t="shared" si="71"/>
        <v>0</v>
      </c>
      <c r="W275">
        <f t="shared" si="72"/>
        <v>0</v>
      </c>
      <c r="X275">
        <f t="shared" si="73"/>
        <v>0</v>
      </c>
      <c r="Y275">
        <f t="shared" si="74"/>
        <v>0</v>
      </c>
      <c r="Z275">
        <f t="shared" si="75"/>
        <v>0</v>
      </c>
      <c r="AA275">
        <f t="shared" si="76"/>
        <v>0</v>
      </c>
      <c r="AB275">
        <f t="shared" si="77"/>
        <v>0</v>
      </c>
      <c r="AC275">
        <f t="shared" si="78"/>
        <v>1</v>
      </c>
      <c r="AD275">
        <f t="shared" si="79"/>
        <v>0</v>
      </c>
      <c r="AE275">
        <v>89.3</v>
      </c>
      <c r="AF275">
        <v>1.93</v>
      </c>
      <c r="AG275">
        <v>6.51</v>
      </c>
      <c r="AH275" t="s">
        <v>100</v>
      </c>
      <c r="AI275" t="s">
        <v>97</v>
      </c>
      <c r="AJ275" t="s">
        <v>97</v>
      </c>
      <c r="AK275" t="s">
        <v>97</v>
      </c>
      <c r="AL275" t="s">
        <v>97</v>
      </c>
      <c r="AM275">
        <v>13</v>
      </c>
      <c r="AN275" t="s">
        <v>101</v>
      </c>
      <c r="AO275" t="s">
        <v>103</v>
      </c>
      <c r="AP275" t="s">
        <v>103</v>
      </c>
      <c r="AQ275" t="s">
        <v>103</v>
      </c>
      <c r="AR275" t="s">
        <v>190</v>
      </c>
      <c r="AS275" t="s">
        <v>104</v>
      </c>
      <c r="AT275" t="s">
        <v>106</v>
      </c>
      <c r="AU275" t="s">
        <v>97</v>
      </c>
      <c r="AV275" t="s">
        <v>97</v>
      </c>
      <c r="AW275">
        <v>-0.43</v>
      </c>
      <c r="AX275">
        <v>1.1000000000000001</v>
      </c>
      <c r="AY275">
        <v>-1.58</v>
      </c>
      <c r="AZ275">
        <v>1.8</v>
      </c>
      <c r="BA275" t="s">
        <v>97</v>
      </c>
      <c r="BB275" t="s">
        <v>97</v>
      </c>
      <c r="BC275" t="s">
        <v>97</v>
      </c>
      <c r="BD275">
        <v>1</v>
      </c>
      <c r="BE275" t="s">
        <v>97</v>
      </c>
      <c r="BF275" t="s">
        <v>97</v>
      </c>
      <c r="BG275" t="s">
        <v>97</v>
      </c>
      <c r="BH275" t="s">
        <v>97</v>
      </c>
      <c r="BI275">
        <v>669257</v>
      </c>
      <c r="BJ275">
        <v>669257</v>
      </c>
      <c r="BK275" t="s">
        <v>97</v>
      </c>
      <c r="BL275" t="s">
        <v>97</v>
      </c>
      <c r="BM275">
        <v>-7.7451587130000004</v>
      </c>
      <c r="BN275">
        <v>-129.5759429</v>
      </c>
      <c r="BO275">
        <v>-7.8571066040000002</v>
      </c>
      <c r="BP275">
        <v>-3.1822438709999998</v>
      </c>
      <c r="BQ275">
        <v>28.307772679999999</v>
      </c>
      <c r="BR275">
        <v>-18.32144327</v>
      </c>
      <c r="BS275">
        <v>3.33</v>
      </c>
      <c r="BT275">
        <v>1.55</v>
      </c>
      <c r="BU275" t="s">
        <v>97</v>
      </c>
      <c r="BV275" t="s">
        <v>97</v>
      </c>
      <c r="BW275" t="s">
        <v>97</v>
      </c>
      <c r="BX275">
        <v>89.5</v>
      </c>
      <c r="BY275">
        <v>2385</v>
      </c>
      <c r="BZ275">
        <v>6.7</v>
      </c>
      <c r="CA275">
        <v>813036</v>
      </c>
      <c r="CB275">
        <v>669257</v>
      </c>
      <c r="CC275">
        <v>669257</v>
      </c>
      <c r="CD275">
        <v>518692</v>
      </c>
      <c r="CE275">
        <v>669242</v>
      </c>
      <c r="CF275">
        <v>571970</v>
      </c>
      <c r="CG275">
        <v>605141</v>
      </c>
      <c r="CH275">
        <v>571771</v>
      </c>
      <c r="CI275">
        <v>681624</v>
      </c>
      <c r="CJ275">
        <v>606192</v>
      </c>
      <c r="CK275">
        <v>53.84</v>
      </c>
      <c r="CL275" t="s">
        <v>97</v>
      </c>
      <c r="CM275" t="s">
        <v>97</v>
      </c>
      <c r="CN275" t="s">
        <v>97</v>
      </c>
      <c r="CO275" t="s">
        <v>97</v>
      </c>
      <c r="CP275" t="s">
        <v>97</v>
      </c>
      <c r="CQ275" t="s">
        <v>97</v>
      </c>
      <c r="CR275" t="s">
        <v>97</v>
      </c>
      <c r="CS275">
        <v>0</v>
      </c>
      <c r="CT275">
        <v>1</v>
      </c>
      <c r="CU275">
        <v>0</v>
      </c>
      <c r="CV275">
        <v>1</v>
      </c>
      <c r="CW275">
        <v>1</v>
      </c>
      <c r="CX275">
        <v>0</v>
      </c>
      <c r="CY275">
        <v>0</v>
      </c>
      <c r="CZ275">
        <v>1</v>
      </c>
      <c r="DA275" t="s">
        <v>107</v>
      </c>
      <c r="DB275" t="s">
        <v>107</v>
      </c>
      <c r="DC275">
        <v>173</v>
      </c>
      <c r="DD275">
        <v>0</v>
      </c>
      <c r="DE275">
        <v>5.5E-2</v>
      </c>
      <c r="DF275" t="s">
        <v>97</v>
      </c>
      <c r="DG275" t="s">
        <v>97</v>
      </c>
    </row>
    <row r="276" spans="1:111" x14ac:dyDescent="0.2">
      <c r="A276">
        <v>2025</v>
      </c>
      <c r="B276" s="1">
        <v>45943</v>
      </c>
      <c r="C276" t="s">
        <v>95</v>
      </c>
      <c r="D276">
        <v>605483</v>
      </c>
      <c r="E276">
        <v>592885</v>
      </c>
      <c r="F276">
        <v>2</v>
      </c>
      <c r="G276">
        <v>1</v>
      </c>
      <c r="H276">
        <v>7</v>
      </c>
      <c r="I276" t="s">
        <v>163</v>
      </c>
      <c r="J276">
        <v>49</v>
      </c>
      <c r="K276">
        <v>4</v>
      </c>
      <c r="L276" t="s">
        <v>97</v>
      </c>
      <c r="M276" t="s">
        <v>111</v>
      </c>
      <c r="N276" t="s">
        <v>112</v>
      </c>
      <c r="O276">
        <f t="shared" si="64"/>
        <v>0</v>
      </c>
      <c r="P276">
        <f t="shared" si="65"/>
        <v>0</v>
      </c>
      <c r="Q276">
        <f t="shared" si="66"/>
        <v>0</v>
      </c>
      <c r="R276">
        <f t="shared" si="67"/>
        <v>0</v>
      </c>
      <c r="S276">
        <f t="shared" si="68"/>
        <v>0</v>
      </c>
      <c r="T276">
        <f t="shared" si="69"/>
        <v>0</v>
      </c>
      <c r="U276">
        <f t="shared" si="70"/>
        <v>1</v>
      </c>
      <c r="V276">
        <f t="shared" si="71"/>
        <v>0</v>
      </c>
      <c r="W276">
        <f t="shared" si="72"/>
        <v>0</v>
      </c>
      <c r="X276">
        <f t="shared" si="73"/>
        <v>0</v>
      </c>
      <c r="Y276">
        <f t="shared" si="74"/>
        <v>0</v>
      </c>
      <c r="Z276">
        <f t="shared" si="75"/>
        <v>0</v>
      </c>
      <c r="AA276">
        <f t="shared" si="76"/>
        <v>0</v>
      </c>
      <c r="AB276">
        <f t="shared" si="77"/>
        <v>0</v>
      </c>
      <c r="AC276">
        <f t="shared" si="78"/>
        <v>0</v>
      </c>
      <c r="AD276">
        <f t="shared" si="79"/>
        <v>0</v>
      </c>
      <c r="AE276">
        <v>81.7</v>
      </c>
      <c r="AF276">
        <v>1.85</v>
      </c>
      <c r="AG276">
        <v>6.45</v>
      </c>
      <c r="AH276" t="s">
        <v>108</v>
      </c>
      <c r="AI276" t="s">
        <v>97</v>
      </c>
      <c r="AJ276" t="s">
        <v>97</v>
      </c>
      <c r="AK276" t="s">
        <v>97</v>
      </c>
      <c r="AL276" t="s">
        <v>97</v>
      </c>
      <c r="AM276">
        <v>13</v>
      </c>
      <c r="AN276" t="s">
        <v>109</v>
      </c>
      <c r="AO276" t="s">
        <v>103</v>
      </c>
      <c r="AP276" t="s">
        <v>103</v>
      </c>
      <c r="AQ276" t="s">
        <v>103</v>
      </c>
      <c r="AR276" t="s">
        <v>190</v>
      </c>
      <c r="AS276" t="s">
        <v>104</v>
      </c>
      <c r="AT276" t="s">
        <v>110</v>
      </c>
      <c r="AU276" t="s">
        <v>97</v>
      </c>
      <c r="AV276" t="s">
        <v>97</v>
      </c>
      <c r="AW276">
        <v>-0.84</v>
      </c>
      <c r="AX276">
        <v>-0.37</v>
      </c>
      <c r="AY276">
        <v>-0.86</v>
      </c>
      <c r="AZ276">
        <v>1.92</v>
      </c>
      <c r="BA276" t="s">
        <v>97</v>
      </c>
      <c r="BB276" t="s">
        <v>97</v>
      </c>
      <c r="BC276" t="s">
        <v>97</v>
      </c>
      <c r="BD276">
        <v>1</v>
      </c>
      <c r="BE276" t="s">
        <v>97</v>
      </c>
      <c r="BF276" t="s">
        <v>97</v>
      </c>
      <c r="BG276" t="s">
        <v>97</v>
      </c>
      <c r="BH276" t="s">
        <v>97</v>
      </c>
      <c r="BI276">
        <v>669257</v>
      </c>
      <c r="BJ276">
        <v>669257</v>
      </c>
      <c r="BK276" t="s">
        <v>97</v>
      </c>
      <c r="BL276" t="s">
        <v>97</v>
      </c>
      <c r="BM276">
        <v>-4.5108115700000004</v>
      </c>
      <c r="BN276">
        <v>-118.750467</v>
      </c>
      <c r="BO276">
        <v>-2.7768627279999998</v>
      </c>
      <c r="BP276">
        <v>-6.8136151690000002</v>
      </c>
      <c r="BQ276">
        <v>26.46014083</v>
      </c>
      <c r="BR276">
        <v>-35.282483200000001</v>
      </c>
      <c r="BS276">
        <v>3.27</v>
      </c>
      <c r="BT276">
        <v>1.59</v>
      </c>
      <c r="BU276" t="s">
        <v>97</v>
      </c>
      <c r="BV276" t="s">
        <v>97</v>
      </c>
      <c r="BW276" t="s">
        <v>97</v>
      </c>
      <c r="BX276">
        <v>81.599999999999994</v>
      </c>
      <c r="BY276">
        <v>2555</v>
      </c>
      <c r="BZ276">
        <v>6.7</v>
      </c>
      <c r="CA276">
        <v>813036</v>
      </c>
      <c r="CB276">
        <v>669257</v>
      </c>
      <c r="CC276">
        <v>669257</v>
      </c>
      <c r="CD276">
        <v>518692</v>
      </c>
      <c r="CE276">
        <v>669242</v>
      </c>
      <c r="CF276">
        <v>571970</v>
      </c>
      <c r="CG276">
        <v>605141</v>
      </c>
      <c r="CH276">
        <v>571771</v>
      </c>
      <c r="CI276">
        <v>681624</v>
      </c>
      <c r="CJ276">
        <v>606192</v>
      </c>
      <c r="CK276">
        <v>53.81</v>
      </c>
      <c r="CL276" t="s">
        <v>97</v>
      </c>
      <c r="CM276" t="s">
        <v>97</v>
      </c>
      <c r="CN276" t="s">
        <v>97</v>
      </c>
      <c r="CO276" t="s">
        <v>97</v>
      </c>
      <c r="CP276" t="s">
        <v>97</v>
      </c>
      <c r="CQ276" t="s">
        <v>97</v>
      </c>
      <c r="CR276" t="s">
        <v>97</v>
      </c>
      <c r="CS276">
        <v>0</v>
      </c>
      <c r="CT276">
        <v>1</v>
      </c>
      <c r="CU276">
        <v>0</v>
      </c>
      <c r="CV276">
        <v>1</v>
      </c>
      <c r="CW276">
        <v>1</v>
      </c>
      <c r="CX276">
        <v>0</v>
      </c>
      <c r="CY276">
        <v>0</v>
      </c>
      <c r="CZ276">
        <v>1</v>
      </c>
      <c r="DA276" t="s">
        <v>107</v>
      </c>
      <c r="DB276" t="s">
        <v>107</v>
      </c>
      <c r="DC276">
        <v>324</v>
      </c>
      <c r="DD276">
        <v>0</v>
      </c>
      <c r="DE276">
        <v>-7.0000000000000007E-2</v>
      </c>
      <c r="DF276" t="s">
        <v>97</v>
      </c>
      <c r="DG276" t="s">
        <v>97</v>
      </c>
    </row>
    <row r="277" spans="1:111" x14ac:dyDescent="0.2">
      <c r="A277">
        <v>2025</v>
      </c>
      <c r="B277" s="1">
        <v>45943</v>
      </c>
      <c r="C277" t="s">
        <v>95</v>
      </c>
      <c r="D277">
        <v>605483</v>
      </c>
      <c r="E277">
        <v>592885</v>
      </c>
      <c r="F277">
        <v>2</v>
      </c>
      <c r="G277">
        <v>2</v>
      </c>
      <c r="H277">
        <v>7</v>
      </c>
      <c r="I277" t="s">
        <v>163</v>
      </c>
      <c r="J277">
        <v>49</v>
      </c>
      <c r="K277">
        <v>5</v>
      </c>
      <c r="L277" t="s">
        <v>97</v>
      </c>
      <c r="M277" t="s">
        <v>132</v>
      </c>
      <c r="N277" t="s">
        <v>133</v>
      </c>
      <c r="O277">
        <f t="shared" si="64"/>
        <v>0</v>
      </c>
      <c r="P277">
        <f t="shared" si="65"/>
        <v>0</v>
      </c>
      <c r="Q277">
        <f t="shared" si="66"/>
        <v>0</v>
      </c>
      <c r="R277">
        <f t="shared" si="67"/>
        <v>0</v>
      </c>
      <c r="S277">
        <f t="shared" si="68"/>
        <v>0</v>
      </c>
      <c r="T277">
        <f t="shared" si="69"/>
        <v>0</v>
      </c>
      <c r="U277">
        <f t="shared" si="70"/>
        <v>0</v>
      </c>
      <c r="V277">
        <f t="shared" si="71"/>
        <v>0</v>
      </c>
      <c r="W277">
        <f t="shared" si="72"/>
        <v>0</v>
      </c>
      <c r="X277">
        <f t="shared" si="73"/>
        <v>0</v>
      </c>
      <c r="Y277">
        <f t="shared" si="74"/>
        <v>1</v>
      </c>
      <c r="Z277">
        <f t="shared" si="75"/>
        <v>0</v>
      </c>
      <c r="AA277">
        <f t="shared" si="76"/>
        <v>0</v>
      </c>
      <c r="AB277">
        <f t="shared" si="77"/>
        <v>0</v>
      </c>
      <c r="AC277">
        <f t="shared" si="78"/>
        <v>0</v>
      </c>
      <c r="AD277">
        <f t="shared" si="79"/>
        <v>0</v>
      </c>
      <c r="AE277">
        <v>84</v>
      </c>
      <c r="AF277">
        <v>2.2799999999999998</v>
      </c>
      <c r="AG277">
        <v>6.18</v>
      </c>
      <c r="AH277" t="s">
        <v>100</v>
      </c>
      <c r="AI277" t="s">
        <v>97</v>
      </c>
      <c r="AJ277" t="s">
        <v>97</v>
      </c>
      <c r="AK277" t="s">
        <v>97</v>
      </c>
      <c r="AL277" t="s">
        <v>97</v>
      </c>
      <c r="AM277">
        <v>14</v>
      </c>
      <c r="AN277" t="s">
        <v>101</v>
      </c>
      <c r="AO277" t="s">
        <v>103</v>
      </c>
      <c r="AP277" t="s">
        <v>103</v>
      </c>
      <c r="AQ277" t="s">
        <v>103</v>
      </c>
      <c r="AR277" t="s">
        <v>190</v>
      </c>
      <c r="AS277" t="s">
        <v>104</v>
      </c>
      <c r="AT277" t="s">
        <v>106</v>
      </c>
      <c r="AU277" t="s">
        <v>97</v>
      </c>
      <c r="AV277" t="s">
        <v>97</v>
      </c>
      <c r="AW277">
        <v>1.31</v>
      </c>
      <c r="AX277">
        <v>0.82</v>
      </c>
      <c r="AY277">
        <v>0.9</v>
      </c>
      <c r="AZ277">
        <v>1.1599999999999999</v>
      </c>
      <c r="BA277" t="s">
        <v>97</v>
      </c>
      <c r="BB277" t="s">
        <v>97</v>
      </c>
      <c r="BC277" t="s">
        <v>97</v>
      </c>
      <c r="BD277">
        <v>1</v>
      </c>
      <c r="BE277" t="s">
        <v>97</v>
      </c>
      <c r="BF277" t="s">
        <v>97</v>
      </c>
      <c r="BG277" t="s">
        <v>97</v>
      </c>
      <c r="BH277" t="s">
        <v>97</v>
      </c>
      <c r="BI277">
        <v>669257</v>
      </c>
      <c r="BJ277">
        <v>669257</v>
      </c>
      <c r="BK277" t="s">
        <v>97</v>
      </c>
      <c r="BL277" t="s">
        <v>97</v>
      </c>
      <c r="BM277">
        <v>-5.8382894409999997</v>
      </c>
      <c r="BN277">
        <v>-122.00208600000001</v>
      </c>
      <c r="BO277">
        <v>-6.8266972670000001</v>
      </c>
      <c r="BP277">
        <v>14.2805119</v>
      </c>
      <c r="BQ277">
        <v>26.288882189999999</v>
      </c>
      <c r="BR277">
        <v>-22.722959920000001</v>
      </c>
      <c r="BS277">
        <v>3.25</v>
      </c>
      <c r="BT277">
        <v>1.5</v>
      </c>
      <c r="BU277" t="s">
        <v>97</v>
      </c>
      <c r="BV277" t="s">
        <v>97</v>
      </c>
      <c r="BW277" t="s">
        <v>97</v>
      </c>
      <c r="BX277">
        <v>84.3</v>
      </c>
      <c r="BY277">
        <v>1894</v>
      </c>
      <c r="BZ277">
        <v>6.8</v>
      </c>
      <c r="CA277">
        <v>813036</v>
      </c>
      <c r="CB277">
        <v>669257</v>
      </c>
      <c r="CC277">
        <v>669257</v>
      </c>
      <c r="CD277">
        <v>518692</v>
      </c>
      <c r="CE277">
        <v>669242</v>
      </c>
      <c r="CF277">
        <v>571970</v>
      </c>
      <c r="CG277">
        <v>605141</v>
      </c>
      <c r="CH277">
        <v>571771</v>
      </c>
      <c r="CI277">
        <v>681624</v>
      </c>
      <c r="CJ277">
        <v>606192</v>
      </c>
      <c r="CK277">
        <v>53.69</v>
      </c>
      <c r="CL277" t="s">
        <v>97</v>
      </c>
      <c r="CM277" t="s">
        <v>97</v>
      </c>
      <c r="CN277" t="s">
        <v>97</v>
      </c>
      <c r="CO277" t="s">
        <v>97</v>
      </c>
      <c r="CP277" t="s">
        <v>97</v>
      </c>
      <c r="CQ277" t="s">
        <v>97</v>
      </c>
      <c r="CR277" t="s">
        <v>97</v>
      </c>
      <c r="CS277">
        <v>0</v>
      </c>
      <c r="CT277">
        <v>1</v>
      </c>
      <c r="CU277">
        <v>0</v>
      </c>
      <c r="CV277">
        <v>1</v>
      </c>
      <c r="CW277">
        <v>1</v>
      </c>
      <c r="CX277">
        <v>0</v>
      </c>
      <c r="CY277">
        <v>0</v>
      </c>
      <c r="CZ277">
        <v>1</v>
      </c>
      <c r="DA277" t="s">
        <v>115</v>
      </c>
      <c r="DB277" t="s">
        <v>107</v>
      </c>
      <c r="DC277">
        <v>126</v>
      </c>
      <c r="DD277">
        <v>0</v>
      </c>
      <c r="DE277">
        <v>0.104</v>
      </c>
      <c r="DF277" t="s">
        <v>97</v>
      </c>
      <c r="DG277" t="s">
        <v>97</v>
      </c>
    </row>
    <row r="278" spans="1:111" x14ac:dyDescent="0.2">
      <c r="A278">
        <v>2025</v>
      </c>
      <c r="B278" s="1">
        <v>45943</v>
      </c>
      <c r="C278" t="s">
        <v>95</v>
      </c>
      <c r="D278">
        <v>605483</v>
      </c>
      <c r="E278">
        <v>592885</v>
      </c>
      <c r="F278">
        <v>3</v>
      </c>
      <c r="G278">
        <v>2</v>
      </c>
      <c r="H278">
        <v>7</v>
      </c>
      <c r="I278" t="s">
        <v>163</v>
      </c>
      <c r="J278">
        <v>49</v>
      </c>
      <c r="K278">
        <v>6</v>
      </c>
      <c r="L278" t="s">
        <v>119</v>
      </c>
      <c r="M278" t="s">
        <v>111</v>
      </c>
      <c r="N278" t="s">
        <v>112</v>
      </c>
      <c r="O278">
        <f t="shared" si="64"/>
        <v>0</v>
      </c>
      <c r="P278">
        <f t="shared" si="65"/>
        <v>0</v>
      </c>
      <c r="Q278">
        <f t="shared" si="66"/>
        <v>0</v>
      </c>
      <c r="R278">
        <f t="shared" si="67"/>
        <v>0</v>
      </c>
      <c r="S278">
        <f t="shared" si="68"/>
        <v>0</v>
      </c>
      <c r="T278">
        <f t="shared" si="69"/>
        <v>0</v>
      </c>
      <c r="U278">
        <f t="shared" si="70"/>
        <v>1</v>
      </c>
      <c r="V278">
        <f t="shared" si="71"/>
        <v>0</v>
      </c>
      <c r="W278">
        <f t="shared" si="72"/>
        <v>0</v>
      </c>
      <c r="X278">
        <f t="shared" si="73"/>
        <v>0</v>
      </c>
      <c r="Y278">
        <f t="shared" si="74"/>
        <v>0</v>
      </c>
      <c r="Z278">
        <f t="shared" si="75"/>
        <v>0</v>
      </c>
      <c r="AA278">
        <f t="shared" si="76"/>
        <v>0</v>
      </c>
      <c r="AB278">
        <f t="shared" si="77"/>
        <v>0</v>
      </c>
      <c r="AC278">
        <f t="shared" si="78"/>
        <v>0</v>
      </c>
      <c r="AD278">
        <f t="shared" si="79"/>
        <v>0</v>
      </c>
      <c r="AE278">
        <v>83.9</v>
      </c>
      <c r="AF278">
        <v>1.91</v>
      </c>
      <c r="AG278">
        <v>6.47</v>
      </c>
      <c r="AH278" t="s">
        <v>120</v>
      </c>
      <c r="AI278" t="s">
        <v>97</v>
      </c>
      <c r="AJ278" t="s">
        <v>97</v>
      </c>
      <c r="AK278" t="s">
        <v>97</v>
      </c>
      <c r="AL278" t="s">
        <v>97</v>
      </c>
      <c r="AM278">
        <v>8</v>
      </c>
      <c r="AN278" t="s">
        <v>208</v>
      </c>
      <c r="AO278" t="s">
        <v>103</v>
      </c>
      <c r="AP278" t="s">
        <v>103</v>
      </c>
      <c r="AQ278" t="s">
        <v>103</v>
      </c>
      <c r="AR278" t="s">
        <v>190</v>
      </c>
      <c r="AS278" t="s">
        <v>104</v>
      </c>
      <c r="AT278" t="s">
        <v>123</v>
      </c>
      <c r="AU278">
        <v>4</v>
      </c>
      <c r="AV278" t="s">
        <v>127</v>
      </c>
      <c r="AW278">
        <v>-1.06</v>
      </c>
      <c r="AX278">
        <v>-0.21</v>
      </c>
      <c r="AY278">
        <v>-0.19</v>
      </c>
      <c r="AZ278">
        <v>1.76</v>
      </c>
      <c r="BA278" t="s">
        <v>97</v>
      </c>
      <c r="BB278" t="s">
        <v>97</v>
      </c>
      <c r="BC278" t="s">
        <v>97</v>
      </c>
      <c r="BD278">
        <v>1</v>
      </c>
      <c r="BE278">
        <v>141.38</v>
      </c>
      <c r="BF278">
        <v>146.52000000000001</v>
      </c>
      <c r="BG278" t="s">
        <v>97</v>
      </c>
      <c r="BH278" t="s">
        <v>97</v>
      </c>
      <c r="BI278">
        <v>669257</v>
      </c>
      <c r="BJ278">
        <v>669257</v>
      </c>
      <c r="BK278" t="s">
        <v>97</v>
      </c>
      <c r="BL278" t="s">
        <v>97</v>
      </c>
      <c r="BM278">
        <v>-2.758062657</v>
      </c>
      <c r="BN278">
        <v>-121.9708243</v>
      </c>
      <c r="BO278">
        <v>-3.945073662</v>
      </c>
      <c r="BP278">
        <v>-9.8093063879999995</v>
      </c>
      <c r="BQ278">
        <v>28.651813610000001</v>
      </c>
      <c r="BR278">
        <v>-33.564732599999999</v>
      </c>
      <c r="BS278">
        <v>3.25</v>
      </c>
      <c r="BT278">
        <v>1.69</v>
      </c>
      <c r="BU278">
        <v>9</v>
      </c>
      <c r="BV278">
        <v>100.3</v>
      </c>
      <c r="BW278">
        <v>-11</v>
      </c>
      <c r="BX278">
        <v>83.8</v>
      </c>
      <c r="BY278">
        <v>2568</v>
      </c>
      <c r="BZ278">
        <v>6.7</v>
      </c>
      <c r="CA278">
        <v>813036</v>
      </c>
      <c r="CB278">
        <v>669257</v>
      </c>
      <c r="CC278">
        <v>669257</v>
      </c>
      <c r="CD278">
        <v>518692</v>
      </c>
      <c r="CE278">
        <v>669242</v>
      </c>
      <c r="CF278">
        <v>571970</v>
      </c>
      <c r="CG278">
        <v>605141</v>
      </c>
      <c r="CH278">
        <v>571771</v>
      </c>
      <c r="CI278">
        <v>681624</v>
      </c>
      <c r="CJ278">
        <v>606192</v>
      </c>
      <c r="CK278">
        <v>53.8</v>
      </c>
      <c r="CL278">
        <v>0.249</v>
      </c>
      <c r="CM278">
        <v>0.23899999999999999</v>
      </c>
      <c r="CN278">
        <v>0</v>
      </c>
      <c r="CO278">
        <v>1</v>
      </c>
      <c r="CP278">
        <v>0</v>
      </c>
      <c r="CQ278">
        <v>0</v>
      </c>
      <c r="CR278">
        <v>2</v>
      </c>
      <c r="CS278">
        <v>0</v>
      </c>
      <c r="CT278">
        <v>1</v>
      </c>
      <c r="CU278">
        <v>0</v>
      </c>
      <c r="CV278">
        <v>1</v>
      </c>
      <c r="CW278">
        <v>1</v>
      </c>
      <c r="CX278">
        <v>0</v>
      </c>
      <c r="CY278">
        <v>0</v>
      </c>
      <c r="CZ278">
        <v>1</v>
      </c>
      <c r="DA278" t="s">
        <v>115</v>
      </c>
      <c r="DB278" t="s">
        <v>107</v>
      </c>
      <c r="DC278">
        <v>309</v>
      </c>
      <c r="DD278">
        <v>-3.5000000000000003E-2</v>
      </c>
      <c r="DE278">
        <v>-0.33200000000000002</v>
      </c>
      <c r="DF278">
        <v>72.7</v>
      </c>
      <c r="DG278">
        <v>7.4</v>
      </c>
    </row>
    <row r="279" spans="1:111" x14ac:dyDescent="0.2">
      <c r="A279">
        <v>2025</v>
      </c>
      <c r="B279" s="1">
        <v>45943</v>
      </c>
      <c r="C279" t="s">
        <v>95</v>
      </c>
      <c r="D279">
        <v>605483</v>
      </c>
      <c r="E279">
        <v>661388</v>
      </c>
      <c r="F279">
        <v>0</v>
      </c>
      <c r="G279">
        <v>0</v>
      </c>
      <c r="H279">
        <v>7</v>
      </c>
      <c r="I279" t="s">
        <v>163</v>
      </c>
      <c r="J279">
        <v>50</v>
      </c>
      <c r="K279">
        <v>1</v>
      </c>
      <c r="L279" t="s">
        <v>97</v>
      </c>
      <c r="M279" t="s">
        <v>132</v>
      </c>
      <c r="N279" t="s">
        <v>133</v>
      </c>
      <c r="O279">
        <f t="shared" si="64"/>
        <v>0</v>
      </c>
      <c r="P279">
        <f t="shared" si="65"/>
        <v>0</v>
      </c>
      <c r="Q279">
        <f t="shared" si="66"/>
        <v>0</v>
      </c>
      <c r="R279">
        <f t="shared" si="67"/>
        <v>0</v>
      </c>
      <c r="S279">
        <f t="shared" si="68"/>
        <v>0</v>
      </c>
      <c r="T279">
        <f t="shared" si="69"/>
        <v>0</v>
      </c>
      <c r="U279">
        <f t="shared" si="70"/>
        <v>0</v>
      </c>
      <c r="V279">
        <f t="shared" si="71"/>
        <v>0</v>
      </c>
      <c r="W279">
        <f t="shared" si="72"/>
        <v>1</v>
      </c>
      <c r="X279">
        <f t="shared" si="73"/>
        <v>0</v>
      </c>
      <c r="Y279">
        <f t="shared" si="74"/>
        <v>0</v>
      </c>
      <c r="Z279">
        <f t="shared" si="75"/>
        <v>0</v>
      </c>
      <c r="AA279">
        <f t="shared" si="76"/>
        <v>0</v>
      </c>
      <c r="AB279">
        <f t="shared" si="77"/>
        <v>0</v>
      </c>
      <c r="AC279">
        <f t="shared" si="78"/>
        <v>0</v>
      </c>
      <c r="AD279">
        <f t="shared" si="79"/>
        <v>0</v>
      </c>
      <c r="AE279">
        <v>85.2</v>
      </c>
      <c r="AF279">
        <v>2.16</v>
      </c>
      <c r="AG279">
        <v>6.28</v>
      </c>
      <c r="AH279" t="s">
        <v>129</v>
      </c>
      <c r="AI279" t="s">
        <v>97</v>
      </c>
      <c r="AJ279" t="s">
        <v>97</v>
      </c>
      <c r="AK279" t="s">
        <v>97</v>
      </c>
      <c r="AL279" t="s">
        <v>97</v>
      </c>
      <c r="AM279">
        <v>8</v>
      </c>
      <c r="AN279" t="s">
        <v>130</v>
      </c>
      <c r="AO279" t="s">
        <v>103</v>
      </c>
      <c r="AP279" t="s">
        <v>122</v>
      </c>
      <c r="AQ279" t="s">
        <v>103</v>
      </c>
      <c r="AR279" t="s">
        <v>190</v>
      </c>
      <c r="AS279" t="s">
        <v>104</v>
      </c>
      <c r="AT279" t="s">
        <v>110</v>
      </c>
      <c r="AU279" t="s">
        <v>97</v>
      </c>
      <c r="AV279" t="s">
        <v>97</v>
      </c>
      <c r="AW279">
        <v>1.1399999999999999</v>
      </c>
      <c r="AX279">
        <v>0.91</v>
      </c>
      <c r="AY279">
        <v>-0.02</v>
      </c>
      <c r="AZ279">
        <v>1.53</v>
      </c>
      <c r="BA279" t="s">
        <v>97</v>
      </c>
      <c r="BB279" t="s">
        <v>97</v>
      </c>
      <c r="BC279" t="s">
        <v>97</v>
      </c>
      <c r="BD279">
        <v>2</v>
      </c>
      <c r="BE279" t="s">
        <v>97</v>
      </c>
      <c r="BF279" t="s">
        <v>97</v>
      </c>
      <c r="BG279" t="s">
        <v>97</v>
      </c>
      <c r="BH279" t="s">
        <v>97</v>
      </c>
      <c r="BI279">
        <v>669257</v>
      </c>
      <c r="BJ279">
        <v>669257</v>
      </c>
      <c r="BK279" t="s">
        <v>97</v>
      </c>
      <c r="BL279" t="s">
        <v>97</v>
      </c>
      <c r="BM279">
        <v>-7.4776348669999999</v>
      </c>
      <c r="BN279">
        <v>-123.7527382</v>
      </c>
      <c r="BO279">
        <v>-6.6698532430000004</v>
      </c>
      <c r="BP279">
        <v>13.239178750000001</v>
      </c>
      <c r="BQ279">
        <v>26.13690699</v>
      </c>
      <c r="BR279">
        <v>-21.665176469999999</v>
      </c>
      <c r="BS279">
        <v>3.42</v>
      </c>
      <c r="BT279">
        <v>1.61</v>
      </c>
      <c r="BU279">
        <v>3</v>
      </c>
      <c r="BV279">
        <v>68</v>
      </c>
      <c r="BW279">
        <v>-27</v>
      </c>
      <c r="BX279">
        <v>85.6</v>
      </c>
      <c r="BY279">
        <v>1753</v>
      </c>
      <c r="BZ279">
        <v>6.8</v>
      </c>
      <c r="CA279">
        <v>813036</v>
      </c>
      <c r="CB279">
        <v>669257</v>
      </c>
      <c r="CC279">
        <v>669257</v>
      </c>
      <c r="CD279">
        <v>518692</v>
      </c>
      <c r="CE279">
        <v>669242</v>
      </c>
      <c r="CF279">
        <v>571970</v>
      </c>
      <c r="CG279">
        <v>605141</v>
      </c>
      <c r="CH279">
        <v>571771</v>
      </c>
      <c r="CI279">
        <v>681624</v>
      </c>
      <c r="CJ279">
        <v>606192</v>
      </c>
      <c r="CK279">
        <v>53.7</v>
      </c>
      <c r="CL279" t="s">
        <v>97</v>
      </c>
      <c r="CM279" t="s">
        <v>97</v>
      </c>
      <c r="CN279" t="s">
        <v>97</v>
      </c>
      <c r="CO279" t="s">
        <v>97</v>
      </c>
      <c r="CP279" t="s">
        <v>97</v>
      </c>
      <c r="CQ279" t="s">
        <v>97</v>
      </c>
      <c r="CR279" t="s">
        <v>97</v>
      </c>
      <c r="CS279">
        <v>0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0</v>
      </c>
      <c r="CZ279">
        <v>1</v>
      </c>
      <c r="DA279" t="s">
        <v>107</v>
      </c>
      <c r="DB279" t="s">
        <v>107</v>
      </c>
      <c r="DC279">
        <v>131</v>
      </c>
      <c r="DD279">
        <v>0</v>
      </c>
      <c r="DE279">
        <v>-4.2999999999999997E-2</v>
      </c>
      <c r="DF279">
        <v>80.599999999999994</v>
      </c>
      <c r="DG279">
        <v>8</v>
      </c>
    </row>
    <row r="280" spans="1:111" x14ac:dyDescent="0.2">
      <c r="A280">
        <v>2025</v>
      </c>
      <c r="B280" s="1">
        <v>45943</v>
      </c>
      <c r="C280" t="s">
        <v>95</v>
      </c>
      <c r="D280">
        <v>605483</v>
      </c>
      <c r="E280">
        <v>661388</v>
      </c>
      <c r="F280">
        <v>0</v>
      </c>
      <c r="G280">
        <v>1</v>
      </c>
      <c r="H280">
        <v>7</v>
      </c>
      <c r="I280" t="s">
        <v>163</v>
      </c>
      <c r="J280">
        <v>50</v>
      </c>
      <c r="K280">
        <v>2</v>
      </c>
      <c r="L280" t="s">
        <v>97</v>
      </c>
      <c r="M280" t="s">
        <v>132</v>
      </c>
      <c r="N280" t="s">
        <v>133</v>
      </c>
      <c r="O280">
        <f t="shared" si="64"/>
        <v>0</v>
      </c>
      <c r="P280">
        <f t="shared" si="65"/>
        <v>0</v>
      </c>
      <c r="Q280">
        <f t="shared" si="66"/>
        <v>0</v>
      </c>
      <c r="R280">
        <f t="shared" si="67"/>
        <v>0</v>
      </c>
      <c r="S280">
        <f t="shared" si="68"/>
        <v>0</v>
      </c>
      <c r="T280">
        <f t="shared" si="69"/>
        <v>0</v>
      </c>
      <c r="U280">
        <f t="shared" si="70"/>
        <v>0</v>
      </c>
      <c r="V280">
        <f t="shared" si="71"/>
        <v>0</v>
      </c>
      <c r="W280">
        <f t="shared" si="72"/>
        <v>1</v>
      </c>
      <c r="X280">
        <f t="shared" si="73"/>
        <v>0</v>
      </c>
      <c r="Y280">
        <f t="shared" si="74"/>
        <v>0</v>
      </c>
      <c r="Z280">
        <f t="shared" si="75"/>
        <v>0</v>
      </c>
      <c r="AA280">
        <f t="shared" si="76"/>
        <v>0</v>
      </c>
      <c r="AB280">
        <f t="shared" si="77"/>
        <v>0</v>
      </c>
      <c r="AC280">
        <f t="shared" si="78"/>
        <v>0</v>
      </c>
      <c r="AD280">
        <f t="shared" si="79"/>
        <v>0</v>
      </c>
      <c r="AE280">
        <v>85.9</v>
      </c>
      <c r="AF280">
        <v>2.31</v>
      </c>
      <c r="AG280">
        <v>6.22</v>
      </c>
      <c r="AH280" t="s">
        <v>100</v>
      </c>
      <c r="AI280" t="s">
        <v>97</v>
      </c>
      <c r="AJ280" t="s">
        <v>97</v>
      </c>
      <c r="AK280" t="s">
        <v>97</v>
      </c>
      <c r="AL280" t="s">
        <v>97</v>
      </c>
      <c r="AM280">
        <v>14</v>
      </c>
      <c r="AN280" t="s">
        <v>101</v>
      </c>
      <c r="AO280" t="s">
        <v>103</v>
      </c>
      <c r="AP280" t="s">
        <v>122</v>
      </c>
      <c r="AQ280" t="s">
        <v>103</v>
      </c>
      <c r="AR280" t="s">
        <v>190</v>
      </c>
      <c r="AS280" t="s">
        <v>104</v>
      </c>
      <c r="AT280" t="s">
        <v>106</v>
      </c>
      <c r="AU280" t="s">
        <v>97</v>
      </c>
      <c r="AV280" t="s">
        <v>97</v>
      </c>
      <c r="AW280">
        <v>1.29</v>
      </c>
      <c r="AX280">
        <v>0.63</v>
      </c>
      <c r="AY280">
        <v>0.99</v>
      </c>
      <c r="AZ280">
        <v>1.31</v>
      </c>
      <c r="BA280" t="s">
        <v>97</v>
      </c>
      <c r="BB280" t="s">
        <v>97</v>
      </c>
      <c r="BC280" t="s">
        <v>97</v>
      </c>
      <c r="BD280">
        <v>2</v>
      </c>
      <c r="BE280" t="s">
        <v>97</v>
      </c>
      <c r="BF280" t="s">
        <v>97</v>
      </c>
      <c r="BG280" t="s">
        <v>97</v>
      </c>
      <c r="BH280" t="s">
        <v>97</v>
      </c>
      <c r="BI280">
        <v>669257</v>
      </c>
      <c r="BJ280">
        <v>669257</v>
      </c>
      <c r="BK280" t="s">
        <v>97</v>
      </c>
      <c r="BL280" t="s">
        <v>97</v>
      </c>
      <c r="BM280">
        <v>-5.7788535019999996</v>
      </c>
      <c r="BN280">
        <v>-124.7486432</v>
      </c>
      <c r="BO280">
        <v>-6.6297142139999998</v>
      </c>
      <c r="BP280">
        <v>14.60646953</v>
      </c>
      <c r="BQ280">
        <v>27.11150872</v>
      </c>
      <c r="BR280">
        <v>-24.39597277</v>
      </c>
      <c r="BS280">
        <v>3.38</v>
      </c>
      <c r="BT280">
        <v>1.62</v>
      </c>
      <c r="BU280" t="s">
        <v>97</v>
      </c>
      <c r="BV280" t="s">
        <v>97</v>
      </c>
      <c r="BW280" t="s">
        <v>97</v>
      </c>
      <c r="BX280">
        <v>86.3</v>
      </c>
      <c r="BY280">
        <v>1785</v>
      </c>
      <c r="BZ280">
        <v>6.8</v>
      </c>
      <c r="CA280">
        <v>813036</v>
      </c>
      <c r="CB280">
        <v>669257</v>
      </c>
      <c r="CC280">
        <v>669257</v>
      </c>
      <c r="CD280">
        <v>518692</v>
      </c>
      <c r="CE280">
        <v>669242</v>
      </c>
      <c r="CF280">
        <v>571970</v>
      </c>
      <c r="CG280">
        <v>605141</v>
      </c>
      <c r="CH280">
        <v>571771</v>
      </c>
      <c r="CI280">
        <v>681624</v>
      </c>
      <c r="CJ280">
        <v>606192</v>
      </c>
      <c r="CK280">
        <v>53.69</v>
      </c>
      <c r="CL280" t="s">
        <v>97</v>
      </c>
      <c r="CM280" t="s">
        <v>97</v>
      </c>
      <c r="CN280" t="s">
        <v>97</v>
      </c>
      <c r="CO280" t="s">
        <v>97</v>
      </c>
      <c r="CP280" t="s">
        <v>97</v>
      </c>
      <c r="CQ280" t="s">
        <v>97</v>
      </c>
      <c r="CR280" t="s">
        <v>97</v>
      </c>
      <c r="CS280">
        <v>0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0</v>
      </c>
      <c r="CZ280">
        <v>1</v>
      </c>
      <c r="DA280" t="s">
        <v>107</v>
      </c>
      <c r="DB280" t="s">
        <v>107</v>
      </c>
      <c r="DC280">
        <v>125</v>
      </c>
      <c r="DD280">
        <v>0</v>
      </c>
      <c r="DE280">
        <v>2.7E-2</v>
      </c>
      <c r="DF280" t="s">
        <v>97</v>
      </c>
      <c r="DG280" t="s">
        <v>97</v>
      </c>
    </row>
    <row r="281" spans="1:111" x14ac:dyDescent="0.2">
      <c r="A281">
        <v>2025</v>
      </c>
      <c r="B281" s="1">
        <v>45943</v>
      </c>
      <c r="C281" t="s">
        <v>95</v>
      </c>
      <c r="D281">
        <v>605483</v>
      </c>
      <c r="E281">
        <v>661388</v>
      </c>
      <c r="F281">
        <v>1</v>
      </c>
      <c r="G281">
        <v>1</v>
      </c>
      <c r="H281">
        <v>7</v>
      </c>
      <c r="I281" t="s">
        <v>163</v>
      </c>
      <c r="J281">
        <v>50</v>
      </c>
      <c r="K281">
        <v>3</v>
      </c>
      <c r="L281" t="s">
        <v>97</v>
      </c>
      <c r="M281" t="s">
        <v>132</v>
      </c>
      <c r="N281" t="s">
        <v>133</v>
      </c>
      <c r="O281">
        <f t="shared" si="64"/>
        <v>0</v>
      </c>
      <c r="P281">
        <f t="shared" si="65"/>
        <v>0</v>
      </c>
      <c r="Q281">
        <f t="shared" si="66"/>
        <v>0</v>
      </c>
      <c r="R281">
        <f t="shared" si="67"/>
        <v>0</v>
      </c>
      <c r="S281">
        <f t="shared" si="68"/>
        <v>0</v>
      </c>
      <c r="T281">
        <f t="shared" si="69"/>
        <v>0</v>
      </c>
      <c r="U281">
        <f t="shared" si="70"/>
        <v>0</v>
      </c>
      <c r="V281">
        <f t="shared" si="71"/>
        <v>0</v>
      </c>
      <c r="W281">
        <f t="shared" si="72"/>
        <v>1</v>
      </c>
      <c r="X281">
        <f t="shared" si="73"/>
        <v>0</v>
      </c>
      <c r="Y281">
        <f t="shared" si="74"/>
        <v>0</v>
      </c>
      <c r="Z281">
        <f t="shared" si="75"/>
        <v>0</v>
      </c>
      <c r="AA281">
        <f t="shared" si="76"/>
        <v>0</v>
      </c>
      <c r="AB281">
        <f t="shared" si="77"/>
        <v>0</v>
      </c>
      <c r="AC281">
        <f t="shared" si="78"/>
        <v>0</v>
      </c>
      <c r="AD281">
        <f t="shared" si="79"/>
        <v>0</v>
      </c>
      <c r="AE281">
        <v>85.4</v>
      </c>
      <c r="AF281">
        <v>2.39</v>
      </c>
      <c r="AG281">
        <v>6.16</v>
      </c>
      <c r="AH281" t="s">
        <v>100</v>
      </c>
      <c r="AI281" t="s">
        <v>97</v>
      </c>
      <c r="AJ281" t="s">
        <v>97</v>
      </c>
      <c r="AK281" t="s">
        <v>97</v>
      </c>
      <c r="AL281" t="s">
        <v>97</v>
      </c>
      <c r="AM281">
        <v>14</v>
      </c>
      <c r="AN281" t="s">
        <v>101</v>
      </c>
      <c r="AO281" t="s">
        <v>103</v>
      </c>
      <c r="AP281" t="s">
        <v>122</v>
      </c>
      <c r="AQ281" t="s">
        <v>103</v>
      </c>
      <c r="AR281" t="s">
        <v>190</v>
      </c>
      <c r="AS281" t="s">
        <v>104</v>
      </c>
      <c r="AT281" t="s">
        <v>106</v>
      </c>
      <c r="AU281" t="s">
        <v>97</v>
      </c>
      <c r="AV281" t="s">
        <v>97</v>
      </c>
      <c r="AW281">
        <v>1.18</v>
      </c>
      <c r="AX281">
        <v>0.49</v>
      </c>
      <c r="AY281">
        <v>0.46</v>
      </c>
      <c r="AZ281">
        <v>1</v>
      </c>
      <c r="BA281" t="s">
        <v>97</v>
      </c>
      <c r="BB281" t="s">
        <v>97</v>
      </c>
      <c r="BC281" t="s">
        <v>97</v>
      </c>
      <c r="BD281">
        <v>2</v>
      </c>
      <c r="BE281" t="s">
        <v>97</v>
      </c>
      <c r="BF281" t="s">
        <v>97</v>
      </c>
      <c r="BG281" t="s">
        <v>97</v>
      </c>
      <c r="BH281" t="s">
        <v>97</v>
      </c>
      <c r="BI281">
        <v>669257</v>
      </c>
      <c r="BJ281">
        <v>669257</v>
      </c>
      <c r="BK281" t="s">
        <v>97</v>
      </c>
      <c r="BL281" t="s">
        <v>97</v>
      </c>
      <c r="BM281">
        <v>-6.986476444</v>
      </c>
      <c r="BN281">
        <v>-124.02345149999999</v>
      </c>
      <c r="BO281">
        <v>-6.8394940020000003</v>
      </c>
      <c r="BP281">
        <v>13.61261414</v>
      </c>
      <c r="BQ281">
        <v>26.378927780000001</v>
      </c>
      <c r="BR281">
        <v>-25.883553320000001</v>
      </c>
      <c r="BS281">
        <v>3.38</v>
      </c>
      <c r="BT281">
        <v>1.61</v>
      </c>
      <c r="BU281" t="s">
        <v>97</v>
      </c>
      <c r="BV281" t="s">
        <v>97</v>
      </c>
      <c r="BW281" t="s">
        <v>97</v>
      </c>
      <c r="BX281">
        <v>85.8</v>
      </c>
      <c r="BY281">
        <v>1881</v>
      </c>
      <c r="BZ281">
        <v>6.8</v>
      </c>
      <c r="CA281">
        <v>813036</v>
      </c>
      <c r="CB281">
        <v>669257</v>
      </c>
      <c r="CC281">
        <v>669257</v>
      </c>
      <c r="CD281">
        <v>518692</v>
      </c>
      <c r="CE281">
        <v>669242</v>
      </c>
      <c r="CF281">
        <v>571970</v>
      </c>
      <c r="CG281">
        <v>605141</v>
      </c>
      <c r="CH281">
        <v>571771</v>
      </c>
      <c r="CI281">
        <v>681624</v>
      </c>
      <c r="CJ281">
        <v>606192</v>
      </c>
      <c r="CK281">
        <v>53.68</v>
      </c>
      <c r="CL281" t="s">
        <v>97</v>
      </c>
      <c r="CM281" t="s">
        <v>97</v>
      </c>
      <c r="CN281" t="s">
        <v>97</v>
      </c>
      <c r="CO281" t="s">
        <v>97</v>
      </c>
      <c r="CP281" t="s">
        <v>97</v>
      </c>
      <c r="CQ281" t="s">
        <v>97</v>
      </c>
      <c r="CR281" t="s">
        <v>97</v>
      </c>
      <c r="CS281">
        <v>0</v>
      </c>
      <c r="CT281">
        <v>1</v>
      </c>
      <c r="CU281">
        <v>0</v>
      </c>
      <c r="CV281">
        <v>1</v>
      </c>
      <c r="CW281">
        <v>1</v>
      </c>
      <c r="CX281">
        <v>0</v>
      </c>
      <c r="CY281">
        <v>0</v>
      </c>
      <c r="CZ281">
        <v>1</v>
      </c>
      <c r="DA281" t="s">
        <v>107</v>
      </c>
      <c r="DB281" t="s">
        <v>107</v>
      </c>
      <c r="DC281">
        <v>121</v>
      </c>
      <c r="DD281">
        <v>0</v>
      </c>
      <c r="DE281">
        <v>5.2999999999999999E-2</v>
      </c>
      <c r="DF281" t="s">
        <v>97</v>
      </c>
      <c r="DG281" t="s">
        <v>97</v>
      </c>
    </row>
    <row r="282" spans="1:111" x14ac:dyDescent="0.2">
      <c r="A282">
        <v>2025</v>
      </c>
      <c r="B282" s="1">
        <v>45943</v>
      </c>
      <c r="C282" t="s">
        <v>95</v>
      </c>
      <c r="D282">
        <v>605483</v>
      </c>
      <c r="E282">
        <v>661388</v>
      </c>
      <c r="F282">
        <v>2</v>
      </c>
      <c r="G282">
        <v>1</v>
      </c>
      <c r="H282">
        <v>7</v>
      </c>
      <c r="I282" t="s">
        <v>163</v>
      </c>
      <c r="J282">
        <v>50</v>
      </c>
      <c r="K282">
        <v>4</v>
      </c>
      <c r="L282" t="s">
        <v>119</v>
      </c>
      <c r="M282" t="s">
        <v>132</v>
      </c>
      <c r="N282" t="s">
        <v>133</v>
      </c>
      <c r="O282">
        <f t="shared" si="64"/>
        <v>0</v>
      </c>
      <c r="P282">
        <f t="shared" si="65"/>
        <v>0</v>
      </c>
      <c r="Q282">
        <f t="shared" si="66"/>
        <v>0</v>
      </c>
      <c r="R282">
        <f t="shared" si="67"/>
        <v>0</v>
      </c>
      <c r="S282">
        <f t="shared" si="68"/>
        <v>0</v>
      </c>
      <c r="T282">
        <f t="shared" si="69"/>
        <v>0</v>
      </c>
      <c r="U282">
        <f t="shared" si="70"/>
        <v>0</v>
      </c>
      <c r="V282">
        <f t="shared" si="71"/>
        <v>0</v>
      </c>
      <c r="W282">
        <f t="shared" si="72"/>
        <v>0</v>
      </c>
      <c r="X282">
        <f t="shared" si="73"/>
        <v>1</v>
      </c>
      <c r="Y282">
        <f t="shared" si="74"/>
        <v>0</v>
      </c>
      <c r="Z282">
        <f t="shared" si="75"/>
        <v>0</v>
      </c>
      <c r="AA282">
        <f t="shared" si="76"/>
        <v>0</v>
      </c>
      <c r="AB282">
        <f t="shared" si="77"/>
        <v>0</v>
      </c>
      <c r="AC282">
        <f t="shared" si="78"/>
        <v>0</v>
      </c>
      <c r="AD282">
        <f t="shared" si="79"/>
        <v>0</v>
      </c>
      <c r="AE282">
        <v>86.6</v>
      </c>
      <c r="AF282">
        <v>2.2000000000000002</v>
      </c>
      <c r="AG282">
        <v>6.26</v>
      </c>
      <c r="AH282" t="s">
        <v>120</v>
      </c>
      <c r="AI282" t="s">
        <v>97</v>
      </c>
      <c r="AJ282" t="s">
        <v>97</v>
      </c>
      <c r="AK282" t="s">
        <v>97</v>
      </c>
      <c r="AL282" t="s">
        <v>97</v>
      </c>
      <c r="AM282">
        <v>8</v>
      </c>
      <c r="AN282" t="s">
        <v>209</v>
      </c>
      <c r="AO282" t="s">
        <v>103</v>
      </c>
      <c r="AP282" t="s">
        <v>122</v>
      </c>
      <c r="AQ282" t="s">
        <v>103</v>
      </c>
      <c r="AR282" t="s">
        <v>190</v>
      </c>
      <c r="AS282" t="s">
        <v>104</v>
      </c>
      <c r="AT282" t="s">
        <v>123</v>
      </c>
      <c r="AU282">
        <v>5</v>
      </c>
      <c r="AV282" t="s">
        <v>127</v>
      </c>
      <c r="AW282">
        <v>1.1100000000000001</v>
      </c>
      <c r="AX282">
        <v>0.64</v>
      </c>
      <c r="AY282">
        <v>0.06</v>
      </c>
      <c r="AZ282">
        <v>2.1</v>
      </c>
      <c r="BA282" t="s">
        <v>97</v>
      </c>
      <c r="BB282" t="s">
        <v>97</v>
      </c>
      <c r="BC282" t="s">
        <v>97</v>
      </c>
      <c r="BD282">
        <v>2</v>
      </c>
      <c r="BE282">
        <v>109.39</v>
      </c>
      <c r="BF282">
        <v>172.11</v>
      </c>
      <c r="BG282" t="s">
        <v>97</v>
      </c>
      <c r="BH282" t="s">
        <v>97</v>
      </c>
      <c r="BI282">
        <v>669257</v>
      </c>
      <c r="BJ282">
        <v>669257</v>
      </c>
      <c r="BK282" t="s">
        <v>97</v>
      </c>
      <c r="BL282" t="s">
        <v>97</v>
      </c>
      <c r="BM282">
        <v>-7.4249507579999996</v>
      </c>
      <c r="BN282">
        <v>-125.8834847</v>
      </c>
      <c r="BO282">
        <v>-5.0522472519999999</v>
      </c>
      <c r="BP282">
        <v>13.288475139999999</v>
      </c>
      <c r="BQ282">
        <v>26.310785800000001</v>
      </c>
      <c r="BR282">
        <v>-24.492258669999998</v>
      </c>
      <c r="BS282">
        <v>3.42</v>
      </c>
      <c r="BT282">
        <v>1.61</v>
      </c>
      <c r="BU282">
        <v>10</v>
      </c>
      <c r="BV282">
        <v>100.4</v>
      </c>
      <c r="BW282">
        <v>-12</v>
      </c>
      <c r="BX282">
        <v>87.2</v>
      </c>
      <c r="BY282">
        <v>1651</v>
      </c>
      <c r="BZ282">
        <v>6.8</v>
      </c>
      <c r="CA282">
        <v>813036</v>
      </c>
      <c r="CB282">
        <v>669257</v>
      </c>
      <c r="CC282">
        <v>669257</v>
      </c>
      <c r="CD282">
        <v>518692</v>
      </c>
      <c r="CE282">
        <v>669242</v>
      </c>
      <c r="CF282">
        <v>571970</v>
      </c>
      <c r="CG282">
        <v>605141</v>
      </c>
      <c r="CH282">
        <v>571771</v>
      </c>
      <c r="CI282">
        <v>681624</v>
      </c>
      <c r="CJ282">
        <v>606192</v>
      </c>
      <c r="CK282">
        <v>53.71</v>
      </c>
      <c r="CL282">
        <v>0.223</v>
      </c>
      <c r="CM282">
        <v>0.20200000000000001</v>
      </c>
      <c r="CN282">
        <v>0</v>
      </c>
      <c r="CO282">
        <v>1</v>
      </c>
      <c r="CP282">
        <v>0</v>
      </c>
      <c r="CQ282">
        <v>0</v>
      </c>
      <c r="CR282">
        <v>2</v>
      </c>
      <c r="CS282">
        <v>0</v>
      </c>
      <c r="CT282">
        <v>1</v>
      </c>
      <c r="CU282">
        <v>0</v>
      </c>
      <c r="CV282">
        <v>1</v>
      </c>
      <c r="CW282">
        <v>1</v>
      </c>
      <c r="CX282">
        <v>0</v>
      </c>
      <c r="CY282">
        <v>0</v>
      </c>
      <c r="CZ282">
        <v>1</v>
      </c>
      <c r="DA282" t="s">
        <v>107</v>
      </c>
      <c r="DB282" t="s">
        <v>107</v>
      </c>
      <c r="DC282">
        <v>124</v>
      </c>
      <c r="DD282">
        <v>-2.3E-2</v>
      </c>
      <c r="DE282">
        <v>-0.29699999999999999</v>
      </c>
      <c r="DF282">
        <v>80.5</v>
      </c>
      <c r="DG282">
        <v>7.6</v>
      </c>
    </row>
    <row r="283" spans="1:111" x14ac:dyDescent="0.2">
      <c r="A283">
        <v>2025</v>
      </c>
      <c r="B283" s="1">
        <v>45943</v>
      </c>
      <c r="C283" t="s">
        <v>95</v>
      </c>
      <c r="D283">
        <v>605483</v>
      </c>
      <c r="E283">
        <v>668930</v>
      </c>
      <c r="F283">
        <v>0</v>
      </c>
      <c r="G283">
        <v>0</v>
      </c>
      <c r="H283">
        <v>8</v>
      </c>
      <c r="I283" t="s">
        <v>163</v>
      </c>
      <c r="J283">
        <v>55</v>
      </c>
      <c r="K283">
        <v>1</v>
      </c>
      <c r="L283" t="s">
        <v>97</v>
      </c>
      <c r="M283" t="s">
        <v>98</v>
      </c>
      <c r="N283" t="s">
        <v>99</v>
      </c>
      <c r="O283">
        <f t="shared" si="64"/>
        <v>0</v>
      </c>
      <c r="P283">
        <f t="shared" si="65"/>
        <v>0</v>
      </c>
      <c r="Q283">
        <f t="shared" si="66"/>
        <v>0</v>
      </c>
      <c r="R283">
        <f t="shared" si="67"/>
        <v>1</v>
      </c>
      <c r="S283">
        <f t="shared" si="68"/>
        <v>0</v>
      </c>
      <c r="T283">
        <f t="shared" si="69"/>
        <v>0</v>
      </c>
      <c r="U283">
        <f t="shared" si="70"/>
        <v>0</v>
      </c>
      <c r="V283">
        <f t="shared" si="71"/>
        <v>0</v>
      </c>
      <c r="W283">
        <f t="shared" si="72"/>
        <v>0</v>
      </c>
      <c r="X283">
        <f t="shared" si="73"/>
        <v>0</v>
      </c>
      <c r="Y283">
        <f t="shared" si="74"/>
        <v>0</v>
      </c>
      <c r="Z283">
        <f t="shared" si="75"/>
        <v>0</v>
      </c>
      <c r="AA283">
        <f t="shared" si="76"/>
        <v>0</v>
      </c>
      <c r="AB283">
        <f t="shared" si="77"/>
        <v>0</v>
      </c>
      <c r="AC283">
        <f t="shared" si="78"/>
        <v>0</v>
      </c>
      <c r="AD283">
        <f t="shared" si="79"/>
        <v>0</v>
      </c>
      <c r="AE283">
        <v>96.1</v>
      </c>
      <c r="AF283">
        <v>2.09</v>
      </c>
      <c r="AG283">
        <v>6.41</v>
      </c>
      <c r="AH283" t="s">
        <v>129</v>
      </c>
      <c r="AI283" t="s">
        <v>97</v>
      </c>
      <c r="AJ283" t="s">
        <v>97</v>
      </c>
      <c r="AK283" t="s">
        <v>97</v>
      </c>
      <c r="AL283" t="s">
        <v>97</v>
      </c>
      <c r="AM283">
        <v>6</v>
      </c>
      <c r="AN283" t="s">
        <v>130</v>
      </c>
      <c r="AO283" t="s">
        <v>103</v>
      </c>
      <c r="AP283" t="s">
        <v>103</v>
      </c>
      <c r="AQ283" t="s">
        <v>103</v>
      </c>
      <c r="AR283" t="s">
        <v>190</v>
      </c>
      <c r="AS283" t="s">
        <v>104</v>
      </c>
      <c r="AT283" t="s">
        <v>110</v>
      </c>
      <c r="AU283" t="s">
        <v>97</v>
      </c>
      <c r="AV283" t="s">
        <v>97</v>
      </c>
      <c r="AW283">
        <v>0.46</v>
      </c>
      <c r="AX283">
        <v>1.41</v>
      </c>
      <c r="AY283">
        <v>0.57999999999999996</v>
      </c>
      <c r="AZ283">
        <v>2.23</v>
      </c>
      <c r="BA283" t="s">
        <v>97</v>
      </c>
      <c r="BB283" t="s">
        <v>97</v>
      </c>
      <c r="BC283" t="s">
        <v>97</v>
      </c>
      <c r="BD283">
        <v>0</v>
      </c>
      <c r="BE283" t="s">
        <v>97</v>
      </c>
      <c r="BF283" t="s">
        <v>97</v>
      </c>
      <c r="BG283" t="s">
        <v>97</v>
      </c>
      <c r="BH283" t="s">
        <v>97</v>
      </c>
      <c r="BI283">
        <v>669257</v>
      </c>
      <c r="BJ283">
        <v>669257</v>
      </c>
      <c r="BK283" t="s">
        <v>97</v>
      </c>
      <c r="BL283" t="s">
        <v>97</v>
      </c>
      <c r="BM283">
        <v>-5.0929108909999998</v>
      </c>
      <c r="BN283">
        <v>-139.57425499999999</v>
      </c>
      <c r="BO283">
        <v>-8.6738383769999992</v>
      </c>
      <c r="BP283">
        <v>7.2128073820000003</v>
      </c>
      <c r="BQ283">
        <v>34.812228410000003</v>
      </c>
      <c r="BR283">
        <v>-11.87472064</v>
      </c>
      <c r="BS283">
        <v>3.43</v>
      </c>
      <c r="BT283">
        <v>1.62</v>
      </c>
      <c r="BU283">
        <v>203</v>
      </c>
      <c r="BV283">
        <v>76.900000000000006</v>
      </c>
      <c r="BW283">
        <v>54</v>
      </c>
      <c r="BX283">
        <v>96.4</v>
      </c>
      <c r="BY283">
        <v>2528</v>
      </c>
      <c r="BZ283">
        <v>6.8</v>
      </c>
      <c r="CA283">
        <v>813036</v>
      </c>
      <c r="CB283">
        <v>669257</v>
      </c>
      <c r="CC283">
        <v>669257</v>
      </c>
      <c r="CD283">
        <v>518692</v>
      </c>
      <c r="CE283">
        <v>669242</v>
      </c>
      <c r="CF283">
        <v>571970</v>
      </c>
      <c r="CG283">
        <v>605141</v>
      </c>
      <c r="CH283">
        <v>571771</v>
      </c>
      <c r="CI283">
        <v>681909</v>
      </c>
      <c r="CJ283">
        <v>681624</v>
      </c>
      <c r="CK283">
        <v>53.7</v>
      </c>
      <c r="CL283" t="s">
        <v>97</v>
      </c>
      <c r="CM283" t="s">
        <v>97</v>
      </c>
      <c r="CN283" t="s">
        <v>97</v>
      </c>
      <c r="CO283" t="s">
        <v>97</v>
      </c>
      <c r="CP283" t="s">
        <v>97</v>
      </c>
      <c r="CQ283" t="s">
        <v>97</v>
      </c>
      <c r="CR283" t="s">
        <v>97</v>
      </c>
      <c r="CS283">
        <v>0</v>
      </c>
      <c r="CT283">
        <v>1</v>
      </c>
      <c r="CU283">
        <v>0</v>
      </c>
      <c r="CV283">
        <v>1</v>
      </c>
      <c r="CW283">
        <v>1</v>
      </c>
      <c r="CX283">
        <v>0</v>
      </c>
      <c r="CY283">
        <v>0</v>
      </c>
      <c r="CZ283">
        <v>1</v>
      </c>
      <c r="DA283" t="s">
        <v>107</v>
      </c>
      <c r="DB283" t="s">
        <v>107</v>
      </c>
      <c r="DC283">
        <v>157</v>
      </c>
      <c r="DD283">
        <v>0</v>
      </c>
      <c r="DE283">
        <v>-3.9E-2</v>
      </c>
      <c r="DF283">
        <v>70.5</v>
      </c>
      <c r="DG283">
        <v>6.7</v>
      </c>
    </row>
    <row r="284" spans="1:111" x14ac:dyDescent="0.2">
      <c r="A284">
        <v>2025</v>
      </c>
      <c r="B284" s="1">
        <v>45943</v>
      </c>
      <c r="C284" t="s">
        <v>95</v>
      </c>
      <c r="D284">
        <v>605483</v>
      </c>
      <c r="E284">
        <v>668930</v>
      </c>
      <c r="F284">
        <v>0</v>
      </c>
      <c r="G284">
        <v>1</v>
      </c>
      <c r="H284">
        <v>8</v>
      </c>
      <c r="I284" t="s">
        <v>163</v>
      </c>
      <c r="J284">
        <v>55</v>
      </c>
      <c r="K284">
        <v>2</v>
      </c>
      <c r="L284" t="s">
        <v>97</v>
      </c>
      <c r="M284" t="s">
        <v>138</v>
      </c>
      <c r="N284" t="s">
        <v>139</v>
      </c>
      <c r="O284">
        <f t="shared" si="64"/>
        <v>0</v>
      </c>
      <c r="P284">
        <f t="shared" si="65"/>
        <v>0</v>
      </c>
      <c r="Q284">
        <f t="shared" si="66"/>
        <v>0</v>
      </c>
      <c r="R284">
        <f t="shared" si="67"/>
        <v>0</v>
      </c>
      <c r="S284">
        <f t="shared" si="68"/>
        <v>0</v>
      </c>
      <c r="T284">
        <f t="shared" si="69"/>
        <v>0</v>
      </c>
      <c r="U284">
        <f t="shared" si="70"/>
        <v>0</v>
      </c>
      <c r="V284">
        <f t="shared" si="71"/>
        <v>0</v>
      </c>
      <c r="W284">
        <f t="shared" si="72"/>
        <v>0</v>
      </c>
      <c r="X284">
        <f t="shared" si="73"/>
        <v>0</v>
      </c>
      <c r="Y284">
        <f t="shared" si="74"/>
        <v>0</v>
      </c>
      <c r="Z284">
        <f t="shared" si="75"/>
        <v>0</v>
      </c>
      <c r="AA284">
        <f t="shared" si="76"/>
        <v>1</v>
      </c>
      <c r="AB284">
        <f t="shared" si="77"/>
        <v>0</v>
      </c>
      <c r="AC284">
        <f t="shared" si="78"/>
        <v>0</v>
      </c>
      <c r="AD284">
        <f t="shared" si="79"/>
        <v>0</v>
      </c>
      <c r="AE284">
        <v>87.9</v>
      </c>
      <c r="AF284">
        <v>1.94</v>
      </c>
      <c r="AG284">
        <v>6.46</v>
      </c>
      <c r="AH284" t="s">
        <v>100</v>
      </c>
      <c r="AI284" t="s">
        <v>97</v>
      </c>
      <c r="AJ284" t="s">
        <v>97</v>
      </c>
      <c r="AK284" t="s">
        <v>97</v>
      </c>
      <c r="AL284" t="s">
        <v>97</v>
      </c>
      <c r="AM284">
        <v>13</v>
      </c>
      <c r="AN284" t="s">
        <v>101</v>
      </c>
      <c r="AO284" t="s">
        <v>103</v>
      </c>
      <c r="AP284" t="s">
        <v>103</v>
      </c>
      <c r="AQ284" t="s">
        <v>103</v>
      </c>
      <c r="AR284" t="s">
        <v>190</v>
      </c>
      <c r="AS284" t="s">
        <v>104</v>
      </c>
      <c r="AT284" t="s">
        <v>106</v>
      </c>
      <c r="AU284" t="s">
        <v>97</v>
      </c>
      <c r="AV284" t="s">
        <v>97</v>
      </c>
      <c r="AW284">
        <v>-0.02</v>
      </c>
      <c r="AX284">
        <v>0.9</v>
      </c>
      <c r="AY284">
        <v>-1.1599999999999999</v>
      </c>
      <c r="AZ284">
        <v>0.97</v>
      </c>
      <c r="BA284" t="s">
        <v>97</v>
      </c>
      <c r="BB284" t="s">
        <v>97</v>
      </c>
      <c r="BC284" t="s">
        <v>97</v>
      </c>
      <c r="BD284">
        <v>0</v>
      </c>
      <c r="BE284" t="s">
        <v>97</v>
      </c>
      <c r="BF284" t="s">
        <v>97</v>
      </c>
      <c r="BG284" t="s">
        <v>97</v>
      </c>
      <c r="BH284" t="s">
        <v>97</v>
      </c>
      <c r="BI284">
        <v>669257</v>
      </c>
      <c r="BJ284">
        <v>669257</v>
      </c>
      <c r="BK284" t="s">
        <v>97</v>
      </c>
      <c r="BL284" t="s">
        <v>97</v>
      </c>
      <c r="BM284">
        <v>-7.5020245980000002</v>
      </c>
      <c r="BN284">
        <v>-127.6009289</v>
      </c>
      <c r="BO284">
        <v>-9.0751732030000003</v>
      </c>
      <c r="BP284">
        <v>1.3933180519999999</v>
      </c>
      <c r="BQ284">
        <v>26.799714730000002</v>
      </c>
      <c r="BR284">
        <v>-20.641679140000001</v>
      </c>
      <c r="BS284">
        <v>3.52</v>
      </c>
      <c r="BT284">
        <v>1.63</v>
      </c>
      <c r="BU284" t="s">
        <v>97</v>
      </c>
      <c r="BV284" t="s">
        <v>97</v>
      </c>
      <c r="BW284" t="s">
        <v>97</v>
      </c>
      <c r="BX284">
        <v>88.2</v>
      </c>
      <c r="BY284">
        <v>2263</v>
      </c>
      <c r="BZ284">
        <v>6.7</v>
      </c>
      <c r="CA284">
        <v>813036</v>
      </c>
      <c r="CB284">
        <v>669257</v>
      </c>
      <c r="CC284">
        <v>669257</v>
      </c>
      <c r="CD284">
        <v>518692</v>
      </c>
      <c r="CE284">
        <v>669242</v>
      </c>
      <c r="CF284">
        <v>571970</v>
      </c>
      <c r="CG284">
        <v>605141</v>
      </c>
      <c r="CH284">
        <v>571771</v>
      </c>
      <c r="CI284">
        <v>681909</v>
      </c>
      <c r="CJ284">
        <v>681624</v>
      </c>
      <c r="CK284">
        <v>53.82</v>
      </c>
      <c r="CL284" t="s">
        <v>97</v>
      </c>
      <c r="CM284" t="s">
        <v>97</v>
      </c>
      <c r="CN284" t="s">
        <v>97</v>
      </c>
      <c r="CO284" t="s">
        <v>97</v>
      </c>
      <c r="CP284" t="s">
        <v>97</v>
      </c>
      <c r="CQ284" t="s">
        <v>97</v>
      </c>
      <c r="CR284" t="s">
        <v>97</v>
      </c>
      <c r="CS284">
        <v>0</v>
      </c>
      <c r="CT284">
        <v>1</v>
      </c>
      <c r="CU284">
        <v>0</v>
      </c>
      <c r="CV284">
        <v>1</v>
      </c>
      <c r="CW284">
        <v>1</v>
      </c>
      <c r="CX284">
        <v>0</v>
      </c>
      <c r="CY284">
        <v>0</v>
      </c>
      <c r="CZ284">
        <v>1</v>
      </c>
      <c r="DA284" t="s">
        <v>107</v>
      </c>
      <c r="DB284" t="s">
        <v>115</v>
      </c>
      <c r="DC284">
        <v>166</v>
      </c>
      <c r="DD284">
        <v>0</v>
      </c>
      <c r="DE284">
        <v>3.1E-2</v>
      </c>
      <c r="DF284" t="s">
        <v>97</v>
      </c>
      <c r="DG284" t="s">
        <v>97</v>
      </c>
    </row>
    <row r="285" spans="1:111" x14ac:dyDescent="0.2">
      <c r="A285">
        <v>2025</v>
      </c>
      <c r="B285" s="1">
        <v>45943</v>
      </c>
      <c r="C285" t="s">
        <v>95</v>
      </c>
      <c r="D285">
        <v>605483</v>
      </c>
      <c r="E285">
        <v>668930</v>
      </c>
      <c r="F285">
        <v>1</v>
      </c>
      <c r="G285">
        <v>1</v>
      </c>
      <c r="H285">
        <v>8</v>
      </c>
      <c r="I285" t="s">
        <v>163</v>
      </c>
      <c r="J285">
        <v>55</v>
      </c>
      <c r="K285">
        <v>3</v>
      </c>
      <c r="L285" t="s">
        <v>97</v>
      </c>
      <c r="M285" t="s">
        <v>138</v>
      </c>
      <c r="N285" t="s">
        <v>139</v>
      </c>
      <c r="O285">
        <f t="shared" si="64"/>
        <v>0</v>
      </c>
      <c r="P285">
        <f t="shared" si="65"/>
        <v>0</v>
      </c>
      <c r="Q285">
        <f t="shared" si="66"/>
        <v>0</v>
      </c>
      <c r="R285">
        <f t="shared" si="67"/>
        <v>0</v>
      </c>
      <c r="S285">
        <f t="shared" si="68"/>
        <v>0</v>
      </c>
      <c r="T285">
        <f t="shared" si="69"/>
        <v>0</v>
      </c>
      <c r="U285">
        <f t="shared" si="70"/>
        <v>0</v>
      </c>
      <c r="V285">
        <f t="shared" si="71"/>
        <v>0</v>
      </c>
      <c r="W285">
        <f t="shared" si="72"/>
        <v>0</v>
      </c>
      <c r="X285">
        <f t="shared" si="73"/>
        <v>0</v>
      </c>
      <c r="Y285">
        <f t="shared" si="74"/>
        <v>0</v>
      </c>
      <c r="Z285">
        <f t="shared" si="75"/>
        <v>0</v>
      </c>
      <c r="AA285">
        <f t="shared" si="76"/>
        <v>1</v>
      </c>
      <c r="AB285">
        <f t="shared" si="77"/>
        <v>0</v>
      </c>
      <c r="AC285">
        <f t="shared" si="78"/>
        <v>0</v>
      </c>
      <c r="AD285">
        <f t="shared" si="79"/>
        <v>0</v>
      </c>
      <c r="AE285">
        <v>89.7</v>
      </c>
      <c r="AF285">
        <v>1.98</v>
      </c>
      <c r="AG285">
        <v>6.41</v>
      </c>
      <c r="AH285" t="s">
        <v>100</v>
      </c>
      <c r="AI285" t="s">
        <v>97</v>
      </c>
      <c r="AJ285" t="s">
        <v>97</v>
      </c>
      <c r="AK285" t="s">
        <v>97</v>
      </c>
      <c r="AL285" t="s">
        <v>97</v>
      </c>
      <c r="AM285">
        <v>13</v>
      </c>
      <c r="AN285" t="s">
        <v>101</v>
      </c>
      <c r="AO285" t="s">
        <v>103</v>
      </c>
      <c r="AP285" t="s">
        <v>103</v>
      </c>
      <c r="AQ285" t="s">
        <v>103</v>
      </c>
      <c r="AR285" t="s">
        <v>190</v>
      </c>
      <c r="AS285" t="s">
        <v>104</v>
      </c>
      <c r="AT285" t="s">
        <v>106</v>
      </c>
      <c r="AU285" t="s">
        <v>97</v>
      </c>
      <c r="AV285" t="s">
        <v>97</v>
      </c>
      <c r="AW285">
        <v>-0.1</v>
      </c>
      <c r="AX285">
        <v>1.02</v>
      </c>
      <c r="AY285">
        <v>-1.26</v>
      </c>
      <c r="AZ285">
        <v>0.14000000000000001</v>
      </c>
      <c r="BA285" t="s">
        <v>97</v>
      </c>
      <c r="BB285" t="s">
        <v>97</v>
      </c>
      <c r="BC285" t="s">
        <v>97</v>
      </c>
      <c r="BD285">
        <v>0</v>
      </c>
      <c r="BE285" t="s">
        <v>97</v>
      </c>
      <c r="BF285" t="s">
        <v>97</v>
      </c>
      <c r="BG285" t="s">
        <v>97</v>
      </c>
      <c r="BH285" t="s">
        <v>97</v>
      </c>
      <c r="BI285">
        <v>669257</v>
      </c>
      <c r="BJ285">
        <v>669257</v>
      </c>
      <c r="BK285" t="s">
        <v>97</v>
      </c>
      <c r="BL285" t="s">
        <v>97</v>
      </c>
      <c r="BM285">
        <v>-7.8061482350000002</v>
      </c>
      <c r="BN285">
        <v>-129.91971100000001</v>
      </c>
      <c r="BO285">
        <v>-11.644180179999999</v>
      </c>
      <c r="BP285">
        <v>0.50514501000000001</v>
      </c>
      <c r="BQ285">
        <v>28.098405750000001</v>
      </c>
      <c r="BR285">
        <v>-18.313362860000002</v>
      </c>
      <c r="BS285">
        <v>3.4</v>
      </c>
      <c r="BT285">
        <v>1.63</v>
      </c>
      <c r="BU285" t="s">
        <v>97</v>
      </c>
      <c r="BV285" t="s">
        <v>97</v>
      </c>
      <c r="BW285" t="s">
        <v>97</v>
      </c>
      <c r="BX285">
        <v>89.9</v>
      </c>
      <c r="BY285">
        <v>2350</v>
      </c>
      <c r="BZ285">
        <v>6.7</v>
      </c>
      <c r="CA285">
        <v>813036</v>
      </c>
      <c r="CB285">
        <v>669257</v>
      </c>
      <c r="CC285">
        <v>669257</v>
      </c>
      <c r="CD285">
        <v>518692</v>
      </c>
      <c r="CE285">
        <v>669242</v>
      </c>
      <c r="CF285">
        <v>571970</v>
      </c>
      <c r="CG285">
        <v>605141</v>
      </c>
      <c r="CH285">
        <v>571771</v>
      </c>
      <c r="CI285">
        <v>681909</v>
      </c>
      <c r="CJ285">
        <v>681624</v>
      </c>
      <c r="CK285">
        <v>53.79</v>
      </c>
      <c r="CL285" t="s">
        <v>97</v>
      </c>
      <c r="CM285" t="s">
        <v>97</v>
      </c>
      <c r="CN285" t="s">
        <v>97</v>
      </c>
      <c r="CO285" t="s">
        <v>97</v>
      </c>
      <c r="CP285" t="s">
        <v>97</v>
      </c>
      <c r="CQ285" t="s">
        <v>97</v>
      </c>
      <c r="CR285" t="s">
        <v>97</v>
      </c>
      <c r="CS285">
        <v>0</v>
      </c>
      <c r="CT285">
        <v>1</v>
      </c>
      <c r="CU285">
        <v>0</v>
      </c>
      <c r="CV285">
        <v>1</v>
      </c>
      <c r="CW285">
        <v>1</v>
      </c>
      <c r="CX285">
        <v>0</v>
      </c>
      <c r="CY285">
        <v>0</v>
      </c>
      <c r="CZ285">
        <v>1</v>
      </c>
      <c r="DA285" t="s">
        <v>107</v>
      </c>
      <c r="DB285" t="s">
        <v>115</v>
      </c>
      <c r="DC285">
        <v>171</v>
      </c>
      <c r="DD285">
        <v>0</v>
      </c>
      <c r="DE285">
        <v>5.5E-2</v>
      </c>
      <c r="DF285" t="s">
        <v>97</v>
      </c>
      <c r="DG285" t="s">
        <v>97</v>
      </c>
    </row>
    <row r="286" spans="1:111" x14ac:dyDescent="0.2">
      <c r="A286">
        <v>2025</v>
      </c>
      <c r="B286" s="1">
        <v>45943</v>
      </c>
      <c r="C286" t="s">
        <v>95</v>
      </c>
      <c r="D286">
        <v>605483</v>
      </c>
      <c r="E286">
        <v>668930</v>
      </c>
      <c r="F286">
        <v>2</v>
      </c>
      <c r="G286">
        <v>1</v>
      </c>
      <c r="H286">
        <v>8</v>
      </c>
      <c r="I286" t="s">
        <v>163</v>
      </c>
      <c r="J286">
        <v>55</v>
      </c>
      <c r="K286">
        <v>4</v>
      </c>
      <c r="L286" t="s">
        <v>119</v>
      </c>
      <c r="M286" t="s">
        <v>138</v>
      </c>
      <c r="N286" t="s">
        <v>139</v>
      </c>
      <c r="O286">
        <f t="shared" si="64"/>
        <v>0</v>
      </c>
      <c r="P286">
        <f t="shared" si="65"/>
        <v>0</v>
      </c>
      <c r="Q286">
        <f t="shared" si="66"/>
        <v>0</v>
      </c>
      <c r="R286">
        <f t="shared" si="67"/>
        <v>0</v>
      </c>
      <c r="S286">
        <f t="shared" si="68"/>
        <v>0</v>
      </c>
      <c r="T286">
        <f t="shared" si="69"/>
        <v>0</v>
      </c>
      <c r="U286">
        <f t="shared" si="70"/>
        <v>0</v>
      </c>
      <c r="V286">
        <f t="shared" si="71"/>
        <v>0</v>
      </c>
      <c r="W286">
        <f t="shared" si="72"/>
        <v>0</v>
      </c>
      <c r="X286">
        <f t="shared" si="73"/>
        <v>0</v>
      </c>
      <c r="Y286">
        <f t="shared" si="74"/>
        <v>0</v>
      </c>
      <c r="Z286">
        <f t="shared" si="75"/>
        <v>0</v>
      </c>
      <c r="AA286">
        <f t="shared" si="76"/>
        <v>0</v>
      </c>
      <c r="AB286">
        <f t="shared" si="77"/>
        <v>1</v>
      </c>
      <c r="AC286">
        <f t="shared" si="78"/>
        <v>0</v>
      </c>
      <c r="AD286">
        <f t="shared" si="79"/>
        <v>0</v>
      </c>
      <c r="AE286">
        <v>89.9</v>
      </c>
      <c r="AF286">
        <v>2.04</v>
      </c>
      <c r="AG286">
        <v>6.44</v>
      </c>
      <c r="AH286" t="s">
        <v>120</v>
      </c>
      <c r="AI286" t="s">
        <v>97</v>
      </c>
      <c r="AJ286" t="s">
        <v>97</v>
      </c>
      <c r="AK286" t="s">
        <v>97</v>
      </c>
      <c r="AL286" t="s">
        <v>97</v>
      </c>
      <c r="AM286">
        <v>13</v>
      </c>
      <c r="AN286" t="s">
        <v>210</v>
      </c>
      <c r="AO286" t="s">
        <v>103</v>
      </c>
      <c r="AP286" t="s">
        <v>103</v>
      </c>
      <c r="AQ286" t="s">
        <v>103</v>
      </c>
      <c r="AR286" t="s">
        <v>190</v>
      </c>
      <c r="AS286" t="s">
        <v>104</v>
      </c>
      <c r="AT286" t="s">
        <v>123</v>
      </c>
      <c r="AU286">
        <v>3</v>
      </c>
      <c r="AV286" t="s">
        <v>127</v>
      </c>
      <c r="AW286">
        <v>-0.06</v>
      </c>
      <c r="AX286">
        <v>0.72</v>
      </c>
      <c r="AY286">
        <v>-0.46</v>
      </c>
      <c r="AZ286">
        <v>1.31</v>
      </c>
      <c r="BA286" t="s">
        <v>97</v>
      </c>
      <c r="BB286" t="s">
        <v>97</v>
      </c>
      <c r="BC286" t="s">
        <v>97</v>
      </c>
      <c r="BD286">
        <v>0</v>
      </c>
      <c r="BE286">
        <v>147.86000000000001</v>
      </c>
      <c r="BF286">
        <v>172.62</v>
      </c>
      <c r="BG286" t="s">
        <v>97</v>
      </c>
      <c r="BH286" t="s">
        <v>97</v>
      </c>
      <c r="BI286">
        <v>669257</v>
      </c>
      <c r="BJ286">
        <v>669257</v>
      </c>
      <c r="BK286" t="s">
        <v>97</v>
      </c>
      <c r="BL286" t="s">
        <v>97</v>
      </c>
      <c r="BM286">
        <v>-6.091297054</v>
      </c>
      <c r="BN286">
        <v>-130.52083519999999</v>
      </c>
      <c r="BO286">
        <v>-8.1985075940000005</v>
      </c>
      <c r="BP286">
        <v>0.70630823399999998</v>
      </c>
      <c r="BQ286">
        <v>30.365771160000001</v>
      </c>
      <c r="BR286">
        <v>-22.35618049</v>
      </c>
      <c r="BS286">
        <v>3.43</v>
      </c>
      <c r="BT286">
        <v>1.62</v>
      </c>
      <c r="BU286">
        <v>3</v>
      </c>
      <c r="BV286">
        <v>76.5</v>
      </c>
      <c r="BW286">
        <v>-23</v>
      </c>
      <c r="BX286">
        <v>90</v>
      </c>
      <c r="BY286">
        <v>2297</v>
      </c>
      <c r="BZ286">
        <v>6.7</v>
      </c>
      <c r="CA286">
        <v>813036</v>
      </c>
      <c r="CB286">
        <v>669257</v>
      </c>
      <c r="CC286">
        <v>669257</v>
      </c>
      <c r="CD286">
        <v>518692</v>
      </c>
      <c r="CE286">
        <v>669242</v>
      </c>
      <c r="CF286">
        <v>571970</v>
      </c>
      <c r="CG286">
        <v>605141</v>
      </c>
      <c r="CH286">
        <v>571771</v>
      </c>
      <c r="CI286">
        <v>681909</v>
      </c>
      <c r="CJ286">
        <v>681624</v>
      </c>
      <c r="CK286">
        <v>53.78</v>
      </c>
      <c r="CL286">
        <v>3.4000000000000002E-2</v>
      </c>
      <c r="CM286">
        <v>4.2999999999999997E-2</v>
      </c>
      <c r="CN286">
        <v>0</v>
      </c>
      <c r="CO286">
        <v>1</v>
      </c>
      <c r="CP286">
        <v>0</v>
      </c>
      <c r="CQ286">
        <v>0</v>
      </c>
      <c r="CR286">
        <v>2</v>
      </c>
      <c r="CS286">
        <v>0</v>
      </c>
      <c r="CT286">
        <v>1</v>
      </c>
      <c r="CU286">
        <v>0</v>
      </c>
      <c r="CV286">
        <v>1</v>
      </c>
      <c r="CW286">
        <v>1</v>
      </c>
      <c r="CX286">
        <v>0</v>
      </c>
      <c r="CY286">
        <v>0</v>
      </c>
      <c r="CZ286">
        <v>1</v>
      </c>
      <c r="DA286" t="s">
        <v>107</v>
      </c>
      <c r="DB286" t="s">
        <v>115</v>
      </c>
      <c r="DC286">
        <v>162</v>
      </c>
      <c r="DD286">
        <v>-6.2E-2</v>
      </c>
      <c r="DE286">
        <v>-0.30499999999999999</v>
      </c>
      <c r="DF286">
        <v>71.3</v>
      </c>
      <c r="DG286">
        <v>7.8</v>
      </c>
    </row>
    <row r="287" spans="1:111" x14ac:dyDescent="0.2">
      <c r="A287">
        <v>2025</v>
      </c>
      <c r="B287" s="1">
        <v>45943</v>
      </c>
      <c r="C287" t="s">
        <v>95</v>
      </c>
      <c r="D287">
        <v>605483</v>
      </c>
      <c r="E287">
        <v>683734</v>
      </c>
      <c r="F287">
        <v>0</v>
      </c>
      <c r="G287">
        <v>0</v>
      </c>
      <c r="H287">
        <v>8</v>
      </c>
      <c r="I287" t="s">
        <v>163</v>
      </c>
      <c r="J287">
        <v>56</v>
      </c>
      <c r="K287">
        <v>1</v>
      </c>
      <c r="L287" t="s">
        <v>97</v>
      </c>
      <c r="M287" t="s">
        <v>98</v>
      </c>
      <c r="N287" t="s">
        <v>99</v>
      </c>
      <c r="O287">
        <f t="shared" si="64"/>
        <v>0</v>
      </c>
      <c r="P287">
        <f t="shared" si="65"/>
        <v>0</v>
      </c>
      <c r="Q287">
        <f t="shared" si="66"/>
        <v>0</v>
      </c>
      <c r="R287">
        <f t="shared" si="67"/>
        <v>1</v>
      </c>
      <c r="S287">
        <f t="shared" si="68"/>
        <v>0</v>
      </c>
      <c r="T287">
        <f t="shared" si="69"/>
        <v>0</v>
      </c>
      <c r="U287">
        <f t="shared" si="70"/>
        <v>0</v>
      </c>
      <c r="V287">
        <f t="shared" si="71"/>
        <v>0</v>
      </c>
      <c r="W287">
        <f t="shared" si="72"/>
        <v>0</v>
      </c>
      <c r="X287">
        <f t="shared" si="73"/>
        <v>0</v>
      </c>
      <c r="Y287">
        <f t="shared" si="74"/>
        <v>0</v>
      </c>
      <c r="Z287">
        <f t="shared" si="75"/>
        <v>0</v>
      </c>
      <c r="AA287">
        <f t="shared" si="76"/>
        <v>0</v>
      </c>
      <c r="AB287">
        <f t="shared" si="77"/>
        <v>0</v>
      </c>
      <c r="AC287">
        <f t="shared" si="78"/>
        <v>0</v>
      </c>
      <c r="AD287">
        <f t="shared" si="79"/>
        <v>0</v>
      </c>
      <c r="AE287">
        <v>95.4</v>
      </c>
      <c r="AF287">
        <v>2.0099999999999998</v>
      </c>
      <c r="AG287">
        <v>6.49</v>
      </c>
      <c r="AH287" t="s">
        <v>108</v>
      </c>
      <c r="AI287" t="s">
        <v>97</v>
      </c>
      <c r="AJ287" t="s">
        <v>97</v>
      </c>
      <c r="AK287" t="s">
        <v>97</v>
      </c>
      <c r="AL287" t="s">
        <v>97</v>
      </c>
      <c r="AM287">
        <v>3</v>
      </c>
      <c r="AN287" t="s">
        <v>109</v>
      </c>
      <c r="AO287" t="s">
        <v>103</v>
      </c>
      <c r="AP287" t="s">
        <v>122</v>
      </c>
      <c r="AQ287" t="s">
        <v>103</v>
      </c>
      <c r="AR287" t="s">
        <v>190</v>
      </c>
      <c r="AS287" t="s">
        <v>104</v>
      </c>
      <c r="AT287" t="s">
        <v>110</v>
      </c>
      <c r="AU287" t="s">
        <v>97</v>
      </c>
      <c r="AV287" t="s">
        <v>97</v>
      </c>
      <c r="AW287">
        <v>0.16</v>
      </c>
      <c r="AX287">
        <v>1.54</v>
      </c>
      <c r="AY287">
        <v>0.74</v>
      </c>
      <c r="AZ287">
        <v>3.04</v>
      </c>
      <c r="BA287" t="s">
        <v>97</v>
      </c>
      <c r="BB287" t="s">
        <v>97</v>
      </c>
      <c r="BC287" t="s">
        <v>97</v>
      </c>
      <c r="BD287">
        <v>1</v>
      </c>
      <c r="BE287" t="s">
        <v>97</v>
      </c>
      <c r="BF287" t="s">
        <v>97</v>
      </c>
      <c r="BG287" t="s">
        <v>97</v>
      </c>
      <c r="BH287" t="s">
        <v>97</v>
      </c>
      <c r="BI287">
        <v>669257</v>
      </c>
      <c r="BJ287">
        <v>669257</v>
      </c>
      <c r="BK287" t="s">
        <v>97</v>
      </c>
      <c r="BL287" t="s">
        <v>97</v>
      </c>
      <c r="BM287">
        <v>-3.710940409</v>
      </c>
      <c r="BN287">
        <v>-138.73961220000001</v>
      </c>
      <c r="BO287">
        <v>-6.9040816950000004</v>
      </c>
      <c r="BP287">
        <v>2.9563811100000001</v>
      </c>
      <c r="BQ287">
        <v>34.12503564</v>
      </c>
      <c r="BR287">
        <v>-10.99710292</v>
      </c>
      <c r="BS287">
        <v>3.1</v>
      </c>
      <c r="BT287">
        <v>1.49</v>
      </c>
      <c r="BU287" t="s">
        <v>97</v>
      </c>
      <c r="BV287" t="s">
        <v>97</v>
      </c>
      <c r="BW287" t="s">
        <v>97</v>
      </c>
      <c r="BX287">
        <v>95.6</v>
      </c>
      <c r="BY287">
        <v>2412</v>
      </c>
      <c r="BZ287">
        <v>6.7</v>
      </c>
      <c r="CA287">
        <v>813036</v>
      </c>
      <c r="CB287">
        <v>669257</v>
      </c>
      <c r="CC287">
        <v>669257</v>
      </c>
      <c r="CD287">
        <v>518692</v>
      </c>
      <c r="CE287">
        <v>669242</v>
      </c>
      <c r="CF287">
        <v>571970</v>
      </c>
      <c r="CG287">
        <v>605141</v>
      </c>
      <c r="CH287">
        <v>571771</v>
      </c>
      <c r="CI287">
        <v>681909</v>
      </c>
      <c r="CJ287">
        <v>681624</v>
      </c>
      <c r="CK287">
        <v>53.81</v>
      </c>
      <c r="CL287" t="s">
        <v>97</v>
      </c>
      <c r="CM287" t="s">
        <v>97</v>
      </c>
      <c r="CN287" t="s">
        <v>97</v>
      </c>
      <c r="CO287" t="s">
        <v>97</v>
      </c>
      <c r="CP287" t="s">
        <v>97</v>
      </c>
      <c r="CQ287" t="s">
        <v>97</v>
      </c>
      <c r="CR287" t="s">
        <v>97</v>
      </c>
      <c r="CS287">
        <v>0</v>
      </c>
      <c r="CT287">
        <v>1</v>
      </c>
      <c r="CU287">
        <v>0</v>
      </c>
      <c r="CV287">
        <v>1</v>
      </c>
      <c r="CW287">
        <v>1</v>
      </c>
      <c r="CX287">
        <v>0</v>
      </c>
      <c r="CY287">
        <v>0</v>
      </c>
      <c r="CZ287">
        <v>1</v>
      </c>
      <c r="DA287" t="s">
        <v>107</v>
      </c>
      <c r="DB287" t="s">
        <v>107</v>
      </c>
      <c r="DC287">
        <v>160</v>
      </c>
      <c r="DD287">
        <v>0</v>
      </c>
      <c r="DE287">
        <v>-3.9E-2</v>
      </c>
      <c r="DF287" t="s">
        <v>97</v>
      </c>
      <c r="DG287" t="s">
        <v>97</v>
      </c>
    </row>
    <row r="288" spans="1:111" x14ac:dyDescent="0.2">
      <c r="A288">
        <v>2025</v>
      </c>
      <c r="B288" s="1">
        <v>45943</v>
      </c>
      <c r="C288" t="s">
        <v>95</v>
      </c>
      <c r="D288">
        <v>605483</v>
      </c>
      <c r="E288">
        <v>683734</v>
      </c>
      <c r="F288">
        <v>0</v>
      </c>
      <c r="G288">
        <v>1</v>
      </c>
      <c r="H288">
        <v>8</v>
      </c>
      <c r="I288" t="s">
        <v>163</v>
      </c>
      <c r="J288">
        <v>56</v>
      </c>
      <c r="K288">
        <v>2</v>
      </c>
      <c r="L288" t="s">
        <v>119</v>
      </c>
      <c r="M288" t="s">
        <v>138</v>
      </c>
      <c r="N288" t="s">
        <v>139</v>
      </c>
      <c r="O288">
        <f t="shared" si="64"/>
        <v>0</v>
      </c>
      <c r="P288">
        <f t="shared" si="65"/>
        <v>0</v>
      </c>
      <c r="Q288">
        <f t="shared" si="66"/>
        <v>0</v>
      </c>
      <c r="R288">
        <f t="shared" si="67"/>
        <v>0</v>
      </c>
      <c r="S288">
        <f t="shared" si="68"/>
        <v>0</v>
      </c>
      <c r="T288">
        <f t="shared" si="69"/>
        <v>0</v>
      </c>
      <c r="U288">
        <f t="shared" si="70"/>
        <v>0</v>
      </c>
      <c r="V288">
        <f t="shared" si="71"/>
        <v>0</v>
      </c>
      <c r="W288">
        <f t="shared" si="72"/>
        <v>0</v>
      </c>
      <c r="X288">
        <f t="shared" si="73"/>
        <v>0</v>
      </c>
      <c r="Y288">
        <f t="shared" si="74"/>
        <v>0</v>
      </c>
      <c r="Z288">
        <f t="shared" si="75"/>
        <v>0</v>
      </c>
      <c r="AA288">
        <f t="shared" si="76"/>
        <v>0</v>
      </c>
      <c r="AB288">
        <f t="shared" si="77"/>
        <v>0</v>
      </c>
      <c r="AC288">
        <f t="shared" si="78"/>
        <v>1</v>
      </c>
      <c r="AD288">
        <f t="shared" si="79"/>
        <v>0</v>
      </c>
      <c r="AE288">
        <v>87.7</v>
      </c>
      <c r="AF288">
        <v>2.0299999999999998</v>
      </c>
      <c r="AG288">
        <v>6.47</v>
      </c>
      <c r="AH288" t="s">
        <v>120</v>
      </c>
      <c r="AI288" t="s">
        <v>97</v>
      </c>
      <c r="AJ288" t="s">
        <v>97</v>
      </c>
      <c r="AK288" t="s">
        <v>97</v>
      </c>
      <c r="AL288" t="s">
        <v>97</v>
      </c>
      <c r="AM288">
        <v>13</v>
      </c>
      <c r="AN288" t="s">
        <v>211</v>
      </c>
      <c r="AO288" t="s">
        <v>103</v>
      </c>
      <c r="AP288" t="s">
        <v>122</v>
      </c>
      <c r="AQ288" t="s">
        <v>103</v>
      </c>
      <c r="AR288" t="s">
        <v>190</v>
      </c>
      <c r="AS288" t="s">
        <v>104</v>
      </c>
      <c r="AT288" t="s">
        <v>123</v>
      </c>
      <c r="AU288">
        <v>5</v>
      </c>
      <c r="AV288" t="s">
        <v>127</v>
      </c>
      <c r="AW288">
        <v>-0.12</v>
      </c>
      <c r="AX288">
        <v>0.56000000000000005</v>
      </c>
      <c r="AY288">
        <v>-0.5</v>
      </c>
      <c r="AZ288">
        <v>1.29</v>
      </c>
      <c r="BA288" t="s">
        <v>97</v>
      </c>
      <c r="BB288" t="s">
        <v>97</v>
      </c>
      <c r="BC288" t="s">
        <v>97</v>
      </c>
      <c r="BD288">
        <v>1</v>
      </c>
      <c r="BE288">
        <v>90.56</v>
      </c>
      <c r="BF288">
        <v>163.66999999999999</v>
      </c>
      <c r="BG288" t="s">
        <v>97</v>
      </c>
      <c r="BH288" t="s">
        <v>97</v>
      </c>
      <c r="BI288">
        <v>669257</v>
      </c>
      <c r="BJ288">
        <v>669257</v>
      </c>
      <c r="BK288" t="s">
        <v>97</v>
      </c>
      <c r="BL288" t="s">
        <v>97</v>
      </c>
      <c r="BM288">
        <v>-5.909223839</v>
      </c>
      <c r="BN288">
        <v>-127.3298398</v>
      </c>
      <c r="BO288">
        <v>-7.4961910229999997</v>
      </c>
      <c r="BP288">
        <v>3.8746719999999998E-2</v>
      </c>
      <c r="BQ288">
        <v>28.368312790000001</v>
      </c>
      <c r="BR288">
        <v>-24.697628309999999</v>
      </c>
      <c r="BS288">
        <v>3.16</v>
      </c>
      <c r="BT288">
        <v>1.49</v>
      </c>
      <c r="BU288">
        <v>8</v>
      </c>
      <c r="BV288">
        <v>89.9</v>
      </c>
      <c r="BW288">
        <v>-9</v>
      </c>
      <c r="BX288">
        <v>87.8</v>
      </c>
      <c r="BY288">
        <v>2322</v>
      </c>
      <c r="BZ288">
        <v>6.7</v>
      </c>
      <c r="CA288">
        <v>813036</v>
      </c>
      <c r="CB288">
        <v>669257</v>
      </c>
      <c r="CC288">
        <v>669257</v>
      </c>
      <c r="CD288">
        <v>518692</v>
      </c>
      <c r="CE288">
        <v>669242</v>
      </c>
      <c r="CF288">
        <v>571970</v>
      </c>
      <c r="CG288">
        <v>605141</v>
      </c>
      <c r="CH288">
        <v>571771</v>
      </c>
      <c r="CI288">
        <v>681909</v>
      </c>
      <c r="CJ288">
        <v>681624</v>
      </c>
      <c r="CK288">
        <v>53.83</v>
      </c>
      <c r="CL288">
        <v>0.16300000000000001</v>
      </c>
      <c r="CM288">
        <v>0.13500000000000001</v>
      </c>
      <c r="CN288">
        <v>0</v>
      </c>
      <c r="CO288">
        <v>1</v>
      </c>
      <c r="CP288">
        <v>0</v>
      </c>
      <c r="CQ288">
        <v>0</v>
      </c>
      <c r="CR288">
        <v>2</v>
      </c>
      <c r="CS288">
        <v>0</v>
      </c>
      <c r="CT288">
        <v>1</v>
      </c>
      <c r="CU288">
        <v>0</v>
      </c>
      <c r="CV288">
        <v>1</v>
      </c>
      <c r="CW288">
        <v>1</v>
      </c>
      <c r="CX288">
        <v>0</v>
      </c>
      <c r="CY288">
        <v>0</v>
      </c>
      <c r="CZ288">
        <v>1</v>
      </c>
      <c r="DA288" t="s">
        <v>107</v>
      </c>
      <c r="DB288" t="s">
        <v>107</v>
      </c>
      <c r="DC288">
        <v>173</v>
      </c>
      <c r="DD288">
        <v>-4.5999999999999999E-2</v>
      </c>
      <c r="DE288">
        <v>-0.215</v>
      </c>
      <c r="DF288">
        <v>73.400000000000006</v>
      </c>
      <c r="DG288">
        <v>7.4</v>
      </c>
    </row>
    <row r="289" spans="1:111" x14ac:dyDescent="0.2">
      <c r="A289">
        <v>2025</v>
      </c>
      <c r="B289" s="1">
        <v>45943</v>
      </c>
      <c r="C289" t="s">
        <v>95</v>
      </c>
      <c r="D289">
        <v>605483</v>
      </c>
      <c r="E289">
        <v>686217</v>
      </c>
      <c r="F289">
        <v>0</v>
      </c>
      <c r="G289">
        <v>0</v>
      </c>
      <c r="H289">
        <v>8</v>
      </c>
      <c r="I289" t="s">
        <v>163</v>
      </c>
      <c r="J289">
        <v>57</v>
      </c>
      <c r="K289">
        <v>1</v>
      </c>
      <c r="L289" t="s">
        <v>97</v>
      </c>
      <c r="M289" t="s">
        <v>111</v>
      </c>
      <c r="N289" t="s">
        <v>112</v>
      </c>
      <c r="O289">
        <f t="shared" si="64"/>
        <v>0</v>
      </c>
      <c r="P289">
        <f t="shared" si="65"/>
        <v>0</v>
      </c>
      <c r="Q289">
        <f t="shared" si="66"/>
        <v>0</v>
      </c>
      <c r="R289">
        <f t="shared" si="67"/>
        <v>0</v>
      </c>
      <c r="S289">
        <f t="shared" si="68"/>
        <v>0</v>
      </c>
      <c r="T289">
        <f t="shared" si="69"/>
        <v>1</v>
      </c>
      <c r="U289">
        <f t="shared" si="70"/>
        <v>0</v>
      </c>
      <c r="V289">
        <f t="shared" si="71"/>
        <v>0</v>
      </c>
      <c r="W289">
        <f t="shared" si="72"/>
        <v>0</v>
      </c>
      <c r="X289">
        <f t="shared" si="73"/>
        <v>0</v>
      </c>
      <c r="Y289">
        <f t="shared" si="74"/>
        <v>0</v>
      </c>
      <c r="Z289">
        <f t="shared" si="75"/>
        <v>0</v>
      </c>
      <c r="AA289">
        <f t="shared" si="76"/>
        <v>0</v>
      </c>
      <c r="AB289">
        <f t="shared" si="77"/>
        <v>0</v>
      </c>
      <c r="AC289">
        <f t="shared" si="78"/>
        <v>0</v>
      </c>
      <c r="AD289">
        <f t="shared" si="79"/>
        <v>0</v>
      </c>
      <c r="AE289">
        <v>82.5</v>
      </c>
      <c r="AF289">
        <v>1.9</v>
      </c>
      <c r="AG289">
        <v>6.51</v>
      </c>
      <c r="AH289" t="s">
        <v>108</v>
      </c>
      <c r="AI289" t="s">
        <v>97</v>
      </c>
      <c r="AJ289" t="s">
        <v>97</v>
      </c>
      <c r="AK289" t="s">
        <v>97</v>
      </c>
      <c r="AL289" t="s">
        <v>97</v>
      </c>
      <c r="AM289">
        <v>8</v>
      </c>
      <c r="AN289" t="s">
        <v>109</v>
      </c>
      <c r="AO289" t="s">
        <v>103</v>
      </c>
      <c r="AP289" t="s">
        <v>103</v>
      </c>
      <c r="AQ289" t="s">
        <v>103</v>
      </c>
      <c r="AR289" t="s">
        <v>190</v>
      </c>
      <c r="AS289" t="s">
        <v>104</v>
      </c>
      <c r="AT289" t="s">
        <v>110</v>
      </c>
      <c r="AU289" t="s">
        <v>97</v>
      </c>
      <c r="AV289" t="s">
        <v>97</v>
      </c>
      <c r="AW289">
        <v>-0.77</v>
      </c>
      <c r="AX289">
        <v>-0.47</v>
      </c>
      <c r="AY289">
        <v>-0.24</v>
      </c>
      <c r="AZ289">
        <v>1.62</v>
      </c>
      <c r="BA289" t="s">
        <v>97</v>
      </c>
      <c r="BB289" t="s">
        <v>97</v>
      </c>
      <c r="BC289" t="s">
        <v>97</v>
      </c>
      <c r="BD289">
        <v>2</v>
      </c>
      <c r="BE289" t="s">
        <v>97</v>
      </c>
      <c r="BF289" t="s">
        <v>97</v>
      </c>
      <c r="BG289" t="s">
        <v>97</v>
      </c>
      <c r="BH289" t="s">
        <v>97</v>
      </c>
      <c r="BI289">
        <v>669257</v>
      </c>
      <c r="BJ289">
        <v>669257</v>
      </c>
      <c r="BK289" t="s">
        <v>97</v>
      </c>
      <c r="BL289" t="s">
        <v>97</v>
      </c>
      <c r="BM289">
        <v>-3.3824519689999999</v>
      </c>
      <c r="BN289">
        <v>-120.1038302</v>
      </c>
      <c r="BO289">
        <v>-3.6412110649999998</v>
      </c>
      <c r="BP289">
        <v>-6.6526627610000002</v>
      </c>
      <c r="BQ289">
        <v>25.559496889999998</v>
      </c>
      <c r="BR289">
        <v>-36.192684470000003</v>
      </c>
      <c r="BS289">
        <v>3.1</v>
      </c>
      <c r="BT289">
        <v>1.44</v>
      </c>
      <c r="BU289" t="s">
        <v>97</v>
      </c>
      <c r="BV289" t="s">
        <v>97</v>
      </c>
      <c r="BW289" t="s">
        <v>97</v>
      </c>
      <c r="BX289">
        <v>82.6</v>
      </c>
      <c r="BY289">
        <v>2509</v>
      </c>
      <c r="BZ289">
        <v>6.6</v>
      </c>
      <c r="CA289">
        <v>813036</v>
      </c>
      <c r="CB289">
        <v>669257</v>
      </c>
      <c r="CC289">
        <v>669257</v>
      </c>
      <c r="CD289">
        <v>518692</v>
      </c>
      <c r="CE289">
        <v>669242</v>
      </c>
      <c r="CF289">
        <v>571970</v>
      </c>
      <c r="CG289">
        <v>605141</v>
      </c>
      <c r="CH289">
        <v>571771</v>
      </c>
      <c r="CI289">
        <v>681909</v>
      </c>
      <c r="CJ289">
        <v>681624</v>
      </c>
      <c r="CK289">
        <v>53.92</v>
      </c>
      <c r="CL289" t="s">
        <v>97</v>
      </c>
      <c r="CM289" t="s">
        <v>97</v>
      </c>
      <c r="CN289" t="s">
        <v>97</v>
      </c>
      <c r="CO289" t="s">
        <v>97</v>
      </c>
      <c r="CP289" t="s">
        <v>97</v>
      </c>
      <c r="CQ289" t="s">
        <v>97</v>
      </c>
      <c r="CR289" t="s">
        <v>97</v>
      </c>
      <c r="CS289">
        <v>0</v>
      </c>
      <c r="CT289">
        <v>1</v>
      </c>
      <c r="CU289">
        <v>0</v>
      </c>
      <c r="CV289">
        <v>1</v>
      </c>
      <c r="CW289">
        <v>1</v>
      </c>
      <c r="CX289">
        <v>0</v>
      </c>
      <c r="CY289">
        <v>0</v>
      </c>
      <c r="CZ289">
        <v>1</v>
      </c>
      <c r="DA289" t="s">
        <v>107</v>
      </c>
      <c r="DB289" t="s">
        <v>107</v>
      </c>
      <c r="DC289">
        <v>322</v>
      </c>
      <c r="DD289">
        <v>0</v>
      </c>
      <c r="DE289">
        <v>-4.2999999999999997E-2</v>
      </c>
      <c r="DF289" t="s">
        <v>97</v>
      </c>
      <c r="DG289" t="s">
        <v>97</v>
      </c>
    </row>
    <row r="290" spans="1:111" x14ac:dyDescent="0.2">
      <c r="A290">
        <v>2025</v>
      </c>
      <c r="B290" s="1">
        <v>45943</v>
      </c>
      <c r="C290" t="s">
        <v>95</v>
      </c>
      <c r="D290">
        <v>605483</v>
      </c>
      <c r="E290">
        <v>686217</v>
      </c>
      <c r="F290">
        <v>0</v>
      </c>
      <c r="G290">
        <v>1</v>
      </c>
      <c r="H290">
        <v>8</v>
      </c>
      <c r="I290" t="s">
        <v>163</v>
      </c>
      <c r="J290">
        <v>57</v>
      </c>
      <c r="K290">
        <v>2</v>
      </c>
      <c r="L290" t="s">
        <v>97</v>
      </c>
      <c r="M290" t="s">
        <v>98</v>
      </c>
      <c r="N290" t="s">
        <v>99</v>
      </c>
      <c r="O290">
        <f t="shared" si="64"/>
        <v>0</v>
      </c>
      <c r="P290">
        <f t="shared" si="65"/>
        <v>1</v>
      </c>
      <c r="Q290">
        <f t="shared" si="66"/>
        <v>0</v>
      </c>
      <c r="R290">
        <f t="shared" si="67"/>
        <v>0</v>
      </c>
      <c r="S290">
        <f t="shared" si="68"/>
        <v>0</v>
      </c>
      <c r="T290">
        <f t="shared" si="69"/>
        <v>0</v>
      </c>
      <c r="U290">
        <f t="shared" si="70"/>
        <v>0</v>
      </c>
      <c r="V290">
        <f t="shared" si="71"/>
        <v>0</v>
      </c>
      <c r="W290">
        <f t="shared" si="72"/>
        <v>0</v>
      </c>
      <c r="X290">
        <f t="shared" si="73"/>
        <v>0</v>
      </c>
      <c r="Y290">
        <f t="shared" si="74"/>
        <v>0</v>
      </c>
      <c r="Z290">
        <f t="shared" si="75"/>
        <v>0</v>
      </c>
      <c r="AA290">
        <f t="shared" si="76"/>
        <v>0</v>
      </c>
      <c r="AB290">
        <f t="shared" si="77"/>
        <v>0</v>
      </c>
      <c r="AC290">
        <f t="shared" si="78"/>
        <v>0</v>
      </c>
      <c r="AD290">
        <f t="shared" si="79"/>
        <v>0</v>
      </c>
      <c r="AE290">
        <v>96</v>
      </c>
      <c r="AF290">
        <v>2.02</v>
      </c>
      <c r="AG290">
        <v>6.36</v>
      </c>
      <c r="AH290" t="s">
        <v>129</v>
      </c>
      <c r="AI290" t="s">
        <v>97</v>
      </c>
      <c r="AJ290" t="s">
        <v>97</v>
      </c>
      <c r="AK290" t="s">
        <v>97</v>
      </c>
      <c r="AL290" t="s">
        <v>97</v>
      </c>
      <c r="AM290">
        <v>12</v>
      </c>
      <c r="AN290" t="s">
        <v>130</v>
      </c>
      <c r="AO290" t="s">
        <v>103</v>
      </c>
      <c r="AP290" t="s">
        <v>103</v>
      </c>
      <c r="AQ290" t="s">
        <v>103</v>
      </c>
      <c r="AR290" t="s">
        <v>190</v>
      </c>
      <c r="AS290" t="s">
        <v>104</v>
      </c>
      <c r="AT290" t="s">
        <v>110</v>
      </c>
      <c r="AU290" t="s">
        <v>97</v>
      </c>
      <c r="AV290" t="s">
        <v>97</v>
      </c>
      <c r="AW290">
        <v>0.31</v>
      </c>
      <c r="AX290">
        <v>1.3</v>
      </c>
      <c r="AY290">
        <v>1.06</v>
      </c>
      <c r="AZ290">
        <v>2.4</v>
      </c>
      <c r="BA290" t="s">
        <v>97</v>
      </c>
      <c r="BB290" t="s">
        <v>97</v>
      </c>
      <c r="BC290" t="s">
        <v>97</v>
      </c>
      <c r="BD290">
        <v>2</v>
      </c>
      <c r="BE290" t="s">
        <v>97</v>
      </c>
      <c r="BF290" t="s">
        <v>97</v>
      </c>
      <c r="BG290" t="s">
        <v>97</v>
      </c>
      <c r="BH290" t="s">
        <v>97</v>
      </c>
      <c r="BI290">
        <v>669257</v>
      </c>
      <c r="BJ290">
        <v>669257</v>
      </c>
      <c r="BK290" t="s">
        <v>97</v>
      </c>
      <c r="BL290" t="s">
        <v>97</v>
      </c>
      <c r="BM290">
        <v>-3.2653877969999998</v>
      </c>
      <c r="BN290">
        <v>-139.5354586</v>
      </c>
      <c r="BO290">
        <v>-7.8399166439999997</v>
      </c>
      <c r="BP290">
        <v>4.814829552</v>
      </c>
      <c r="BQ290">
        <v>33.185837159999998</v>
      </c>
      <c r="BR290">
        <v>-13.57627802</v>
      </c>
      <c r="BS290">
        <v>3.06</v>
      </c>
      <c r="BT290">
        <v>1.44</v>
      </c>
      <c r="BU290">
        <v>3</v>
      </c>
      <c r="BV290">
        <v>81.7</v>
      </c>
      <c r="BW290">
        <v>-34</v>
      </c>
      <c r="BX290">
        <v>96.7</v>
      </c>
      <c r="BY290">
        <v>2459</v>
      </c>
      <c r="BZ290">
        <v>6.9</v>
      </c>
      <c r="CA290">
        <v>813036</v>
      </c>
      <c r="CB290">
        <v>669257</v>
      </c>
      <c r="CC290">
        <v>669257</v>
      </c>
      <c r="CD290">
        <v>518692</v>
      </c>
      <c r="CE290">
        <v>669242</v>
      </c>
      <c r="CF290">
        <v>571970</v>
      </c>
      <c r="CG290">
        <v>605141</v>
      </c>
      <c r="CH290">
        <v>571771</v>
      </c>
      <c r="CI290">
        <v>681909</v>
      </c>
      <c r="CJ290">
        <v>681624</v>
      </c>
      <c r="CK290">
        <v>53.64</v>
      </c>
      <c r="CL290" t="s">
        <v>97</v>
      </c>
      <c r="CM290" t="s">
        <v>97</v>
      </c>
      <c r="CN290" t="s">
        <v>97</v>
      </c>
      <c r="CO290" t="s">
        <v>97</v>
      </c>
      <c r="CP290" t="s">
        <v>97</v>
      </c>
      <c r="CQ290" t="s">
        <v>97</v>
      </c>
      <c r="CR290" t="s">
        <v>97</v>
      </c>
      <c r="CS290">
        <v>0</v>
      </c>
      <c r="CT290">
        <v>1</v>
      </c>
      <c r="CU290">
        <v>0</v>
      </c>
      <c r="CV290">
        <v>1</v>
      </c>
      <c r="CW290">
        <v>1</v>
      </c>
      <c r="CX290">
        <v>0</v>
      </c>
      <c r="CY290">
        <v>0</v>
      </c>
      <c r="CZ290">
        <v>1</v>
      </c>
      <c r="DA290" t="s">
        <v>107</v>
      </c>
      <c r="DB290" t="s">
        <v>107</v>
      </c>
      <c r="DC290">
        <v>154</v>
      </c>
      <c r="DD290">
        <v>0</v>
      </c>
      <c r="DE290">
        <v>-5.7000000000000002E-2</v>
      </c>
      <c r="DF290">
        <v>65</v>
      </c>
      <c r="DG290">
        <v>6.4</v>
      </c>
    </row>
    <row r="291" spans="1:111" x14ac:dyDescent="0.2">
      <c r="A291">
        <v>2025</v>
      </c>
      <c r="B291" s="1">
        <v>45943</v>
      </c>
      <c r="C291" t="s">
        <v>95</v>
      </c>
      <c r="D291">
        <v>605483</v>
      </c>
      <c r="E291">
        <v>686217</v>
      </c>
      <c r="F291">
        <v>0</v>
      </c>
      <c r="G291">
        <v>2</v>
      </c>
      <c r="H291">
        <v>8</v>
      </c>
      <c r="I291" t="s">
        <v>163</v>
      </c>
      <c r="J291">
        <v>57</v>
      </c>
      <c r="K291">
        <v>3</v>
      </c>
      <c r="L291" t="s">
        <v>97</v>
      </c>
      <c r="M291" t="s">
        <v>111</v>
      </c>
      <c r="N291" t="s">
        <v>112</v>
      </c>
      <c r="O291">
        <f t="shared" si="64"/>
        <v>0</v>
      </c>
      <c r="P291">
        <f t="shared" si="65"/>
        <v>0</v>
      </c>
      <c r="Q291">
        <f t="shared" si="66"/>
        <v>0</v>
      </c>
      <c r="R291">
        <f t="shared" si="67"/>
        <v>0</v>
      </c>
      <c r="S291">
        <f t="shared" si="68"/>
        <v>0</v>
      </c>
      <c r="T291">
        <f t="shared" si="69"/>
        <v>0</v>
      </c>
      <c r="U291">
        <f t="shared" si="70"/>
        <v>1</v>
      </c>
      <c r="V291">
        <f t="shared" si="71"/>
        <v>0</v>
      </c>
      <c r="W291">
        <f t="shared" si="72"/>
        <v>0</v>
      </c>
      <c r="X291">
        <f t="shared" si="73"/>
        <v>0</v>
      </c>
      <c r="Y291">
        <f t="shared" si="74"/>
        <v>0</v>
      </c>
      <c r="Z291">
        <f t="shared" si="75"/>
        <v>0</v>
      </c>
      <c r="AA291">
        <f t="shared" si="76"/>
        <v>0</v>
      </c>
      <c r="AB291">
        <f t="shared" si="77"/>
        <v>0</v>
      </c>
      <c r="AC291">
        <f t="shared" si="78"/>
        <v>0</v>
      </c>
      <c r="AD291">
        <f t="shared" si="79"/>
        <v>0</v>
      </c>
      <c r="AE291">
        <v>83.2</v>
      </c>
      <c r="AF291">
        <v>2.0099999999999998</v>
      </c>
      <c r="AG291">
        <v>6.39</v>
      </c>
      <c r="AH291" t="s">
        <v>100</v>
      </c>
      <c r="AI291" t="s">
        <v>97</v>
      </c>
      <c r="AJ291" t="s">
        <v>97</v>
      </c>
      <c r="AK291" t="s">
        <v>97</v>
      </c>
      <c r="AL291" t="s">
        <v>97</v>
      </c>
      <c r="AM291">
        <v>13</v>
      </c>
      <c r="AN291" t="s">
        <v>101</v>
      </c>
      <c r="AO291" t="s">
        <v>103</v>
      </c>
      <c r="AP291" t="s">
        <v>103</v>
      </c>
      <c r="AQ291" t="s">
        <v>103</v>
      </c>
      <c r="AR291" t="s">
        <v>190</v>
      </c>
      <c r="AS291" t="s">
        <v>104</v>
      </c>
      <c r="AT291" t="s">
        <v>106</v>
      </c>
      <c r="AU291" t="s">
        <v>97</v>
      </c>
      <c r="AV291" t="s">
        <v>97</v>
      </c>
      <c r="AW291">
        <v>-1.0900000000000001</v>
      </c>
      <c r="AX291">
        <v>-0.24</v>
      </c>
      <c r="AY291">
        <v>-1.1200000000000001</v>
      </c>
      <c r="AZ291">
        <v>0.02</v>
      </c>
      <c r="BA291" t="s">
        <v>97</v>
      </c>
      <c r="BB291" t="s">
        <v>97</v>
      </c>
      <c r="BC291" t="s">
        <v>97</v>
      </c>
      <c r="BD291">
        <v>2</v>
      </c>
      <c r="BE291" t="s">
        <v>97</v>
      </c>
      <c r="BF291" t="s">
        <v>97</v>
      </c>
      <c r="BG291" t="s">
        <v>97</v>
      </c>
      <c r="BH291" t="s">
        <v>97</v>
      </c>
      <c r="BI291">
        <v>669257</v>
      </c>
      <c r="BJ291">
        <v>669257</v>
      </c>
      <c r="BK291" t="s">
        <v>97</v>
      </c>
      <c r="BL291" t="s">
        <v>97</v>
      </c>
      <c r="BM291">
        <v>-5.086441132</v>
      </c>
      <c r="BN291">
        <v>-120.80405279999999</v>
      </c>
      <c r="BO291">
        <v>-7.5853101470000004</v>
      </c>
      <c r="BP291">
        <v>-9.3461387249999994</v>
      </c>
      <c r="BQ291">
        <v>27.432770919999999</v>
      </c>
      <c r="BR291">
        <v>-32.96927608</v>
      </c>
      <c r="BS291">
        <v>3.17</v>
      </c>
      <c r="BT291">
        <v>1.56</v>
      </c>
      <c r="BU291" t="s">
        <v>97</v>
      </c>
      <c r="BV291" t="s">
        <v>97</v>
      </c>
      <c r="BW291" t="s">
        <v>97</v>
      </c>
      <c r="BX291">
        <v>83.1</v>
      </c>
      <c r="BY291">
        <v>2548</v>
      </c>
      <c r="BZ291">
        <v>6.7</v>
      </c>
      <c r="CA291">
        <v>813036</v>
      </c>
      <c r="CB291">
        <v>669257</v>
      </c>
      <c r="CC291">
        <v>669257</v>
      </c>
      <c r="CD291">
        <v>518692</v>
      </c>
      <c r="CE291">
        <v>669242</v>
      </c>
      <c r="CF291">
        <v>571970</v>
      </c>
      <c r="CG291">
        <v>605141</v>
      </c>
      <c r="CH291">
        <v>571771</v>
      </c>
      <c r="CI291">
        <v>681909</v>
      </c>
      <c r="CJ291">
        <v>681624</v>
      </c>
      <c r="CK291">
        <v>53.79</v>
      </c>
      <c r="CL291" t="s">
        <v>97</v>
      </c>
      <c r="CM291" t="s">
        <v>97</v>
      </c>
      <c r="CN291" t="s">
        <v>97</v>
      </c>
      <c r="CO291" t="s">
        <v>97</v>
      </c>
      <c r="CP291" t="s">
        <v>97</v>
      </c>
      <c r="CQ291" t="s">
        <v>97</v>
      </c>
      <c r="CR291" t="s">
        <v>97</v>
      </c>
      <c r="CS291">
        <v>0</v>
      </c>
      <c r="CT291">
        <v>1</v>
      </c>
      <c r="CU291">
        <v>0</v>
      </c>
      <c r="CV291">
        <v>1</v>
      </c>
      <c r="CW291">
        <v>1</v>
      </c>
      <c r="CX291">
        <v>0</v>
      </c>
      <c r="CY291">
        <v>0</v>
      </c>
      <c r="CZ291">
        <v>1</v>
      </c>
      <c r="DA291" t="s">
        <v>115</v>
      </c>
      <c r="DB291" t="s">
        <v>107</v>
      </c>
      <c r="DC291">
        <v>318</v>
      </c>
      <c r="DD291">
        <v>0</v>
      </c>
      <c r="DE291">
        <v>2.1999999999999999E-2</v>
      </c>
      <c r="DF291" t="s">
        <v>97</v>
      </c>
      <c r="DG291" t="s">
        <v>97</v>
      </c>
    </row>
    <row r="292" spans="1:111" x14ac:dyDescent="0.2">
      <c r="A292">
        <v>2025</v>
      </c>
      <c r="B292" s="1">
        <v>45943</v>
      </c>
      <c r="C292" t="s">
        <v>95</v>
      </c>
      <c r="D292">
        <v>605483</v>
      </c>
      <c r="E292">
        <v>686217</v>
      </c>
      <c r="F292">
        <v>1</v>
      </c>
      <c r="G292">
        <v>2</v>
      </c>
      <c r="H292">
        <v>8</v>
      </c>
      <c r="I292" t="s">
        <v>163</v>
      </c>
      <c r="J292">
        <v>57</v>
      </c>
      <c r="K292">
        <v>4</v>
      </c>
      <c r="L292" t="s">
        <v>97</v>
      </c>
      <c r="M292" t="s">
        <v>132</v>
      </c>
      <c r="N292" t="s">
        <v>133</v>
      </c>
      <c r="O292">
        <f t="shared" si="64"/>
        <v>0</v>
      </c>
      <c r="P292">
        <f t="shared" si="65"/>
        <v>0</v>
      </c>
      <c r="Q292">
        <f t="shared" si="66"/>
        <v>0</v>
      </c>
      <c r="R292">
        <f t="shared" si="67"/>
        <v>0</v>
      </c>
      <c r="S292">
        <f t="shared" si="68"/>
        <v>0</v>
      </c>
      <c r="T292">
        <f t="shared" si="69"/>
        <v>0</v>
      </c>
      <c r="U292">
        <f t="shared" si="70"/>
        <v>0</v>
      </c>
      <c r="V292">
        <f t="shared" si="71"/>
        <v>0</v>
      </c>
      <c r="W292">
        <f t="shared" si="72"/>
        <v>0</v>
      </c>
      <c r="X292">
        <f t="shared" si="73"/>
        <v>0</v>
      </c>
      <c r="Y292">
        <f t="shared" si="74"/>
        <v>0</v>
      </c>
      <c r="Z292">
        <f t="shared" si="75"/>
        <v>1</v>
      </c>
      <c r="AA292">
        <f t="shared" si="76"/>
        <v>0</v>
      </c>
      <c r="AB292">
        <f t="shared" si="77"/>
        <v>0</v>
      </c>
      <c r="AC292">
        <f t="shared" si="78"/>
        <v>0</v>
      </c>
      <c r="AD292">
        <f t="shared" si="79"/>
        <v>0</v>
      </c>
      <c r="AE292">
        <v>85.2</v>
      </c>
      <c r="AF292">
        <v>2.38</v>
      </c>
      <c r="AG292">
        <v>6.23</v>
      </c>
      <c r="AH292" t="s">
        <v>100</v>
      </c>
      <c r="AI292" t="s">
        <v>97</v>
      </c>
      <c r="AJ292" t="s">
        <v>97</v>
      </c>
      <c r="AK292" t="s">
        <v>97</v>
      </c>
      <c r="AL292" t="s">
        <v>97</v>
      </c>
      <c r="AM292">
        <v>14</v>
      </c>
      <c r="AN292" t="s">
        <v>101</v>
      </c>
      <c r="AO292" t="s">
        <v>103</v>
      </c>
      <c r="AP292" t="s">
        <v>103</v>
      </c>
      <c r="AQ292" t="s">
        <v>103</v>
      </c>
      <c r="AR292" t="s">
        <v>190</v>
      </c>
      <c r="AS292" t="s">
        <v>104</v>
      </c>
      <c r="AT292" t="s">
        <v>106</v>
      </c>
      <c r="AU292" t="s">
        <v>97</v>
      </c>
      <c r="AV292" t="s">
        <v>97</v>
      </c>
      <c r="AW292">
        <v>1.27</v>
      </c>
      <c r="AX292">
        <v>0.6</v>
      </c>
      <c r="AY292">
        <v>1.56</v>
      </c>
      <c r="AZ292">
        <v>0.85</v>
      </c>
      <c r="BA292" t="s">
        <v>97</v>
      </c>
      <c r="BB292" t="s">
        <v>97</v>
      </c>
      <c r="BC292" t="s">
        <v>97</v>
      </c>
      <c r="BD292">
        <v>2</v>
      </c>
      <c r="BE292" t="s">
        <v>97</v>
      </c>
      <c r="BF292" t="s">
        <v>97</v>
      </c>
      <c r="BG292" t="s">
        <v>97</v>
      </c>
      <c r="BH292" t="s">
        <v>97</v>
      </c>
      <c r="BI292">
        <v>669257</v>
      </c>
      <c r="BJ292">
        <v>669257</v>
      </c>
      <c r="BK292" t="s">
        <v>97</v>
      </c>
      <c r="BL292" t="s">
        <v>97</v>
      </c>
      <c r="BM292">
        <v>-4.5116814490000001</v>
      </c>
      <c r="BN292">
        <v>-123.78359159999999</v>
      </c>
      <c r="BO292">
        <v>-7.5371368439999999</v>
      </c>
      <c r="BP292">
        <v>13.972348289999999</v>
      </c>
      <c r="BQ292">
        <v>25.770576460000001</v>
      </c>
      <c r="BR292">
        <v>-24.705934769999999</v>
      </c>
      <c r="BS292">
        <v>3.1</v>
      </c>
      <c r="BT292">
        <v>1.44</v>
      </c>
      <c r="BU292" t="s">
        <v>97</v>
      </c>
      <c r="BV292" t="s">
        <v>97</v>
      </c>
      <c r="BW292" t="s">
        <v>97</v>
      </c>
      <c r="BX292">
        <v>85.7</v>
      </c>
      <c r="BY292">
        <v>1784</v>
      </c>
      <c r="BZ292">
        <v>6.8</v>
      </c>
      <c r="CA292">
        <v>813036</v>
      </c>
      <c r="CB292">
        <v>669257</v>
      </c>
      <c r="CC292">
        <v>669257</v>
      </c>
      <c r="CD292">
        <v>518692</v>
      </c>
      <c r="CE292">
        <v>669242</v>
      </c>
      <c r="CF292">
        <v>571970</v>
      </c>
      <c r="CG292">
        <v>605141</v>
      </c>
      <c r="CH292">
        <v>571771</v>
      </c>
      <c r="CI292">
        <v>681909</v>
      </c>
      <c r="CJ292">
        <v>681624</v>
      </c>
      <c r="CK292">
        <v>53.7</v>
      </c>
      <c r="CL292" t="s">
        <v>97</v>
      </c>
      <c r="CM292" t="s">
        <v>97</v>
      </c>
      <c r="CN292" t="s">
        <v>97</v>
      </c>
      <c r="CO292" t="s">
        <v>97</v>
      </c>
      <c r="CP292" t="s">
        <v>97</v>
      </c>
      <c r="CQ292" t="s">
        <v>97</v>
      </c>
      <c r="CR292" t="s">
        <v>97</v>
      </c>
      <c r="CS292">
        <v>0</v>
      </c>
      <c r="CT292">
        <v>1</v>
      </c>
      <c r="CU292">
        <v>0</v>
      </c>
      <c r="CV292">
        <v>1</v>
      </c>
      <c r="CW292">
        <v>1</v>
      </c>
      <c r="CX292">
        <v>0</v>
      </c>
      <c r="CY292">
        <v>0</v>
      </c>
      <c r="CZ292">
        <v>1</v>
      </c>
      <c r="DA292" t="s">
        <v>115</v>
      </c>
      <c r="DB292" t="s">
        <v>107</v>
      </c>
      <c r="DC292">
        <v>128</v>
      </c>
      <c r="DD292">
        <v>0</v>
      </c>
      <c r="DE292">
        <v>4.2000000000000003E-2</v>
      </c>
      <c r="DF292" t="s">
        <v>97</v>
      </c>
      <c r="DG292" t="s">
        <v>97</v>
      </c>
    </row>
    <row r="293" spans="1:111" x14ac:dyDescent="0.2">
      <c r="A293">
        <v>2025</v>
      </c>
      <c r="B293" s="1">
        <v>45943</v>
      </c>
      <c r="C293" t="s">
        <v>95</v>
      </c>
      <c r="D293">
        <v>605483</v>
      </c>
      <c r="E293">
        <v>686217</v>
      </c>
      <c r="F293">
        <v>2</v>
      </c>
      <c r="G293">
        <v>2</v>
      </c>
      <c r="H293">
        <v>8</v>
      </c>
      <c r="I293" t="s">
        <v>163</v>
      </c>
      <c r="J293">
        <v>57</v>
      </c>
      <c r="K293">
        <v>5</v>
      </c>
      <c r="L293" t="s">
        <v>97</v>
      </c>
      <c r="M293" t="s">
        <v>138</v>
      </c>
      <c r="N293" t="s">
        <v>139</v>
      </c>
      <c r="O293">
        <f t="shared" si="64"/>
        <v>0</v>
      </c>
      <c r="P293">
        <f t="shared" si="65"/>
        <v>0</v>
      </c>
      <c r="Q293">
        <f t="shared" si="66"/>
        <v>0</v>
      </c>
      <c r="R293">
        <f t="shared" si="67"/>
        <v>0</v>
      </c>
      <c r="S293">
        <f t="shared" si="68"/>
        <v>0</v>
      </c>
      <c r="T293">
        <f t="shared" si="69"/>
        <v>0</v>
      </c>
      <c r="U293">
        <f t="shared" si="70"/>
        <v>0</v>
      </c>
      <c r="V293">
        <f t="shared" si="71"/>
        <v>0</v>
      </c>
      <c r="W293">
        <f t="shared" si="72"/>
        <v>0</v>
      </c>
      <c r="X293">
        <f t="shared" si="73"/>
        <v>0</v>
      </c>
      <c r="Y293">
        <f t="shared" si="74"/>
        <v>0</v>
      </c>
      <c r="Z293">
        <f t="shared" si="75"/>
        <v>0</v>
      </c>
      <c r="AA293">
        <f t="shared" si="76"/>
        <v>0</v>
      </c>
      <c r="AB293">
        <f t="shared" si="77"/>
        <v>0</v>
      </c>
      <c r="AC293">
        <f t="shared" si="78"/>
        <v>1</v>
      </c>
      <c r="AD293">
        <f t="shared" si="79"/>
        <v>0</v>
      </c>
      <c r="AE293">
        <v>91.2</v>
      </c>
      <c r="AF293">
        <v>2.0699999999999998</v>
      </c>
      <c r="AG293">
        <v>6.44</v>
      </c>
      <c r="AH293" t="s">
        <v>100</v>
      </c>
      <c r="AI293" t="s">
        <v>97</v>
      </c>
      <c r="AJ293" t="s">
        <v>97</v>
      </c>
      <c r="AK293" t="s">
        <v>97</v>
      </c>
      <c r="AL293" t="s">
        <v>97</v>
      </c>
      <c r="AM293">
        <v>13</v>
      </c>
      <c r="AN293" t="s">
        <v>101</v>
      </c>
      <c r="AO293" t="s">
        <v>103</v>
      </c>
      <c r="AP293" t="s">
        <v>103</v>
      </c>
      <c r="AQ293" t="s">
        <v>103</v>
      </c>
      <c r="AR293" t="s">
        <v>190</v>
      </c>
      <c r="AS293" t="s">
        <v>104</v>
      </c>
      <c r="AT293" t="s">
        <v>106</v>
      </c>
      <c r="AU293" t="s">
        <v>97</v>
      </c>
      <c r="AV293" t="s">
        <v>97</v>
      </c>
      <c r="AW293">
        <v>-7.0000000000000007E-2</v>
      </c>
      <c r="AX293">
        <v>0.7</v>
      </c>
      <c r="AY293">
        <v>-1.28</v>
      </c>
      <c r="AZ293">
        <v>0.79</v>
      </c>
      <c r="BA293" t="s">
        <v>97</v>
      </c>
      <c r="BB293" t="s">
        <v>97</v>
      </c>
      <c r="BC293" t="s">
        <v>97</v>
      </c>
      <c r="BD293">
        <v>2</v>
      </c>
      <c r="BE293" t="s">
        <v>97</v>
      </c>
      <c r="BF293" t="s">
        <v>97</v>
      </c>
      <c r="BG293" t="s">
        <v>97</v>
      </c>
      <c r="BH293" t="s">
        <v>97</v>
      </c>
      <c r="BI293">
        <v>669257</v>
      </c>
      <c r="BJ293">
        <v>669257</v>
      </c>
      <c r="BK293" t="s">
        <v>97</v>
      </c>
      <c r="BL293" t="s">
        <v>97</v>
      </c>
      <c r="BM293">
        <v>-8.3247135019999998</v>
      </c>
      <c r="BN293">
        <v>-132.23145790000001</v>
      </c>
      <c r="BO293">
        <v>-9.8056869189999993</v>
      </c>
      <c r="BP293">
        <v>1.0759223200000001</v>
      </c>
      <c r="BQ293">
        <v>30.28827128</v>
      </c>
      <c r="BR293">
        <v>-21.874930509999999</v>
      </c>
      <c r="BS293">
        <v>3.13</v>
      </c>
      <c r="BT293">
        <v>1.44</v>
      </c>
      <c r="BU293" t="s">
        <v>97</v>
      </c>
      <c r="BV293" t="s">
        <v>97</v>
      </c>
      <c r="BW293" t="s">
        <v>97</v>
      </c>
      <c r="BX293">
        <v>91.6</v>
      </c>
      <c r="BY293">
        <v>2374</v>
      </c>
      <c r="BZ293">
        <v>6.9</v>
      </c>
      <c r="CA293">
        <v>813036</v>
      </c>
      <c r="CB293">
        <v>669257</v>
      </c>
      <c r="CC293">
        <v>669257</v>
      </c>
      <c r="CD293">
        <v>518692</v>
      </c>
      <c r="CE293">
        <v>669242</v>
      </c>
      <c r="CF293">
        <v>571970</v>
      </c>
      <c r="CG293">
        <v>605141</v>
      </c>
      <c r="CH293">
        <v>571771</v>
      </c>
      <c r="CI293">
        <v>681909</v>
      </c>
      <c r="CJ293">
        <v>681624</v>
      </c>
      <c r="CK293">
        <v>53.63</v>
      </c>
      <c r="CL293" t="s">
        <v>97</v>
      </c>
      <c r="CM293" t="s">
        <v>97</v>
      </c>
      <c r="CN293" t="s">
        <v>97</v>
      </c>
      <c r="CO293" t="s">
        <v>97</v>
      </c>
      <c r="CP293" t="s">
        <v>97</v>
      </c>
      <c r="CQ293" t="s">
        <v>97</v>
      </c>
      <c r="CR293" t="s">
        <v>97</v>
      </c>
      <c r="CS293">
        <v>0</v>
      </c>
      <c r="CT293">
        <v>1</v>
      </c>
      <c r="CU293">
        <v>0</v>
      </c>
      <c r="CV293">
        <v>1</v>
      </c>
      <c r="CW293">
        <v>1</v>
      </c>
      <c r="CX293">
        <v>0</v>
      </c>
      <c r="CY293">
        <v>0</v>
      </c>
      <c r="CZ293">
        <v>1</v>
      </c>
      <c r="DA293" t="s">
        <v>115</v>
      </c>
      <c r="DB293" t="s">
        <v>107</v>
      </c>
      <c r="DC293">
        <v>168</v>
      </c>
      <c r="DD293">
        <v>0</v>
      </c>
      <c r="DE293">
        <v>0.104</v>
      </c>
      <c r="DF293" t="s">
        <v>97</v>
      </c>
      <c r="DG293" t="s">
        <v>97</v>
      </c>
    </row>
    <row r="294" spans="1:111" x14ac:dyDescent="0.2">
      <c r="A294">
        <v>2025</v>
      </c>
      <c r="B294" s="1">
        <v>45943</v>
      </c>
      <c r="C294" t="s">
        <v>95</v>
      </c>
      <c r="D294">
        <v>605483</v>
      </c>
      <c r="E294">
        <v>686217</v>
      </c>
      <c r="F294">
        <v>3</v>
      </c>
      <c r="G294">
        <v>2</v>
      </c>
      <c r="H294">
        <v>8</v>
      </c>
      <c r="I294" t="s">
        <v>163</v>
      </c>
      <c r="J294">
        <v>57</v>
      </c>
      <c r="K294">
        <v>6</v>
      </c>
      <c r="L294" t="s">
        <v>116</v>
      </c>
      <c r="M294" t="s">
        <v>111</v>
      </c>
      <c r="N294" t="s">
        <v>112</v>
      </c>
      <c r="O294">
        <f t="shared" si="64"/>
        <v>0</v>
      </c>
      <c r="P294">
        <f t="shared" si="65"/>
        <v>0</v>
      </c>
      <c r="Q294">
        <f t="shared" si="66"/>
        <v>0</v>
      </c>
      <c r="R294">
        <f t="shared" si="67"/>
        <v>0</v>
      </c>
      <c r="S294">
        <f t="shared" si="68"/>
        <v>0</v>
      </c>
      <c r="T294">
        <f t="shared" si="69"/>
        <v>1</v>
      </c>
      <c r="U294">
        <f t="shared" si="70"/>
        <v>0</v>
      </c>
      <c r="V294">
        <f t="shared" si="71"/>
        <v>0</v>
      </c>
      <c r="W294">
        <f t="shared" si="72"/>
        <v>0</v>
      </c>
      <c r="X294">
        <f t="shared" si="73"/>
        <v>0</v>
      </c>
      <c r="Y294">
        <f t="shared" si="74"/>
        <v>0</v>
      </c>
      <c r="Z294">
        <f t="shared" si="75"/>
        <v>0</v>
      </c>
      <c r="AA294">
        <f t="shared" si="76"/>
        <v>0</v>
      </c>
      <c r="AB294">
        <f t="shared" si="77"/>
        <v>0</v>
      </c>
      <c r="AC294">
        <f t="shared" si="78"/>
        <v>0</v>
      </c>
      <c r="AD294">
        <f t="shared" si="79"/>
        <v>0</v>
      </c>
      <c r="AE294">
        <v>82.5</v>
      </c>
      <c r="AF294">
        <v>1.95</v>
      </c>
      <c r="AG294">
        <v>6.49</v>
      </c>
      <c r="AH294" t="s">
        <v>108</v>
      </c>
      <c r="AI294" t="s">
        <v>97</v>
      </c>
      <c r="AJ294" t="s">
        <v>97</v>
      </c>
      <c r="AK294" t="s">
        <v>97</v>
      </c>
      <c r="AL294" t="s">
        <v>97</v>
      </c>
      <c r="AM294">
        <v>5</v>
      </c>
      <c r="AN294" t="s">
        <v>212</v>
      </c>
      <c r="AO294" t="s">
        <v>103</v>
      </c>
      <c r="AP294" t="s">
        <v>103</v>
      </c>
      <c r="AQ294" t="s">
        <v>103</v>
      </c>
      <c r="AR294" t="s">
        <v>190</v>
      </c>
      <c r="AS294" t="s">
        <v>104</v>
      </c>
      <c r="AT294" t="s">
        <v>110</v>
      </c>
      <c r="AU294">
        <v>2</v>
      </c>
      <c r="AV294" t="s">
        <v>97</v>
      </c>
      <c r="AW294">
        <v>-1.4</v>
      </c>
      <c r="AX294">
        <v>-0.44</v>
      </c>
      <c r="AY294">
        <v>-0.22</v>
      </c>
      <c r="AZ294">
        <v>2.46</v>
      </c>
      <c r="BA294" t="s">
        <v>97</v>
      </c>
      <c r="BB294" t="s">
        <v>97</v>
      </c>
      <c r="BC294" t="s">
        <v>97</v>
      </c>
      <c r="BD294">
        <v>2</v>
      </c>
      <c r="BE294" t="s">
        <v>97</v>
      </c>
      <c r="BF294" t="s">
        <v>97</v>
      </c>
      <c r="BG294" t="s">
        <v>97</v>
      </c>
      <c r="BH294" t="s">
        <v>97</v>
      </c>
      <c r="BI294">
        <v>669257</v>
      </c>
      <c r="BJ294">
        <v>669257</v>
      </c>
      <c r="BK294" t="s">
        <v>97</v>
      </c>
      <c r="BL294" t="s">
        <v>97</v>
      </c>
      <c r="BM294">
        <v>-2.2243940310000001</v>
      </c>
      <c r="BN294">
        <v>-120.1242534</v>
      </c>
      <c r="BO294">
        <v>-1.7566624</v>
      </c>
      <c r="BP294">
        <v>-12.95551105</v>
      </c>
      <c r="BQ294">
        <v>25.253125350000001</v>
      </c>
      <c r="BR294">
        <v>-36.295387140000003</v>
      </c>
      <c r="BS294">
        <v>3.11</v>
      </c>
      <c r="BT294">
        <v>1.44</v>
      </c>
      <c r="BU294" t="s">
        <v>97</v>
      </c>
      <c r="BV294" t="s">
        <v>97</v>
      </c>
      <c r="BW294" t="s">
        <v>97</v>
      </c>
      <c r="BX294">
        <v>82.8</v>
      </c>
      <c r="BY294">
        <v>2458</v>
      </c>
      <c r="BZ294">
        <v>6.7</v>
      </c>
      <c r="CA294">
        <v>813036</v>
      </c>
      <c r="CB294">
        <v>669257</v>
      </c>
      <c r="CC294">
        <v>669257</v>
      </c>
      <c r="CD294">
        <v>518692</v>
      </c>
      <c r="CE294">
        <v>669242</v>
      </c>
      <c r="CF294">
        <v>571970</v>
      </c>
      <c r="CG294">
        <v>605141</v>
      </c>
      <c r="CH294">
        <v>571771</v>
      </c>
      <c r="CI294">
        <v>681909</v>
      </c>
      <c r="CJ294">
        <v>681624</v>
      </c>
      <c r="CK294">
        <v>53.84</v>
      </c>
      <c r="CL294" t="s">
        <v>97</v>
      </c>
      <c r="CM294">
        <v>0</v>
      </c>
      <c r="CN294">
        <v>0</v>
      </c>
      <c r="CO294">
        <v>1</v>
      </c>
      <c r="CP294">
        <v>0</v>
      </c>
      <c r="CQ294">
        <v>0</v>
      </c>
      <c r="CR294" t="s">
        <v>97</v>
      </c>
      <c r="CS294">
        <v>0</v>
      </c>
      <c r="CT294">
        <v>1</v>
      </c>
      <c r="CU294">
        <v>0</v>
      </c>
      <c r="CV294">
        <v>1</v>
      </c>
      <c r="CW294">
        <v>1</v>
      </c>
      <c r="CX294">
        <v>0</v>
      </c>
      <c r="CY294">
        <v>0</v>
      </c>
      <c r="CZ294">
        <v>1</v>
      </c>
      <c r="DA294" t="s">
        <v>115</v>
      </c>
      <c r="DB294" t="s">
        <v>107</v>
      </c>
      <c r="DC294">
        <v>329</v>
      </c>
      <c r="DD294">
        <v>-3.1E-2</v>
      </c>
      <c r="DE294">
        <v>-0.32800000000000001</v>
      </c>
      <c r="DF294" t="s">
        <v>97</v>
      </c>
      <c r="DG294" t="s">
        <v>97</v>
      </c>
    </row>
    <row r="295" spans="1:111" x14ac:dyDescent="0.2">
      <c r="A295">
        <v>2025</v>
      </c>
      <c r="B295" s="1">
        <v>45954</v>
      </c>
      <c r="C295" t="s">
        <v>95</v>
      </c>
      <c r="D295">
        <v>605483</v>
      </c>
      <c r="E295">
        <v>543807</v>
      </c>
      <c r="F295">
        <v>0</v>
      </c>
      <c r="G295">
        <v>0</v>
      </c>
      <c r="H295">
        <v>1</v>
      </c>
      <c r="I295" t="s">
        <v>163</v>
      </c>
      <c r="J295">
        <v>4</v>
      </c>
      <c r="K295">
        <v>1</v>
      </c>
      <c r="L295" t="s">
        <v>97</v>
      </c>
      <c r="M295" t="s">
        <v>98</v>
      </c>
      <c r="N295" t="s">
        <v>99</v>
      </c>
      <c r="O295">
        <f t="shared" si="64"/>
        <v>1</v>
      </c>
      <c r="P295">
        <f t="shared" si="65"/>
        <v>0</v>
      </c>
      <c r="Q295">
        <f t="shared" si="66"/>
        <v>0</v>
      </c>
      <c r="R295">
        <f t="shared" si="67"/>
        <v>0</v>
      </c>
      <c r="S295">
        <f t="shared" si="68"/>
        <v>0</v>
      </c>
      <c r="T295">
        <f t="shared" si="69"/>
        <v>0</v>
      </c>
      <c r="U295">
        <f t="shared" si="70"/>
        <v>0</v>
      </c>
      <c r="V295">
        <f t="shared" si="71"/>
        <v>0</v>
      </c>
      <c r="W295">
        <f t="shared" si="72"/>
        <v>0</v>
      </c>
      <c r="X295">
        <f t="shared" si="73"/>
        <v>0</v>
      </c>
      <c r="Y295">
        <f t="shared" si="74"/>
        <v>0</v>
      </c>
      <c r="Z295">
        <f t="shared" si="75"/>
        <v>0</v>
      </c>
      <c r="AA295">
        <f t="shared" si="76"/>
        <v>0</v>
      </c>
      <c r="AB295">
        <f t="shared" si="77"/>
        <v>0</v>
      </c>
      <c r="AC295">
        <f t="shared" si="78"/>
        <v>0</v>
      </c>
      <c r="AD295">
        <f t="shared" si="79"/>
        <v>0</v>
      </c>
      <c r="AE295">
        <v>95.7</v>
      </c>
      <c r="AF295">
        <v>2.08</v>
      </c>
      <c r="AG295">
        <v>6.6</v>
      </c>
      <c r="AH295" t="s">
        <v>100</v>
      </c>
      <c r="AI295" t="s">
        <v>97</v>
      </c>
      <c r="AJ295" t="s">
        <v>97</v>
      </c>
      <c r="AK295" t="s">
        <v>97</v>
      </c>
      <c r="AL295" t="s">
        <v>97</v>
      </c>
      <c r="AM295">
        <v>12</v>
      </c>
      <c r="AN295" t="s">
        <v>101</v>
      </c>
      <c r="AO295" t="s">
        <v>213</v>
      </c>
      <c r="AP295" t="s">
        <v>122</v>
      </c>
      <c r="AQ295" t="s">
        <v>103</v>
      </c>
      <c r="AR295" t="s">
        <v>214</v>
      </c>
      <c r="AS295" t="s">
        <v>104</v>
      </c>
      <c r="AT295" t="s">
        <v>106</v>
      </c>
      <c r="AU295" t="s">
        <v>97</v>
      </c>
      <c r="AV295" t="s">
        <v>97</v>
      </c>
      <c r="AW295">
        <v>0.65</v>
      </c>
      <c r="AX295">
        <v>1.58</v>
      </c>
      <c r="AY295">
        <v>0.38</v>
      </c>
      <c r="AZ295">
        <v>4.08</v>
      </c>
      <c r="BA295" t="s">
        <v>97</v>
      </c>
      <c r="BB295" t="s">
        <v>97</v>
      </c>
      <c r="BC295" t="s">
        <v>97</v>
      </c>
      <c r="BD295">
        <v>0</v>
      </c>
      <c r="BE295" t="s">
        <v>97</v>
      </c>
      <c r="BF295" t="s">
        <v>97</v>
      </c>
      <c r="BG295" t="s">
        <v>97</v>
      </c>
      <c r="BH295" t="s">
        <v>97</v>
      </c>
      <c r="BI295">
        <v>669257</v>
      </c>
      <c r="BJ295">
        <v>669257</v>
      </c>
      <c r="BK295" t="s">
        <v>97</v>
      </c>
      <c r="BL295" t="s">
        <v>97</v>
      </c>
      <c r="BM295">
        <v>-5.9989684109999999</v>
      </c>
      <c r="BN295">
        <v>-139.13744399999999</v>
      </c>
      <c r="BO295">
        <v>-4.5545155140000002</v>
      </c>
      <c r="BP295">
        <v>9.9473899249999995</v>
      </c>
      <c r="BQ295">
        <v>35.65901693</v>
      </c>
      <c r="BR295">
        <v>-10.969042959999999</v>
      </c>
      <c r="BS295">
        <v>3.43</v>
      </c>
      <c r="BT295">
        <v>1.54</v>
      </c>
      <c r="BU295" t="s">
        <v>97</v>
      </c>
      <c r="BV295" t="s">
        <v>97</v>
      </c>
      <c r="BW295" t="s">
        <v>97</v>
      </c>
      <c r="BX295">
        <v>95.8</v>
      </c>
      <c r="BY295">
        <v>2619</v>
      </c>
      <c r="BZ295">
        <v>6.7</v>
      </c>
      <c r="CA295">
        <v>813027</v>
      </c>
      <c r="CB295">
        <v>669257</v>
      </c>
      <c r="CC295">
        <v>669257</v>
      </c>
      <c r="CD295">
        <v>518692</v>
      </c>
      <c r="CE295">
        <v>669242</v>
      </c>
      <c r="CF295">
        <v>571970</v>
      </c>
      <c r="CG295">
        <v>605141</v>
      </c>
      <c r="CH295">
        <v>571771</v>
      </c>
      <c r="CI295">
        <v>681624</v>
      </c>
      <c r="CJ295">
        <v>606192</v>
      </c>
      <c r="CK295">
        <v>53.79</v>
      </c>
      <c r="CL295" t="s">
        <v>97</v>
      </c>
      <c r="CM295" t="s">
        <v>97</v>
      </c>
      <c r="CN295" t="s">
        <v>97</v>
      </c>
      <c r="CO295" t="s">
        <v>97</v>
      </c>
      <c r="CP295" t="s">
        <v>97</v>
      </c>
      <c r="CQ295" t="s">
        <v>97</v>
      </c>
      <c r="CR295" t="s">
        <v>97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 t="s">
        <v>107</v>
      </c>
      <c r="DB295" t="s">
        <v>107</v>
      </c>
      <c r="DC295">
        <v>159</v>
      </c>
      <c r="DD295">
        <v>0</v>
      </c>
      <c r="DE295">
        <v>4.1000000000000002E-2</v>
      </c>
      <c r="DF295" t="s">
        <v>97</v>
      </c>
      <c r="DG295" t="s">
        <v>97</v>
      </c>
    </row>
    <row r="296" spans="1:111" x14ac:dyDescent="0.2">
      <c r="A296">
        <v>2025</v>
      </c>
      <c r="B296" s="1">
        <v>45954</v>
      </c>
      <c r="C296" t="s">
        <v>95</v>
      </c>
      <c r="D296">
        <v>605483</v>
      </c>
      <c r="E296">
        <v>543807</v>
      </c>
      <c r="F296">
        <v>1</v>
      </c>
      <c r="G296">
        <v>0</v>
      </c>
      <c r="H296">
        <v>1</v>
      </c>
      <c r="I296" t="s">
        <v>163</v>
      </c>
      <c r="J296">
        <v>4</v>
      </c>
      <c r="K296">
        <v>2</v>
      </c>
      <c r="L296" t="s">
        <v>119</v>
      </c>
      <c r="M296" t="s">
        <v>98</v>
      </c>
      <c r="N296" t="s">
        <v>99</v>
      </c>
      <c r="O296">
        <f t="shared" si="64"/>
        <v>1</v>
      </c>
      <c r="P296">
        <f t="shared" si="65"/>
        <v>0</v>
      </c>
      <c r="Q296">
        <f t="shared" si="66"/>
        <v>0</v>
      </c>
      <c r="R296">
        <f t="shared" si="67"/>
        <v>0</v>
      </c>
      <c r="S296">
        <f t="shared" si="68"/>
        <v>0</v>
      </c>
      <c r="T296">
        <f t="shared" si="69"/>
        <v>0</v>
      </c>
      <c r="U296">
        <f t="shared" si="70"/>
        <v>0</v>
      </c>
      <c r="V296">
        <f t="shared" si="71"/>
        <v>0</v>
      </c>
      <c r="W296">
        <f t="shared" si="72"/>
        <v>0</v>
      </c>
      <c r="X296">
        <f t="shared" si="73"/>
        <v>0</v>
      </c>
      <c r="Y296">
        <f t="shared" si="74"/>
        <v>0</v>
      </c>
      <c r="Z296">
        <f t="shared" si="75"/>
        <v>0</v>
      </c>
      <c r="AA296">
        <f t="shared" si="76"/>
        <v>0</v>
      </c>
      <c r="AB296">
        <f t="shared" si="77"/>
        <v>0</v>
      </c>
      <c r="AC296">
        <f t="shared" si="78"/>
        <v>0</v>
      </c>
      <c r="AD296">
        <f t="shared" si="79"/>
        <v>0</v>
      </c>
      <c r="AE296">
        <v>95</v>
      </c>
      <c r="AF296">
        <v>2.02</v>
      </c>
      <c r="AG296">
        <v>6.59</v>
      </c>
      <c r="AH296" t="s">
        <v>120</v>
      </c>
      <c r="AI296" t="s">
        <v>97</v>
      </c>
      <c r="AJ296" t="s">
        <v>97</v>
      </c>
      <c r="AK296" t="s">
        <v>97</v>
      </c>
      <c r="AL296" t="s">
        <v>97</v>
      </c>
      <c r="AM296">
        <v>2</v>
      </c>
      <c r="AN296" t="s">
        <v>215</v>
      </c>
      <c r="AO296" t="s">
        <v>213</v>
      </c>
      <c r="AP296" t="s">
        <v>122</v>
      </c>
      <c r="AQ296" t="s">
        <v>103</v>
      </c>
      <c r="AR296" t="s">
        <v>214</v>
      </c>
      <c r="AS296" t="s">
        <v>104</v>
      </c>
      <c r="AT296" t="s">
        <v>123</v>
      </c>
      <c r="AU296">
        <v>6</v>
      </c>
      <c r="AV296" t="s">
        <v>127</v>
      </c>
      <c r="AW296">
        <v>0.41</v>
      </c>
      <c r="AX296">
        <v>1.48</v>
      </c>
      <c r="AY296">
        <v>-0.1</v>
      </c>
      <c r="AZ296">
        <v>3.58</v>
      </c>
      <c r="BA296" t="s">
        <v>97</v>
      </c>
      <c r="BB296" t="s">
        <v>97</v>
      </c>
      <c r="BC296" t="s">
        <v>97</v>
      </c>
      <c r="BD296">
        <v>0</v>
      </c>
      <c r="BE296">
        <v>99.57</v>
      </c>
      <c r="BF296">
        <v>135.29</v>
      </c>
      <c r="BG296" t="s">
        <v>97</v>
      </c>
      <c r="BH296" t="s">
        <v>97</v>
      </c>
      <c r="BI296">
        <v>669257</v>
      </c>
      <c r="BJ296">
        <v>669257</v>
      </c>
      <c r="BK296" t="s">
        <v>97</v>
      </c>
      <c r="BL296" t="s">
        <v>97</v>
      </c>
      <c r="BM296">
        <v>-6.53414933</v>
      </c>
      <c r="BN296">
        <v>-138.0742013</v>
      </c>
      <c r="BO296">
        <v>-5.4994576329999996</v>
      </c>
      <c r="BP296">
        <v>6.8705090350000004</v>
      </c>
      <c r="BQ296">
        <v>35.114520470000002</v>
      </c>
      <c r="BR296">
        <v>-12.262834700000001</v>
      </c>
      <c r="BS296">
        <v>3.55</v>
      </c>
      <c r="BT296">
        <v>1.64</v>
      </c>
      <c r="BU296">
        <v>124</v>
      </c>
      <c r="BV296">
        <v>77.599999999999994</v>
      </c>
      <c r="BW296">
        <v>12</v>
      </c>
      <c r="BX296">
        <v>95.3</v>
      </c>
      <c r="BY296">
        <v>2466</v>
      </c>
      <c r="BZ296">
        <v>6.8</v>
      </c>
      <c r="CA296">
        <v>813027</v>
      </c>
      <c r="CB296">
        <v>669257</v>
      </c>
      <c r="CC296">
        <v>669257</v>
      </c>
      <c r="CD296">
        <v>518692</v>
      </c>
      <c r="CE296">
        <v>669242</v>
      </c>
      <c r="CF296">
        <v>571970</v>
      </c>
      <c r="CG296">
        <v>605141</v>
      </c>
      <c r="CH296">
        <v>571771</v>
      </c>
      <c r="CI296">
        <v>681624</v>
      </c>
      <c r="CJ296">
        <v>606192</v>
      </c>
      <c r="CK296">
        <v>53.67</v>
      </c>
      <c r="CL296">
        <v>0.44600000000000001</v>
      </c>
      <c r="CM296">
        <v>0.432</v>
      </c>
      <c r="CN296">
        <v>0</v>
      </c>
      <c r="CO296">
        <v>1</v>
      </c>
      <c r="CP296">
        <v>0</v>
      </c>
      <c r="CQ296">
        <v>0</v>
      </c>
      <c r="CR296">
        <v>4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 t="s">
        <v>107</v>
      </c>
      <c r="DB296" t="s">
        <v>107</v>
      </c>
      <c r="DC296">
        <v>161</v>
      </c>
      <c r="DD296">
        <v>-2.1000000000000001E-2</v>
      </c>
      <c r="DE296">
        <v>-0.30099999999999999</v>
      </c>
      <c r="DF296">
        <v>74.400000000000006</v>
      </c>
      <c r="DG296">
        <v>6.8</v>
      </c>
    </row>
    <row r="297" spans="1:111" x14ac:dyDescent="0.2">
      <c r="A297">
        <v>2025</v>
      </c>
      <c r="B297" s="1">
        <v>45954</v>
      </c>
      <c r="C297" t="s">
        <v>95</v>
      </c>
      <c r="D297">
        <v>605483</v>
      </c>
      <c r="E297">
        <v>676914</v>
      </c>
      <c r="F297">
        <v>0</v>
      </c>
      <c r="G297">
        <v>0</v>
      </c>
      <c r="H297">
        <v>1</v>
      </c>
      <c r="I297" t="s">
        <v>163</v>
      </c>
      <c r="J297">
        <v>5</v>
      </c>
      <c r="K297">
        <v>1</v>
      </c>
      <c r="L297" t="s">
        <v>97</v>
      </c>
      <c r="M297" t="s">
        <v>98</v>
      </c>
      <c r="N297" t="s">
        <v>99</v>
      </c>
      <c r="O297">
        <f t="shared" si="64"/>
        <v>0</v>
      </c>
      <c r="P297">
        <f t="shared" si="65"/>
        <v>1</v>
      </c>
      <c r="Q297">
        <f t="shared" si="66"/>
        <v>0</v>
      </c>
      <c r="R297">
        <f t="shared" si="67"/>
        <v>0</v>
      </c>
      <c r="S297">
        <f t="shared" si="68"/>
        <v>0</v>
      </c>
      <c r="T297">
        <f t="shared" si="69"/>
        <v>0</v>
      </c>
      <c r="U297">
        <f t="shared" si="70"/>
        <v>0</v>
      </c>
      <c r="V297">
        <f t="shared" si="71"/>
        <v>0</v>
      </c>
      <c r="W297">
        <f t="shared" si="72"/>
        <v>0</v>
      </c>
      <c r="X297">
        <f t="shared" si="73"/>
        <v>0</v>
      </c>
      <c r="Y297">
        <f t="shared" si="74"/>
        <v>0</v>
      </c>
      <c r="Z297">
        <f t="shared" si="75"/>
        <v>0</v>
      </c>
      <c r="AA297">
        <f t="shared" si="76"/>
        <v>0</v>
      </c>
      <c r="AB297">
        <f t="shared" si="77"/>
        <v>0</v>
      </c>
      <c r="AC297">
        <f t="shared" si="78"/>
        <v>0</v>
      </c>
      <c r="AD297">
        <f t="shared" si="79"/>
        <v>0</v>
      </c>
      <c r="AE297">
        <v>95.4</v>
      </c>
      <c r="AF297">
        <v>2.06</v>
      </c>
      <c r="AG297">
        <v>6.61</v>
      </c>
      <c r="AH297" t="s">
        <v>100</v>
      </c>
      <c r="AI297" t="s">
        <v>97</v>
      </c>
      <c r="AJ297" t="s">
        <v>97</v>
      </c>
      <c r="AK297" t="s">
        <v>97</v>
      </c>
      <c r="AL297" t="s">
        <v>97</v>
      </c>
      <c r="AM297">
        <v>12</v>
      </c>
      <c r="AN297" t="s">
        <v>101</v>
      </c>
      <c r="AO297" t="s">
        <v>213</v>
      </c>
      <c r="AP297" t="s">
        <v>122</v>
      </c>
      <c r="AQ297" t="s">
        <v>103</v>
      </c>
      <c r="AR297" t="s">
        <v>214</v>
      </c>
      <c r="AS297" t="s">
        <v>104</v>
      </c>
      <c r="AT297" t="s">
        <v>106</v>
      </c>
      <c r="AU297" t="s">
        <v>97</v>
      </c>
      <c r="AV297" t="s">
        <v>97</v>
      </c>
      <c r="AW297">
        <v>0.32</v>
      </c>
      <c r="AX297">
        <v>1.34</v>
      </c>
      <c r="AY297">
        <v>0.76</v>
      </c>
      <c r="AZ297">
        <v>4.2699999999999996</v>
      </c>
      <c r="BA297" t="s">
        <v>97</v>
      </c>
      <c r="BB297" t="s">
        <v>97</v>
      </c>
      <c r="BC297" t="s">
        <v>97</v>
      </c>
      <c r="BD297">
        <v>1</v>
      </c>
      <c r="BE297" t="s">
        <v>97</v>
      </c>
      <c r="BF297" t="s">
        <v>97</v>
      </c>
      <c r="BG297" t="s">
        <v>97</v>
      </c>
      <c r="BH297" t="s">
        <v>97</v>
      </c>
      <c r="BI297">
        <v>669257</v>
      </c>
      <c r="BJ297">
        <v>669257</v>
      </c>
      <c r="BK297" t="s">
        <v>97</v>
      </c>
      <c r="BL297" t="s">
        <v>97</v>
      </c>
      <c r="BM297">
        <v>-4.1733388720000004</v>
      </c>
      <c r="BN297">
        <v>-138.86149</v>
      </c>
      <c r="BO297">
        <v>-3.540681331</v>
      </c>
      <c r="BP297">
        <v>5.0755781989999997</v>
      </c>
      <c r="BQ297">
        <v>33.639282360000003</v>
      </c>
      <c r="BR297">
        <v>-14.251259060000001</v>
      </c>
      <c r="BS297">
        <v>3.16</v>
      </c>
      <c r="BT297">
        <v>1.56</v>
      </c>
      <c r="BU297" t="s">
        <v>97</v>
      </c>
      <c r="BV297" t="s">
        <v>97</v>
      </c>
      <c r="BW297" t="s">
        <v>97</v>
      </c>
      <c r="BX297">
        <v>96</v>
      </c>
      <c r="BY297">
        <v>2386</v>
      </c>
      <c r="BZ297">
        <v>6.8</v>
      </c>
      <c r="CA297">
        <v>813027</v>
      </c>
      <c r="CB297">
        <v>669257</v>
      </c>
      <c r="CC297">
        <v>669257</v>
      </c>
      <c r="CD297">
        <v>518692</v>
      </c>
      <c r="CE297">
        <v>669242</v>
      </c>
      <c r="CF297">
        <v>571970</v>
      </c>
      <c r="CG297">
        <v>605141</v>
      </c>
      <c r="CH297">
        <v>571771</v>
      </c>
      <c r="CI297">
        <v>681624</v>
      </c>
      <c r="CJ297">
        <v>606192</v>
      </c>
      <c r="CK297">
        <v>53.69</v>
      </c>
      <c r="CL297" t="s">
        <v>97</v>
      </c>
      <c r="CM297" t="s">
        <v>97</v>
      </c>
      <c r="CN297" t="s">
        <v>97</v>
      </c>
      <c r="CO297" t="s">
        <v>97</v>
      </c>
      <c r="CP297" t="s">
        <v>97</v>
      </c>
      <c r="CQ297" t="s">
        <v>97</v>
      </c>
      <c r="CR297" t="s">
        <v>97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 t="s">
        <v>107</v>
      </c>
      <c r="DB297" t="s">
        <v>107</v>
      </c>
      <c r="DC297">
        <v>161</v>
      </c>
      <c r="DD297">
        <v>0</v>
      </c>
      <c r="DE297">
        <v>3.9E-2</v>
      </c>
      <c r="DF297" t="s">
        <v>97</v>
      </c>
      <c r="DG297" t="s">
        <v>97</v>
      </c>
    </row>
    <row r="298" spans="1:111" x14ac:dyDescent="0.2">
      <c r="A298">
        <v>2025</v>
      </c>
      <c r="B298" s="1">
        <v>45954</v>
      </c>
      <c r="C298" t="s">
        <v>95</v>
      </c>
      <c r="D298">
        <v>605483</v>
      </c>
      <c r="E298">
        <v>676914</v>
      </c>
      <c r="F298">
        <v>1</v>
      </c>
      <c r="G298">
        <v>0</v>
      </c>
      <c r="H298">
        <v>1</v>
      </c>
      <c r="I298" t="s">
        <v>163</v>
      </c>
      <c r="J298">
        <v>5</v>
      </c>
      <c r="K298">
        <v>2</v>
      </c>
      <c r="L298" t="s">
        <v>97</v>
      </c>
      <c r="M298" t="s">
        <v>111</v>
      </c>
      <c r="N298" t="s">
        <v>112</v>
      </c>
      <c r="O298">
        <f t="shared" si="64"/>
        <v>0</v>
      </c>
      <c r="P298">
        <f t="shared" si="65"/>
        <v>0</v>
      </c>
      <c r="Q298">
        <f t="shared" si="66"/>
        <v>0</v>
      </c>
      <c r="R298">
        <f t="shared" si="67"/>
        <v>0</v>
      </c>
      <c r="S298">
        <f t="shared" si="68"/>
        <v>0</v>
      </c>
      <c r="T298">
        <f t="shared" si="69"/>
        <v>1</v>
      </c>
      <c r="U298">
        <f t="shared" si="70"/>
        <v>0</v>
      </c>
      <c r="V298">
        <f t="shared" si="71"/>
        <v>0</v>
      </c>
      <c r="W298">
        <f t="shared" si="72"/>
        <v>0</v>
      </c>
      <c r="X298">
        <f t="shared" si="73"/>
        <v>0</v>
      </c>
      <c r="Y298">
        <f t="shared" si="74"/>
        <v>0</v>
      </c>
      <c r="Z298">
        <f t="shared" si="75"/>
        <v>0</v>
      </c>
      <c r="AA298">
        <f t="shared" si="76"/>
        <v>0</v>
      </c>
      <c r="AB298">
        <f t="shared" si="77"/>
        <v>0</v>
      </c>
      <c r="AC298">
        <f t="shared" si="78"/>
        <v>0</v>
      </c>
      <c r="AD298">
        <f t="shared" si="79"/>
        <v>0</v>
      </c>
      <c r="AE298">
        <v>80.8</v>
      </c>
      <c r="AF298">
        <v>2.09</v>
      </c>
      <c r="AG298">
        <v>6.62</v>
      </c>
      <c r="AH298" t="s">
        <v>108</v>
      </c>
      <c r="AI298" t="s">
        <v>97</v>
      </c>
      <c r="AJ298" t="s">
        <v>97</v>
      </c>
      <c r="AK298" t="s">
        <v>97</v>
      </c>
      <c r="AL298" t="s">
        <v>97</v>
      </c>
      <c r="AM298">
        <v>3</v>
      </c>
      <c r="AN298" t="s">
        <v>109</v>
      </c>
      <c r="AO298" t="s">
        <v>213</v>
      </c>
      <c r="AP298" t="s">
        <v>122</v>
      </c>
      <c r="AQ298" t="s">
        <v>103</v>
      </c>
      <c r="AR298" t="s">
        <v>214</v>
      </c>
      <c r="AS298" t="s">
        <v>104</v>
      </c>
      <c r="AT298" t="s">
        <v>110</v>
      </c>
      <c r="AU298" t="s">
        <v>97</v>
      </c>
      <c r="AV298" t="s">
        <v>97</v>
      </c>
      <c r="AW298">
        <v>-1.1499999999999999</v>
      </c>
      <c r="AX298">
        <v>-0.5</v>
      </c>
      <c r="AY298">
        <v>0.44</v>
      </c>
      <c r="AZ298">
        <v>2.71</v>
      </c>
      <c r="BA298" t="s">
        <v>97</v>
      </c>
      <c r="BB298" t="s">
        <v>97</v>
      </c>
      <c r="BC298" t="s">
        <v>97</v>
      </c>
      <c r="BD298">
        <v>1</v>
      </c>
      <c r="BE298" t="s">
        <v>97</v>
      </c>
      <c r="BF298" t="s">
        <v>97</v>
      </c>
      <c r="BG298" t="s">
        <v>97</v>
      </c>
      <c r="BH298" t="s">
        <v>97</v>
      </c>
      <c r="BI298">
        <v>669257</v>
      </c>
      <c r="BJ298">
        <v>669257</v>
      </c>
      <c r="BK298" t="s">
        <v>97</v>
      </c>
      <c r="BL298" t="s">
        <v>97</v>
      </c>
      <c r="BM298">
        <v>-1.4779561269999999</v>
      </c>
      <c r="BN298">
        <v>-117.6405791</v>
      </c>
      <c r="BO298">
        <v>-1.0172749889999999</v>
      </c>
      <c r="BP298">
        <v>-10.291613809999999</v>
      </c>
      <c r="BQ298">
        <v>25.445383270000001</v>
      </c>
      <c r="BR298">
        <v>-36.815248680000003</v>
      </c>
      <c r="BS298">
        <v>3.02</v>
      </c>
      <c r="BT298">
        <v>1.45</v>
      </c>
      <c r="BU298" t="s">
        <v>97</v>
      </c>
      <c r="BV298" t="s">
        <v>97</v>
      </c>
      <c r="BW298" t="s">
        <v>97</v>
      </c>
      <c r="BX298">
        <v>80.8</v>
      </c>
      <c r="BY298">
        <v>2663</v>
      </c>
      <c r="BZ298">
        <v>6.6</v>
      </c>
      <c r="CA298">
        <v>813027</v>
      </c>
      <c r="CB298">
        <v>669257</v>
      </c>
      <c r="CC298">
        <v>669257</v>
      </c>
      <c r="CD298">
        <v>518692</v>
      </c>
      <c r="CE298">
        <v>669242</v>
      </c>
      <c r="CF298">
        <v>571970</v>
      </c>
      <c r="CG298">
        <v>605141</v>
      </c>
      <c r="CH298">
        <v>571771</v>
      </c>
      <c r="CI298">
        <v>681624</v>
      </c>
      <c r="CJ298">
        <v>606192</v>
      </c>
      <c r="CK298">
        <v>53.94</v>
      </c>
      <c r="CL298" t="s">
        <v>97</v>
      </c>
      <c r="CM298" t="s">
        <v>97</v>
      </c>
      <c r="CN298" t="s">
        <v>97</v>
      </c>
      <c r="CO298" t="s">
        <v>97</v>
      </c>
      <c r="CP298" t="s">
        <v>97</v>
      </c>
      <c r="CQ298" t="s">
        <v>97</v>
      </c>
      <c r="CR298" t="s">
        <v>97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s">
        <v>107</v>
      </c>
      <c r="DB298" t="s">
        <v>107</v>
      </c>
      <c r="DC298">
        <v>324</v>
      </c>
      <c r="DD298">
        <v>0</v>
      </c>
      <c r="DE298">
        <v>-0.05</v>
      </c>
      <c r="DF298" t="s">
        <v>97</v>
      </c>
      <c r="DG298" t="s">
        <v>97</v>
      </c>
    </row>
    <row r="299" spans="1:111" x14ac:dyDescent="0.2">
      <c r="A299">
        <v>2025</v>
      </c>
      <c r="B299" s="1">
        <v>45954</v>
      </c>
      <c r="C299" t="s">
        <v>95</v>
      </c>
      <c r="D299">
        <v>605483</v>
      </c>
      <c r="E299">
        <v>676914</v>
      </c>
      <c r="F299">
        <v>1</v>
      </c>
      <c r="G299">
        <v>1</v>
      </c>
      <c r="H299">
        <v>1</v>
      </c>
      <c r="I299" t="s">
        <v>163</v>
      </c>
      <c r="J299">
        <v>5</v>
      </c>
      <c r="K299">
        <v>3</v>
      </c>
      <c r="L299" t="s">
        <v>119</v>
      </c>
      <c r="M299" t="s">
        <v>98</v>
      </c>
      <c r="N299" t="s">
        <v>99</v>
      </c>
      <c r="O299">
        <f t="shared" si="64"/>
        <v>0</v>
      </c>
      <c r="P299">
        <f t="shared" si="65"/>
        <v>0</v>
      </c>
      <c r="Q299">
        <f t="shared" si="66"/>
        <v>1</v>
      </c>
      <c r="R299">
        <f t="shared" si="67"/>
        <v>0</v>
      </c>
      <c r="S299">
        <f t="shared" si="68"/>
        <v>0</v>
      </c>
      <c r="T299">
        <f t="shared" si="69"/>
        <v>0</v>
      </c>
      <c r="U299">
        <f t="shared" si="70"/>
        <v>0</v>
      </c>
      <c r="V299">
        <f t="shared" si="71"/>
        <v>0</v>
      </c>
      <c r="W299">
        <f t="shared" si="72"/>
        <v>0</v>
      </c>
      <c r="X299">
        <f t="shared" si="73"/>
        <v>0</v>
      </c>
      <c r="Y299">
        <f t="shared" si="74"/>
        <v>0</v>
      </c>
      <c r="Z299">
        <f t="shared" si="75"/>
        <v>0</v>
      </c>
      <c r="AA299">
        <f t="shared" si="76"/>
        <v>0</v>
      </c>
      <c r="AB299">
        <f t="shared" si="77"/>
        <v>0</v>
      </c>
      <c r="AC299">
        <f t="shared" si="78"/>
        <v>0</v>
      </c>
      <c r="AD299">
        <f t="shared" si="79"/>
        <v>0</v>
      </c>
      <c r="AE299">
        <v>95.2</v>
      </c>
      <c r="AF299">
        <v>1.96</v>
      </c>
      <c r="AG299">
        <v>6.55</v>
      </c>
      <c r="AH299" t="s">
        <v>120</v>
      </c>
      <c r="AI299" t="s">
        <v>97</v>
      </c>
      <c r="AJ299" t="s">
        <v>97</v>
      </c>
      <c r="AK299" t="s">
        <v>97</v>
      </c>
      <c r="AL299" t="s">
        <v>97</v>
      </c>
      <c r="AM299">
        <v>11</v>
      </c>
      <c r="AN299" t="s">
        <v>216</v>
      </c>
      <c r="AO299" t="s">
        <v>213</v>
      </c>
      <c r="AP299" t="s">
        <v>122</v>
      </c>
      <c r="AQ299" t="s">
        <v>103</v>
      </c>
      <c r="AR299" t="s">
        <v>214</v>
      </c>
      <c r="AS299" t="s">
        <v>104</v>
      </c>
      <c r="AT299" t="s">
        <v>123</v>
      </c>
      <c r="AU299">
        <v>6</v>
      </c>
      <c r="AV299" t="s">
        <v>217</v>
      </c>
      <c r="AW299">
        <v>0.03</v>
      </c>
      <c r="AX299">
        <v>1.38</v>
      </c>
      <c r="AY299">
        <v>-0.61</v>
      </c>
      <c r="AZ299">
        <v>3.45</v>
      </c>
      <c r="BA299" t="s">
        <v>97</v>
      </c>
      <c r="BB299" t="s">
        <v>97</v>
      </c>
      <c r="BC299" t="s">
        <v>97</v>
      </c>
      <c r="BD299">
        <v>1</v>
      </c>
      <c r="BE299">
        <v>108.5</v>
      </c>
      <c r="BF299">
        <v>132.16999999999999</v>
      </c>
      <c r="BG299" t="s">
        <v>97</v>
      </c>
      <c r="BH299" t="s">
        <v>97</v>
      </c>
      <c r="BI299">
        <v>669257</v>
      </c>
      <c r="BJ299">
        <v>669257</v>
      </c>
      <c r="BK299" t="s">
        <v>97</v>
      </c>
      <c r="BL299" t="s">
        <v>97</v>
      </c>
      <c r="BM299">
        <v>-6.8678830709999996</v>
      </c>
      <c r="BN299">
        <v>-138.29431539999999</v>
      </c>
      <c r="BO299">
        <v>-5.5584072009999996</v>
      </c>
      <c r="BP299">
        <v>2.114986456</v>
      </c>
      <c r="BQ299">
        <v>33.823780229999997</v>
      </c>
      <c r="BR299">
        <v>-13.411425019999999</v>
      </c>
      <c r="BS299">
        <v>3.1</v>
      </c>
      <c r="BT299">
        <v>1.53</v>
      </c>
      <c r="BU299">
        <v>177</v>
      </c>
      <c r="BV299">
        <v>62.7</v>
      </c>
      <c r="BW299">
        <v>48</v>
      </c>
      <c r="BX299">
        <v>95.6</v>
      </c>
      <c r="BY299">
        <v>2410</v>
      </c>
      <c r="BZ299">
        <v>6.8</v>
      </c>
      <c r="CA299">
        <v>813027</v>
      </c>
      <c r="CB299">
        <v>669257</v>
      </c>
      <c r="CC299">
        <v>669257</v>
      </c>
      <c r="CD299">
        <v>518692</v>
      </c>
      <c r="CE299">
        <v>669242</v>
      </c>
      <c r="CF299">
        <v>571970</v>
      </c>
      <c r="CG299">
        <v>605141</v>
      </c>
      <c r="CH299">
        <v>571771</v>
      </c>
      <c r="CI299">
        <v>681624</v>
      </c>
      <c r="CJ299">
        <v>606192</v>
      </c>
      <c r="CK299">
        <v>53.66</v>
      </c>
      <c r="CL299">
        <v>0.17699999999999999</v>
      </c>
      <c r="CM299">
        <v>0.17499999999999999</v>
      </c>
      <c r="CN299">
        <v>0</v>
      </c>
      <c r="CO299">
        <v>1</v>
      </c>
      <c r="CP299">
        <v>0</v>
      </c>
      <c r="CQ299">
        <v>0</v>
      </c>
      <c r="CR299">
        <v>3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 t="s">
        <v>107</v>
      </c>
      <c r="DB299" t="s">
        <v>107</v>
      </c>
      <c r="DC299">
        <v>162</v>
      </c>
      <c r="DD299">
        <v>-1.6E-2</v>
      </c>
      <c r="DE299">
        <v>-0.24399999999999999</v>
      </c>
      <c r="DF299">
        <v>63.3</v>
      </c>
      <c r="DG299">
        <v>6.1</v>
      </c>
    </row>
    <row r="300" spans="1:111" x14ac:dyDescent="0.2">
      <c r="A300">
        <v>2025</v>
      </c>
      <c r="B300" s="1">
        <v>45954</v>
      </c>
      <c r="C300" t="s">
        <v>95</v>
      </c>
      <c r="D300">
        <v>605483</v>
      </c>
      <c r="E300">
        <v>665489</v>
      </c>
      <c r="F300">
        <v>0</v>
      </c>
      <c r="G300">
        <v>0</v>
      </c>
      <c r="H300">
        <v>1</v>
      </c>
      <c r="I300" t="s">
        <v>163</v>
      </c>
      <c r="J300">
        <v>6</v>
      </c>
      <c r="K300">
        <v>1</v>
      </c>
      <c r="L300" t="s">
        <v>97</v>
      </c>
      <c r="M300" t="s">
        <v>132</v>
      </c>
      <c r="N300" t="s">
        <v>133</v>
      </c>
      <c r="O300">
        <f t="shared" si="64"/>
        <v>0</v>
      </c>
      <c r="P300">
        <f t="shared" si="65"/>
        <v>0</v>
      </c>
      <c r="Q300">
        <f t="shared" si="66"/>
        <v>0</v>
      </c>
      <c r="R300">
        <f t="shared" si="67"/>
        <v>0</v>
      </c>
      <c r="S300">
        <f t="shared" si="68"/>
        <v>0</v>
      </c>
      <c r="T300">
        <f t="shared" si="69"/>
        <v>0</v>
      </c>
      <c r="U300">
        <f t="shared" si="70"/>
        <v>0</v>
      </c>
      <c r="V300">
        <f t="shared" si="71"/>
        <v>0</v>
      </c>
      <c r="W300">
        <f t="shared" si="72"/>
        <v>0</v>
      </c>
      <c r="X300">
        <f t="shared" si="73"/>
        <v>1</v>
      </c>
      <c r="Y300">
        <f t="shared" si="74"/>
        <v>0</v>
      </c>
      <c r="Z300">
        <f t="shared" si="75"/>
        <v>0</v>
      </c>
      <c r="AA300">
        <f t="shared" si="76"/>
        <v>0</v>
      </c>
      <c r="AB300">
        <f t="shared" si="77"/>
        <v>0</v>
      </c>
      <c r="AC300">
        <f t="shared" si="78"/>
        <v>0</v>
      </c>
      <c r="AD300">
        <f t="shared" si="79"/>
        <v>0</v>
      </c>
      <c r="AE300">
        <v>88.8</v>
      </c>
      <c r="AF300">
        <v>2.25</v>
      </c>
      <c r="AG300">
        <v>6.38</v>
      </c>
      <c r="AH300" t="s">
        <v>108</v>
      </c>
      <c r="AI300" t="s">
        <v>97</v>
      </c>
      <c r="AJ300" t="s">
        <v>97</v>
      </c>
      <c r="AK300" t="s">
        <v>97</v>
      </c>
      <c r="AL300" t="s">
        <v>97</v>
      </c>
      <c r="AM300">
        <v>9</v>
      </c>
      <c r="AN300" t="s">
        <v>109</v>
      </c>
      <c r="AO300" t="s">
        <v>213</v>
      </c>
      <c r="AP300" t="s">
        <v>122</v>
      </c>
      <c r="AQ300" t="s">
        <v>103</v>
      </c>
      <c r="AR300" t="s">
        <v>214</v>
      </c>
      <c r="AS300" t="s">
        <v>104</v>
      </c>
      <c r="AT300" t="s">
        <v>110</v>
      </c>
      <c r="AU300" t="s">
        <v>97</v>
      </c>
      <c r="AV300" t="s">
        <v>97</v>
      </c>
      <c r="AW300">
        <v>1.03</v>
      </c>
      <c r="AX300">
        <v>0.95</v>
      </c>
      <c r="AY300">
        <v>0.52</v>
      </c>
      <c r="AZ300">
        <v>1.79</v>
      </c>
      <c r="BA300" t="s">
        <v>97</v>
      </c>
      <c r="BB300" t="s">
        <v>97</v>
      </c>
      <c r="BC300" t="s">
        <v>97</v>
      </c>
      <c r="BD300">
        <v>2</v>
      </c>
      <c r="BE300" t="s">
        <v>97</v>
      </c>
      <c r="BF300" t="s">
        <v>97</v>
      </c>
      <c r="BG300" t="s">
        <v>97</v>
      </c>
      <c r="BH300" t="s">
        <v>97</v>
      </c>
      <c r="BI300">
        <v>669257</v>
      </c>
      <c r="BJ300">
        <v>669257</v>
      </c>
      <c r="BK300" t="s">
        <v>97</v>
      </c>
      <c r="BL300" t="s">
        <v>97</v>
      </c>
      <c r="BM300">
        <v>-6.4551250700000002</v>
      </c>
      <c r="BN300">
        <v>-129.00809419999999</v>
      </c>
      <c r="BO300">
        <v>-7.172428611</v>
      </c>
      <c r="BP300">
        <v>12.831093859999999</v>
      </c>
      <c r="BQ300">
        <v>28.767574</v>
      </c>
      <c r="BR300">
        <v>-20.196329089999999</v>
      </c>
      <c r="BS300">
        <v>3.63</v>
      </c>
      <c r="BT300">
        <v>1.58</v>
      </c>
      <c r="BU300" t="s">
        <v>97</v>
      </c>
      <c r="BV300" t="s">
        <v>97</v>
      </c>
      <c r="BW300" t="s">
        <v>97</v>
      </c>
      <c r="BX300">
        <v>89.4</v>
      </c>
      <c r="BY300">
        <v>1966</v>
      </c>
      <c r="BZ300">
        <v>6.9</v>
      </c>
      <c r="CA300">
        <v>813027</v>
      </c>
      <c r="CB300">
        <v>669257</v>
      </c>
      <c r="CC300">
        <v>669257</v>
      </c>
      <c r="CD300">
        <v>518692</v>
      </c>
      <c r="CE300">
        <v>669242</v>
      </c>
      <c r="CF300">
        <v>571970</v>
      </c>
      <c r="CG300">
        <v>605141</v>
      </c>
      <c r="CH300">
        <v>571771</v>
      </c>
      <c r="CI300">
        <v>681624</v>
      </c>
      <c r="CJ300">
        <v>606192</v>
      </c>
      <c r="CK300">
        <v>53.59</v>
      </c>
      <c r="CL300" t="s">
        <v>97</v>
      </c>
      <c r="CM300" t="s">
        <v>97</v>
      </c>
      <c r="CN300" t="s">
        <v>97</v>
      </c>
      <c r="CO300" t="s">
        <v>97</v>
      </c>
      <c r="CP300" t="s">
        <v>97</v>
      </c>
      <c r="CQ300" t="s">
        <v>97</v>
      </c>
      <c r="CR300" t="s">
        <v>97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 t="s">
        <v>107</v>
      </c>
      <c r="DB300" t="s">
        <v>107</v>
      </c>
      <c r="DC300">
        <v>132</v>
      </c>
      <c r="DD300">
        <v>0</v>
      </c>
      <c r="DE300">
        <v>-4.2999999999999997E-2</v>
      </c>
      <c r="DF300" t="s">
        <v>97</v>
      </c>
      <c r="DG300" t="s">
        <v>97</v>
      </c>
    </row>
    <row r="301" spans="1:111" x14ac:dyDescent="0.2">
      <c r="A301">
        <v>2025</v>
      </c>
      <c r="B301" s="1">
        <v>45954</v>
      </c>
      <c r="C301" t="s">
        <v>95</v>
      </c>
      <c r="D301">
        <v>605483</v>
      </c>
      <c r="E301">
        <v>665489</v>
      </c>
      <c r="F301">
        <v>0</v>
      </c>
      <c r="G301">
        <v>1</v>
      </c>
      <c r="H301">
        <v>1</v>
      </c>
      <c r="I301" t="s">
        <v>163</v>
      </c>
      <c r="J301">
        <v>6</v>
      </c>
      <c r="K301">
        <v>2</v>
      </c>
      <c r="L301" t="s">
        <v>97</v>
      </c>
      <c r="M301" t="s">
        <v>98</v>
      </c>
      <c r="N301" t="s">
        <v>99</v>
      </c>
      <c r="O301">
        <f t="shared" si="64"/>
        <v>1</v>
      </c>
      <c r="P301">
        <f t="shared" si="65"/>
        <v>0</v>
      </c>
      <c r="Q301">
        <f t="shared" si="66"/>
        <v>0</v>
      </c>
      <c r="R301">
        <f t="shared" si="67"/>
        <v>0</v>
      </c>
      <c r="S301">
        <f t="shared" si="68"/>
        <v>0</v>
      </c>
      <c r="T301">
        <f t="shared" si="69"/>
        <v>0</v>
      </c>
      <c r="U301">
        <f t="shared" si="70"/>
        <v>0</v>
      </c>
      <c r="V301">
        <f t="shared" si="71"/>
        <v>0</v>
      </c>
      <c r="W301">
        <f t="shared" si="72"/>
        <v>0</v>
      </c>
      <c r="X301">
        <f t="shared" si="73"/>
        <v>0</v>
      </c>
      <c r="Y301">
        <f t="shared" si="74"/>
        <v>0</v>
      </c>
      <c r="Z301">
        <f t="shared" si="75"/>
        <v>0</v>
      </c>
      <c r="AA301">
        <f t="shared" si="76"/>
        <v>0</v>
      </c>
      <c r="AB301">
        <f t="shared" si="77"/>
        <v>0</v>
      </c>
      <c r="AC301">
        <f t="shared" si="78"/>
        <v>0</v>
      </c>
      <c r="AD301">
        <f t="shared" si="79"/>
        <v>0</v>
      </c>
      <c r="AE301">
        <v>96</v>
      </c>
      <c r="AF301">
        <v>2.06</v>
      </c>
      <c r="AG301">
        <v>6.53</v>
      </c>
      <c r="AH301" t="s">
        <v>100</v>
      </c>
      <c r="AI301" t="s">
        <v>97</v>
      </c>
      <c r="AJ301" t="s">
        <v>97</v>
      </c>
      <c r="AK301" t="s">
        <v>97</v>
      </c>
      <c r="AL301" t="s">
        <v>97</v>
      </c>
      <c r="AM301">
        <v>11</v>
      </c>
      <c r="AN301" t="s">
        <v>101</v>
      </c>
      <c r="AO301" t="s">
        <v>213</v>
      </c>
      <c r="AP301" t="s">
        <v>122</v>
      </c>
      <c r="AQ301" t="s">
        <v>103</v>
      </c>
      <c r="AR301" t="s">
        <v>214</v>
      </c>
      <c r="AS301" t="s">
        <v>104</v>
      </c>
      <c r="AT301" t="s">
        <v>106</v>
      </c>
      <c r="AU301" t="s">
        <v>97</v>
      </c>
      <c r="AV301" t="s">
        <v>97</v>
      </c>
      <c r="AW301">
        <v>0.26</v>
      </c>
      <c r="AX301">
        <v>1.32</v>
      </c>
      <c r="AY301">
        <v>-0.03</v>
      </c>
      <c r="AZ301">
        <v>3.82</v>
      </c>
      <c r="BA301" t="s">
        <v>97</v>
      </c>
      <c r="BB301" t="s">
        <v>97</v>
      </c>
      <c r="BC301" t="s">
        <v>97</v>
      </c>
      <c r="BD301">
        <v>2</v>
      </c>
      <c r="BE301" t="s">
        <v>97</v>
      </c>
      <c r="BF301" t="s">
        <v>97</v>
      </c>
      <c r="BG301" t="s">
        <v>97</v>
      </c>
      <c r="BH301" t="s">
        <v>97</v>
      </c>
      <c r="BI301">
        <v>669257</v>
      </c>
      <c r="BJ301">
        <v>669257</v>
      </c>
      <c r="BK301" t="s">
        <v>97</v>
      </c>
      <c r="BL301" t="s">
        <v>97</v>
      </c>
      <c r="BM301">
        <v>-6.1816915239999997</v>
      </c>
      <c r="BN301">
        <v>-139.54384390000001</v>
      </c>
      <c r="BO301">
        <v>-4.5434568100000003</v>
      </c>
      <c r="BP301">
        <v>4.898611195</v>
      </c>
      <c r="BQ301">
        <v>35.439452959999997</v>
      </c>
      <c r="BR301">
        <v>-14.112014329999999</v>
      </c>
      <c r="BS301">
        <v>3.64</v>
      </c>
      <c r="BT301">
        <v>1.57</v>
      </c>
      <c r="BU301" t="s">
        <v>97</v>
      </c>
      <c r="BV301" t="s">
        <v>97</v>
      </c>
      <c r="BW301" t="s">
        <v>97</v>
      </c>
      <c r="BX301">
        <v>96.4</v>
      </c>
      <c r="BY301">
        <v>2416</v>
      </c>
      <c r="BZ301">
        <v>6.9</v>
      </c>
      <c r="CA301">
        <v>813027</v>
      </c>
      <c r="CB301">
        <v>669257</v>
      </c>
      <c r="CC301">
        <v>669257</v>
      </c>
      <c r="CD301">
        <v>518692</v>
      </c>
      <c r="CE301">
        <v>669242</v>
      </c>
      <c r="CF301">
        <v>571970</v>
      </c>
      <c r="CG301">
        <v>605141</v>
      </c>
      <c r="CH301">
        <v>571771</v>
      </c>
      <c r="CI301">
        <v>681624</v>
      </c>
      <c r="CJ301">
        <v>606192</v>
      </c>
      <c r="CK301">
        <v>53.64</v>
      </c>
      <c r="CL301" t="s">
        <v>97</v>
      </c>
      <c r="CM301" t="s">
        <v>97</v>
      </c>
      <c r="CN301" t="s">
        <v>97</v>
      </c>
      <c r="CO301" t="s">
        <v>97</v>
      </c>
      <c r="CP301" t="s">
        <v>97</v>
      </c>
      <c r="CQ301" t="s">
        <v>97</v>
      </c>
      <c r="CR301" t="s">
        <v>97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 t="s">
        <v>107</v>
      </c>
      <c r="DB301" t="s">
        <v>107</v>
      </c>
      <c r="DC301">
        <v>164</v>
      </c>
      <c r="DD301">
        <v>0</v>
      </c>
      <c r="DE301">
        <v>2.7E-2</v>
      </c>
      <c r="DF301" t="s">
        <v>97</v>
      </c>
      <c r="DG301" t="s">
        <v>97</v>
      </c>
    </row>
    <row r="302" spans="1:111" x14ac:dyDescent="0.2">
      <c r="A302">
        <v>2025</v>
      </c>
      <c r="B302" s="1">
        <v>45954</v>
      </c>
      <c r="C302" t="s">
        <v>95</v>
      </c>
      <c r="D302">
        <v>605483</v>
      </c>
      <c r="E302">
        <v>665489</v>
      </c>
      <c r="F302">
        <v>1</v>
      </c>
      <c r="G302">
        <v>1</v>
      </c>
      <c r="H302">
        <v>1</v>
      </c>
      <c r="I302" t="s">
        <v>163</v>
      </c>
      <c r="J302">
        <v>6</v>
      </c>
      <c r="K302">
        <v>3</v>
      </c>
      <c r="L302" t="s">
        <v>97</v>
      </c>
      <c r="M302" t="s">
        <v>98</v>
      </c>
      <c r="N302" t="s">
        <v>99</v>
      </c>
      <c r="O302">
        <f t="shared" si="64"/>
        <v>0</v>
      </c>
      <c r="P302">
        <f t="shared" si="65"/>
        <v>0</v>
      </c>
      <c r="Q302">
        <f t="shared" si="66"/>
        <v>0</v>
      </c>
      <c r="R302">
        <f t="shared" si="67"/>
        <v>1</v>
      </c>
      <c r="S302">
        <f t="shared" si="68"/>
        <v>0</v>
      </c>
      <c r="T302">
        <f t="shared" si="69"/>
        <v>0</v>
      </c>
      <c r="U302">
        <f t="shared" si="70"/>
        <v>0</v>
      </c>
      <c r="V302">
        <f t="shared" si="71"/>
        <v>0</v>
      </c>
      <c r="W302">
        <f t="shared" si="72"/>
        <v>0</v>
      </c>
      <c r="X302">
        <f t="shared" si="73"/>
        <v>0</v>
      </c>
      <c r="Y302">
        <f t="shared" si="74"/>
        <v>0</v>
      </c>
      <c r="Z302">
        <f t="shared" si="75"/>
        <v>0</v>
      </c>
      <c r="AA302">
        <f t="shared" si="76"/>
        <v>0</v>
      </c>
      <c r="AB302">
        <f t="shared" si="77"/>
        <v>0</v>
      </c>
      <c r="AC302">
        <f t="shared" si="78"/>
        <v>0</v>
      </c>
      <c r="AD302">
        <f t="shared" si="79"/>
        <v>0</v>
      </c>
      <c r="AE302">
        <v>96.2</v>
      </c>
      <c r="AF302">
        <v>2.02</v>
      </c>
      <c r="AG302">
        <v>6.53</v>
      </c>
      <c r="AH302" t="s">
        <v>100</v>
      </c>
      <c r="AI302" t="s">
        <v>97</v>
      </c>
      <c r="AJ302" t="s">
        <v>97</v>
      </c>
      <c r="AK302" t="s">
        <v>97</v>
      </c>
      <c r="AL302" t="s">
        <v>97</v>
      </c>
      <c r="AM302">
        <v>12</v>
      </c>
      <c r="AN302" t="s">
        <v>101</v>
      </c>
      <c r="AO302" t="s">
        <v>213</v>
      </c>
      <c r="AP302" t="s">
        <v>122</v>
      </c>
      <c r="AQ302" t="s">
        <v>103</v>
      </c>
      <c r="AR302" t="s">
        <v>214</v>
      </c>
      <c r="AS302" t="s">
        <v>104</v>
      </c>
      <c r="AT302" t="s">
        <v>106</v>
      </c>
      <c r="AU302" t="s">
        <v>97</v>
      </c>
      <c r="AV302" t="s">
        <v>97</v>
      </c>
      <c r="AW302">
        <v>0.34</v>
      </c>
      <c r="AX302">
        <v>1.54</v>
      </c>
      <c r="AY302">
        <v>0.2</v>
      </c>
      <c r="AZ302">
        <v>3.76</v>
      </c>
      <c r="BA302" t="s">
        <v>97</v>
      </c>
      <c r="BB302" t="s">
        <v>97</v>
      </c>
      <c r="BC302" t="s">
        <v>97</v>
      </c>
      <c r="BD302">
        <v>2</v>
      </c>
      <c r="BE302" t="s">
        <v>97</v>
      </c>
      <c r="BF302" t="s">
        <v>97</v>
      </c>
      <c r="BG302" t="s">
        <v>97</v>
      </c>
      <c r="BH302" t="s">
        <v>97</v>
      </c>
      <c r="BI302">
        <v>669257</v>
      </c>
      <c r="BJ302">
        <v>669257</v>
      </c>
      <c r="BK302" t="s">
        <v>97</v>
      </c>
      <c r="BL302" t="s">
        <v>97</v>
      </c>
      <c r="BM302">
        <v>-5.6482956709999996</v>
      </c>
      <c r="BN302">
        <v>-139.84791240000001</v>
      </c>
      <c r="BO302">
        <v>-5.2341613459999996</v>
      </c>
      <c r="BP302">
        <v>5.8288170089999998</v>
      </c>
      <c r="BQ302">
        <v>35.337049790000002</v>
      </c>
      <c r="BR302">
        <v>-11.081831169999999</v>
      </c>
      <c r="BS302">
        <v>3.61</v>
      </c>
      <c r="BT302">
        <v>1.59</v>
      </c>
      <c r="BU302" t="s">
        <v>97</v>
      </c>
      <c r="BV302" t="s">
        <v>97</v>
      </c>
      <c r="BW302" t="s">
        <v>97</v>
      </c>
      <c r="BX302">
        <v>96.5</v>
      </c>
      <c r="BY302">
        <v>2386</v>
      </c>
      <c r="BZ302">
        <v>6.8</v>
      </c>
      <c r="CA302">
        <v>813027</v>
      </c>
      <c r="CB302">
        <v>669257</v>
      </c>
      <c r="CC302">
        <v>669257</v>
      </c>
      <c r="CD302">
        <v>518692</v>
      </c>
      <c r="CE302">
        <v>669242</v>
      </c>
      <c r="CF302">
        <v>571970</v>
      </c>
      <c r="CG302">
        <v>605141</v>
      </c>
      <c r="CH302">
        <v>571771</v>
      </c>
      <c r="CI302">
        <v>681624</v>
      </c>
      <c r="CJ302">
        <v>606192</v>
      </c>
      <c r="CK302">
        <v>53.71</v>
      </c>
      <c r="CL302" t="s">
        <v>97</v>
      </c>
      <c r="CM302" t="s">
        <v>97</v>
      </c>
      <c r="CN302" t="s">
        <v>97</v>
      </c>
      <c r="CO302" t="s">
        <v>97</v>
      </c>
      <c r="CP302" t="s">
        <v>97</v>
      </c>
      <c r="CQ302" t="s">
        <v>97</v>
      </c>
      <c r="CR302" t="s">
        <v>97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 t="s">
        <v>107</v>
      </c>
      <c r="DB302" t="s">
        <v>107</v>
      </c>
      <c r="DC302">
        <v>159</v>
      </c>
      <c r="DD302">
        <v>0</v>
      </c>
      <c r="DE302">
        <v>5.2999999999999999E-2</v>
      </c>
      <c r="DF302" t="s">
        <v>97</v>
      </c>
      <c r="DG302" t="s">
        <v>97</v>
      </c>
    </row>
    <row r="303" spans="1:111" x14ac:dyDescent="0.2">
      <c r="A303">
        <v>2025</v>
      </c>
      <c r="B303" s="1">
        <v>45954</v>
      </c>
      <c r="C303" t="s">
        <v>95</v>
      </c>
      <c r="D303">
        <v>605483</v>
      </c>
      <c r="E303">
        <v>665489</v>
      </c>
      <c r="F303">
        <v>2</v>
      </c>
      <c r="G303">
        <v>1</v>
      </c>
      <c r="H303">
        <v>1</v>
      </c>
      <c r="I303" t="s">
        <v>163</v>
      </c>
      <c r="J303">
        <v>6</v>
      </c>
      <c r="K303">
        <v>4</v>
      </c>
      <c r="L303" t="s">
        <v>97</v>
      </c>
      <c r="M303" t="s">
        <v>138</v>
      </c>
      <c r="N303" t="s">
        <v>139</v>
      </c>
      <c r="O303">
        <f t="shared" si="64"/>
        <v>0</v>
      </c>
      <c r="P303">
        <f t="shared" si="65"/>
        <v>0</v>
      </c>
      <c r="Q303">
        <f t="shared" si="66"/>
        <v>0</v>
      </c>
      <c r="R303">
        <f t="shared" si="67"/>
        <v>0</v>
      </c>
      <c r="S303">
        <f t="shared" si="68"/>
        <v>0</v>
      </c>
      <c r="T303">
        <f t="shared" si="69"/>
        <v>0</v>
      </c>
      <c r="U303">
        <f t="shared" si="70"/>
        <v>0</v>
      </c>
      <c r="V303">
        <f t="shared" si="71"/>
        <v>0</v>
      </c>
      <c r="W303">
        <f t="shared" si="72"/>
        <v>0</v>
      </c>
      <c r="X303">
        <f t="shared" si="73"/>
        <v>0</v>
      </c>
      <c r="Y303">
        <f t="shared" si="74"/>
        <v>0</v>
      </c>
      <c r="Z303">
        <f t="shared" si="75"/>
        <v>0</v>
      </c>
      <c r="AA303">
        <f t="shared" si="76"/>
        <v>0</v>
      </c>
      <c r="AB303">
        <f t="shared" si="77"/>
        <v>0</v>
      </c>
      <c r="AC303">
        <f t="shared" si="78"/>
        <v>0</v>
      </c>
      <c r="AD303">
        <f t="shared" si="79"/>
        <v>1</v>
      </c>
      <c r="AE303">
        <v>89.8</v>
      </c>
      <c r="AF303">
        <v>1.98</v>
      </c>
      <c r="AG303">
        <v>6.49</v>
      </c>
      <c r="AH303" t="s">
        <v>100</v>
      </c>
      <c r="AI303" t="s">
        <v>97</v>
      </c>
      <c r="AJ303" t="s">
        <v>97</v>
      </c>
      <c r="AK303" t="s">
        <v>97</v>
      </c>
      <c r="AL303" t="s">
        <v>97</v>
      </c>
      <c r="AM303">
        <v>13</v>
      </c>
      <c r="AN303" t="s">
        <v>101</v>
      </c>
      <c r="AO303" t="s">
        <v>213</v>
      </c>
      <c r="AP303" t="s">
        <v>122</v>
      </c>
      <c r="AQ303" t="s">
        <v>103</v>
      </c>
      <c r="AR303" t="s">
        <v>214</v>
      </c>
      <c r="AS303" t="s">
        <v>104</v>
      </c>
      <c r="AT303" t="s">
        <v>106</v>
      </c>
      <c r="AU303" t="s">
        <v>97</v>
      </c>
      <c r="AV303" t="s">
        <v>97</v>
      </c>
      <c r="AW303">
        <v>-0.46</v>
      </c>
      <c r="AX303">
        <v>0.44</v>
      </c>
      <c r="AY303">
        <v>-1.24</v>
      </c>
      <c r="AZ303">
        <v>-0.36</v>
      </c>
      <c r="BA303" t="s">
        <v>97</v>
      </c>
      <c r="BB303" t="s">
        <v>97</v>
      </c>
      <c r="BC303" t="s">
        <v>97</v>
      </c>
      <c r="BD303">
        <v>2</v>
      </c>
      <c r="BE303" t="s">
        <v>97</v>
      </c>
      <c r="BF303" t="s">
        <v>97</v>
      </c>
      <c r="BG303" t="s">
        <v>97</v>
      </c>
      <c r="BH303" t="s">
        <v>97</v>
      </c>
      <c r="BI303">
        <v>669257</v>
      </c>
      <c r="BJ303">
        <v>669257</v>
      </c>
      <c r="BK303" t="s">
        <v>97</v>
      </c>
      <c r="BL303" t="s">
        <v>97</v>
      </c>
      <c r="BM303">
        <v>-7.0463563239999996</v>
      </c>
      <c r="BN303">
        <v>-130.080759</v>
      </c>
      <c r="BO303">
        <v>-11.87969537</v>
      </c>
      <c r="BP303">
        <v>-3.4980917819999999</v>
      </c>
      <c r="BQ303">
        <v>30.263710329999999</v>
      </c>
      <c r="BR303">
        <v>-24.573126940000002</v>
      </c>
      <c r="BS303">
        <v>3.58</v>
      </c>
      <c r="BT303">
        <v>1.47</v>
      </c>
      <c r="BU303" t="s">
        <v>97</v>
      </c>
      <c r="BV303" t="s">
        <v>97</v>
      </c>
      <c r="BW303" t="s">
        <v>97</v>
      </c>
      <c r="BX303">
        <v>89.9</v>
      </c>
      <c r="BY303">
        <v>2426</v>
      </c>
      <c r="BZ303">
        <v>6.9</v>
      </c>
      <c r="CA303">
        <v>813027</v>
      </c>
      <c r="CB303">
        <v>669257</v>
      </c>
      <c r="CC303">
        <v>669257</v>
      </c>
      <c r="CD303">
        <v>518692</v>
      </c>
      <c r="CE303">
        <v>669242</v>
      </c>
      <c r="CF303">
        <v>571970</v>
      </c>
      <c r="CG303">
        <v>605141</v>
      </c>
      <c r="CH303">
        <v>571771</v>
      </c>
      <c r="CI303">
        <v>681624</v>
      </c>
      <c r="CJ303">
        <v>606192</v>
      </c>
      <c r="CK303">
        <v>53.63</v>
      </c>
      <c r="CL303" t="s">
        <v>97</v>
      </c>
      <c r="CM303" t="s">
        <v>97</v>
      </c>
      <c r="CN303" t="s">
        <v>97</v>
      </c>
      <c r="CO303" t="s">
        <v>97</v>
      </c>
      <c r="CP303" t="s">
        <v>97</v>
      </c>
      <c r="CQ303" t="s">
        <v>97</v>
      </c>
      <c r="CR303" t="s">
        <v>97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 t="s">
        <v>107</v>
      </c>
      <c r="DB303" t="s">
        <v>107</v>
      </c>
      <c r="DC303">
        <v>169</v>
      </c>
      <c r="DD303">
        <v>0</v>
      </c>
      <c r="DE303">
        <v>0.11700000000000001</v>
      </c>
      <c r="DF303" t="s">
        <v>97</v>
      </c>
      <c r="DG303" t="s">
        <v>97</v>
      </c>
    </row>
    <row r="304" spans="1:111" x14ac:dyDescent="0.2">
      <c r="A304">
        <v>2025</v>
      </c>
      <c r="B304" s="1">
        <v>45954</v>
      </c>
      <c r="C304" t="s">
        <v>95</v>
      </c>
      <c r="D304">
        <v>605483</v>
      </c>
      <c r="E304">
        <v>665489</v>
      </c>
      <c r="F304">
        <v>3</v>
      </c>
      <c r="G304">
        <v>1</v>
      </c>
      <c r="H304">
        <v>1</v>
      </c>
      <c r="I304" t="s">
        <v>163</v>
      </c>
      <c r="J304">
        <v>6</v>
      </c>
      <c r="K304">
        <v>5</v>
      </c>
      <c r="L304" t="s">
        <v>97</v>
      </c>
      <c r="M304" t="s">
        <v>132</v>
      </c>
      <c r="N304" t="s">
        <v>133</v>
      </c>
      <c r="O304">
        <f t="shared" si="64"/>
        <v>0</v>
      </c>
      <c r="P304">
        <f t="shared" si="65"/>
        <v>0</v>
      </c>
      <c r="Q304">
        <f t="shared" si="66"/>
        <v>0</v>
      </c>
      <c r="R304">
        <f t="shared" si="67"/>
        <v>0</v>
      </c>
      <c r="S304">
        <f t="shared" si="68"/>
        <v>0</v>
      </c>
      <c r="T304">
        <f t="shared" si="69"/>
        <v>0</v>
      </c>
      <c r="U304">
        <f t="shared" si="70"/>
        <v>0</v>
      </c>
      <c r="V304">
        <f t="shared" si="71"/>
        <v>0</v>
      </c>
      <c r="W304">
        <f t="shared" si="72"/>
        <v>0</v>
      </c>
      <c r="X304">
        <f t="shared" si="73"/>
        <v>1</v>
      </c>
      <c r="Y304">
        <f t="shared" si="74"/>
        <v>0</v>
      </c>
      <c r="Z304">
        <f t="shared" si="75"/>
        <v>0</v>
      </c>
      <c r="AA304">
        <f t="shared" si="76"/>
        <v>0</v>
      </c>
      <c r="AB304">
        <f t="shared" si="77"/>
        <v>0</v>
      </c>
      <c r="AC304">
        <f t="shared" si="78"/>
        <v>0</v>
      </c>
      <c r="AD304">
        <f t="shared" si="79"/>
        <v>0</v>
      </c>
      <c r="AE304">
        <v>87.9</v>
      </c>
      <c r="AF304">
        <v>2.15</v>
      </c>
      <c r="AG304">
        <v>6.38</v>
      </c>
      <c r="AH304" t="s">
        <v>108</v>
      </c>
      <c r="AI304" t="s">
        <v>97</v>
      </c>
      <c r="AJ304" t="s">
        <v>97</v>
      </c>
      <c r="AK304" t="s">
        <v>97</v>
      </c>
      <c r="AL304" t="s">
        <v>97</v>
      </c>
      <c r="AM304">
        <v>9</v>
      </c>
      <c r="AN304" t="s">
        <v>109</v>
      </c>
      <c r="AO304" t="s">
        <v>213</v>
      </c>
      <c r="AP304" t="s">
        <v>122</v>
      </c>
      <c r="AQ304" t="s">
        <v>103</v>
      </c>
      <c r="AR304" t="s">
        <v>214</v>
      </c>
      <c r="AS304" t="s">
        <v>104</v>
      </c>
      <c r="AT304" t="s">
        <v>110</v>
      </c>
      <c r="AU304" t="s">
        <v>97</v>
      </c>
      <c r="AV304" t="s">
        <v>97</v>
      </c>
      <c r="AW304">
        <v>1.1399999999999999</v>
      </c>
      <c r="AX304">
        <v>0.91</v>
      </c>
      <c r="AY304">
        <v>0.59</v>
      </c>
      <c r="AZ304">
        <v>1.92</v>
      </c>
      <c r="BA304" t="s">
        <v>97</v>
      </c>
      <c r="BB304" t="s">
        <v>97</v>
      </c>
      <c r="BC304" t="s">
        <v>97</v>
      </c>
      <c r="BD304">
        <v>2</v>
      </c>
      <c r="BE304" t="s">
        <v>97</v>
      </c>
      <c r="BF304" t="s">
        <v>97</v>
      </c>
      <c r="BG304" t="s">
        <v>97</v>
      </c>
      <c r="BH304" t="s">
        <v>97</v>
      </c>
      <c r="BI304">
        <v>669257</v>
      </c>
      <c r="BJ304">
        <v>669257</v>
      </c>
      <c r="BK304" t="s">
        <v>97</v>
      </c>
      <c r="BL304" t="s">
        <v>97</v>
      </c>
      <c r="BM304">
        <v>-6.2201019679999998</v>
      </c>
      <c r="BN304">
        <v>-127.7871298</v>
      </c>
      <c r="BO304">
        <v>-6.5935570820000002</v>
      </c>
      <c r="BP304">
        <v>13.77361236</v>
      </c>
      <c r="BQ304">
        <v>27.4535689</v>
      </c>
      <c r="BR304">
        <v>-21.0528862</v>
      </c>
      <c r="BS304">
        <v>3.6</v>
      </c>
      <c r="BT304">
        <v>1.49</v>
      </c>
      <c r="BU304" t="s">
        <v>97</v>
      </c>
      <c r="BV304" t="s">
        <v>97</v>
      </c>
      <c r="BW304" t="s">
        <v>97</v>
      </c>
      <c r="BX304">
        <v>88.7</v>
      </c>
      <c r="BY304">
        <v>1882</v>
      </c>
      <c r="BZ304">
        <v>6.9</v>
      </c>
      <c r="CA304">
        <v>813027</v>
      </c>
      <c r="CB304">
        <v>669257</v>
      </c>
      <c r="CC304">
        <v>669257</v>
      </c>
      <c r="CD304">
        <v>518692</v>
      </c>
      <c r="CE304">
        <v>669242</v>
      </c>
      <c r="CF304">
        <v>571970</v>
      </c>
      <c r="CG304">
        <v>605141</v>
      </c>
      <c r="CH304">
        <v>571771</v>
      </c>
      <c r="CI304">
        <v>681624</v>
      </c>
      <c r="CJ304">
        <v>606192</v>
      </c>
      <c r="CK304">
        <v>53.58</v>
      </c>
      <c r="CL304" t="s">
        <v>97</v>
      </c>
      <c r="CM304" t="s">
        <v>97</v>
      </c>
      <c r="CN304" t="s">
        <v>97</v>
      </c>
      <c r="CO304" t="s">
        <v>97</v>
      </c>
      <c r="CP304" t="s">
        <v>97</v>
      </c>
      <c r="CQ304" t="s">
        <v>97</v>
      </c>
      <c r="CR304" t="s">
        <v>97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 t="s">
        <v>107</v>
      </c>
      <c r="DB304" t="s">
        <v>107</v>
      </c>
      <c r="DC304">
        <v>136</v>
      </c>
      <c r="DD304">
        <v>0</v>
      </c>
      <c r="DE304">
        <v>-8.5999999999999993E-2</v>
      </c>
      <c r="DF304" t="s">
        <v>97</v>
      </c>
      <c r="DG304" t="s">
        <v>97</v>
      </c>
    </row>
    <row r="305" spans="1:111" x14ac:dyDescent="0.2">
      <c r="A305">
        <v>2025</v>
      </c>
      <c r="B305" s="1">
        <v>45954</v>
      </c>
      <c r="C305" t="s">
        <v>95</v>
      </c>
      <c r="D305">
        <v>605483</v>
      </c>
      <c r="E305">
        <v>665489</v>
      </c>
      <c r="F305">
        <v>3</v>
      </c>
      <c r="G305">
        <v>2</v>
      </c>
      <c r="H305">
        <v>1</v>
      </c>
      <c r="I305" t="s">
        <v>163</v>
      </c>
      <c r="J305">
        <v>6</v>
      </c>
      <c r="K305">
        <v>6</v>
      </c>
      <c r="L305" t="s">
        <v>97</v>
      </c>
      <c r="M305" t="s">
        <v>98</v>
      </c>
      <c r="N305" t="s">
        <v>99</v>
      </c>
      <c r="O305">
        <f t="shared" si="64"/>
        <v>0</v>
      </c>
      <c r="P305">
        <f t="shared" si="65"/>
        <v>1</v>
      </c>
      <c r="Q305">
        <f t="shared" si="66"/>
        <v>0</v>
      </c>
      <c r="R305">
        <f t="shared" si="67"/>
        <v>0</v>
      </c>
      <c r="S305">
        <f t="shared" si="68"/>
        <v>0</v>
      </c>
      <c r="T305">
        <f t="shared" si="69"/>
        <v>0</v>
      </c>
      <c r="U305">
        <f t="shared" si="70"/>
        <v>0</v>
      </c>
      <c r="V305">
        <f t="shared" si="71"/>
        <v>0</v>
      </c>
      <c r="W305">
        <f t="shared" si="72"/>
        <v>0</v>
      </c>
      <c r="X305">
        <f t="shared" si="73"/>
        <v>0</v>
      </c>
      <c r="Y305">
        <f t="shared" si="74"/>
        <v>0</v>
      </c>
      <c r="Z305">
        <f t="shared" si="75"/>
        <v>0</v>
      </c>
      <c r="AA305">
        <f t="shared" si="76"/>
        <v>0</v>
      </c>
      <c r="AB305">
        <f t="shared" si="77"/>
        <v>0</v>
      </c>
      <c r="AC305">
        <f t="shared" si="78"/>
        <v>0</v>
      </c>
      <c r="AD305">
        <f t="shared" si="79"/>
        <v>0</v>
      </c>
      <c r="AE305">
        <v>96.7</v>
      </c>
      <c r="AF305">
        <v>2.0299999999999998</v>
      </c>
      <c r="AG305">
        <v>6.52</v>
      </c>
      <c r="AH305" t="s">
        <v>129</v>
      </c>
      <c r="AI305" t="s">
        <v>97</v>
      </c>
      <c r="AJ305" t="s">
        <v>97</v>
      </c>
      <c r="AK305" t="s">
        <v>97</v>
      </c>
      <c r="AL305" t="s">
        <v>97</v>
      </c>
      <c r="AM305">
        <v>4</v>
      </c>
      <c r="AN305" t="s">
        <v>130</v>
      </c>
      <c r="AO305" t="s">
        <v>213</v>
      </c>
      <c r="AP305" t="s">
        <v>122</v>
      </c>
      <c r="AQ305" t="s">
        <v>103</v>
      </c>
      <c r="AR305" t="s">
        <v>214</v>
      </c>
      <c r="AS305" t="s">
        <v>104</v>
      </c>
      <c r="AT305" t="s">
        <v>110</v>
      </c>
      <c r="AU305" t="s">
        <v>97</v>
      </c>
      <c r="AV305" t="s">
        <v>97</v>
      </c>
      <c r="AW305">
        <v>0.28999999999999998</v>
      </c>
      <c r="AX305">
        <v>1.62</v>
      </c>
      <c r="AY305">
        <v>-0.6</v>
      </c>
      <c r="AZ305">
        <v>2.79</v>
      </c>
      <c r="BA305" t="s">
        <v>97</v>
      </c>
      <c r="BB305" t="s">
        <v>97</v>
      </c>
      <c r="BC305" t="s">
        <v>97</v>
      </c>
      <c r="BD305">
        <v>2</v>
      </c>
      <c r="BE305" t="s">
        <v>97</v>
      </c>
      <c r="BF305" t="s">
        <v>97</v>
      </c>
      <c r="BG305" t="s">
        <v>97</v>
      </c>
      <c r="BH305" t="s">
        <v>97</v>
      </c>
      <c r="BI305">
        <v>669257</v>
      </c>
      <c r="BJ305">
        <v>669257</v>
      </c>
      <c r="BK305" t="s">
        <v>97</v>
      </c>
      <c r="BL305" t="s">
        <v>97</v>
      </c>
      <c r="BM305">
        <v>-7.7588398239999998</v>
      </c>
      <c r="BN305">
        <v>-140.36056060000001</v>
      </c>
      <c r="BO305">
        <v>-8.1196228589999997</v>
      </c>
      <c r="BP305">
        <v>5.6765094459999998</v>
      </c>
      <c r="BQ305">
        <v>33.724468360000003</v>
      </c>
      <c r="BR305">
        <v>-9.0955312559999992</v>
      </c>
      <c r="BS305">
        <v>3.65</v>
      </c>
      <c r="BT305">
        <v>1.62</v>
      </c>
      <c r="BU305">
        <v>7</v>
      </c>
      <c r="BV305">
        <v>87.9</v>
      </c>
      <c r="BW305">
        <v>-22</v>
      </c>
      <c r="BX305">
        <v>97.5</v>
      </c>
      <c r="BY305">
        <v>2419</v>
      </c>
      <c r="BZ305">
        <v>7</v>
      </c>
      <c r="CA305">
        <v>813027</v>
      </c>
      <c r="CB305">
        <v>669257</v>
      </c>
      <c r="CC305">
        <v>669257</v>
      </c>
      <c r="CD305">
        <v>518692</v>
      </c>
      <c r="CE305">
        <v>669242</v>
      </c>
      <c r="CF305">
        <v>571970</v>
      </c>
      <c r="CG305">
        <v>605141</v>
      </c>
      <c r="CH305">
        <v>571771</v>
      </c>
      <c r="CI305">
        <v>681624</v>
      </c>
      <c r="CJ305">
        <v>606192</v>
      </c>
      <c r="CK305">
        <v>53.51</v>
      </c>
      <c r="CL305" t="s">
        <v>97</v>
      </c>
      <c r="CM305" t="s">
        <v>97</v>
      </c>
      <c r="CN305" t="s">
        <v>97</v>
      </c>
      <c r="CO305" t="s">
        <v>97</v>
      </c>
      <c r="CP305" t="s">
        <v>97</v>
      </c>
      <c r="CQ305" t="s">
        <v>97</v>
      </c>
      <c r="CR305" t="s">
        <v>97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 t="s">
        <v>107</v>
      </c>
      <c r="DB305" t="s">
        <v>107</v>
      </c>
      <c r="DC305">
        <v>159</v>
      </c>
      <c r="DD305">
        <v>0</v>
      </c>
      <c r="DE305">
        <v>0</v>
      </c>
      <c r="DF305">
        <v>76.2</v>
      </c>
      <c r="DG305">
        <v>7.2</v>
      </c>
    </row>
    <row r="306" spans="1:111" x14ac:dyDescent="0.2">
      <c r="A306">
        <v>2025</v>
      </c>
      <c r="B306" s="1">
        <v>45954</v>
      </c>
      <c r="C306" t="s">
        <v>95</v>
      </c>
      <c r="D306">
        <v>605483</v>
      </c>
      <c r="E306">
        <v>665489</v>
      </c>
      <c r="F306">
        <v>3</v>
      </c>
      <c r="G306">
        <v>2</v>
      </c>
      <c r="H306">
        <v>1</v>
      </c>
      <c r="I306" t="s">
        <v>163</v>
      </c>
      <c r="J306">
        <v>6</v>
      </c>
      <c r="K306">
        <v>7</v>
      </c>
      <c r="L306" t="s">
        <v>142</v>
      </c>
      <c r="M306" t="s">
        <v>111</v>
      </c>
      <c r="N306" t="s">
        <v>112</v>
      </c>
      <c r="O306">
        <f t="shared" si="64"/>
        <v>0</v>
      </c>
      <c r="P306">
        <f t="shared" si="65"/>
        <v>0</v>
      </c>
      <c r="Q306">
        <f t="shared" si="66"/>
        <v>0</v>
      </c>
      <c r="R306">
        <f t="shared" si="67"/>
        <v>0</v>
      </c>
      <c r="S306">
        <f t="shared" si="68"/>
        <v>0</v>
      </c>
      <c r="T306">
        <f t="shared" si="69"/>
        <v>1</v>
      </c>
      <c r="U306">
        <f t="shared" si="70"/>
        <v>0</v>
      </c>
      <c r="V306">
        <f t="shared" si="71"/>
        <v>0</v>
      </c>
      <c r="W306">
        <f t="shared" si="72"/>
        <v>0</v>
      </c>
      <c r="X306">
        <f t="shared" si="73"/>
        <v>0</v>
      </c>
      <c r="Y306">
        <f t="shared" si="74"/>
        <v>0</v>
      </c>
      <c r="Z306">
        <f t="shared" si="75"/>
        <v>0</v>
      </c>
      <c r="AA306">
        <f t="shared" si="76"/>
        <v>0</v>
      </c>
      <c r="AB306">
        <f t="shared" si="77"/>
        <v>0</v>
      </c>
      <c r="AC306">
        <f t="shared" si="78"/>
        <v>0</v>
      </c>
      <c r="AD306">
        <f t="shared" si="79"/>
        <v>0</v>
      </c>
      <c r="AE306">
        <v>83.6</v>
      </c>
      <c r="AF306">
        <v>1.99</v>
      </c>
      <c r="AG306">
        <v>6.52</v>
      </c>
      <c r="AH306" t="s">
        <v>140</v>
      </c>
      <c r="AI306" t="s">
        <v>97</v>
      </c>
      <c r="AJ306" t="s">
        <v>97</v>
      </c>
      <c r="AK306" t="s">
        <v>97</v>
      </c>
      <c r="AL306" t="s">
        <v>97</v>
      </c>
      <c r="AM306">
        <v>13</v>
      </c>
      <c r="AN306" t="s">
        <v>218</v>
      </c>
      <c r="AO306" t="s">
        <v>213</v>
      </c>
      <c r="AP306" t="s">
        <v>122</v>
      </c>
      <c r="AQ306" t="s">
        <v>103</v>
      </c>
      <c r="AR306" t="s">
        <v>214</v>
      </c>
      <c r="AS306" t="s">
        <v>104</v>
      </c>
      <c r="AT306" t="s">
        <v>106</v>
      </c>
      <c r="AU306" t="s">
        <v>97</v>
      </c>
      <c r="AV306" t="s">
        <v>97</v>
      </c>
      <c r="AW306">
        <v>-1.0900000000000001</v>
      </c>
      <c r="AX306">
        <v>-0.69</v>
      </c>
      <c r="AY306">
        <v>-0.19</v>
      </c>
      <c r="AZ306">
        <v>0.64</v>
      </c>
      <c r="BA306" t="s">
        <v>97</v>
      </c>
      <c r="BB306" t="s">
        <v>97</v>
      </c>
      <c r="BC306" t="s">
        <v>97</v>
      </c>
      <c r="BD306">
        <v>2</v>
      </c>
      <c r="BE306" t="s">
        <v>97</v>
      </c>
      <c r="BF306" t="s">
        <v>97</v>
      </c>
      <c r="BG306" t="s">
        <v>97</v>
      </c>
      <c r="BH306" t="s">
        <v>97</v>
      </c>
      <c r="BI306">
        <v>669257</v>
      </c>
      <c r="BJ306">
        <v>669257</v>
      </c>
      <c r="BK306" t="s">
        <v>97</v>
      </c>
      <c r="BL306" t="s">
        <v>97</v>
      </c>
      <c r="BM306">
        <v>-2.8868682109999999</v>
      </c>
      <c r="BN306">
        <v>-121.5504543</v>
      </c>
      <c r="BO306">
        <v>-5.6599948109999998</v>
      </c>
      <c r="BP306">
        <v>-9.9554782040000003</v>
      </c>
      <c r="BQ306">
        <v>28.59905886</v>
      </c>
      <c r="BR306">
        <v>-37.850019920000001</v>
      </c>
      <c r="BS306">
        <v>3.54</v>
      </c>
      <c r="BT306">
        <v>1.54</v>
      </c>
      <c r="BU306" t="s">
        <v>97</v>
      </c>
      <c r="BV306" t="s">
        <v>97</v>
      </c>
      <c r="BW306" t="s">
        <v>97</v>
      </c>
      <c r="BX306">
        <v>83.7</v>
      </c>
      <c r="BY306">
        <v>2613</v>
      </c>
      <c r="BZ306">
        <v>6.9</v>
      </c>
      <c r="CA306">
        <v>813027</v>
      </c>
      <c r="CB306">
        <v>669257</v>
      </c>
      <c r="CC306">
        <v>669257</v>
      </c>
      <c r="CD306">
        <v>518692</v>
      </c>
      <c r="CE306">
        <v>669242</v>
      </c>
      <c r="CF306">
        <v>571970</v>
      </c>
      <c r="CG306">
        <v>605141</v>
      </c>
      <c r="CH306">
        <v>571771</v>
      </c>
      <c r="CI306">
        <v>681624</v>
      </c>
      <c r="CJ306">
        <v>606192</v>
      </c>
      <c r="CK306">
        <v>53.62</v>
      </c>
      <c r="CL306" t="s">
        <v>97</v>
      </c>
      <c r="CM306">
        <v>0.69149700000000003</v>
      </c>
      <c r="CN306">
        <v>0.7</v>
      </c>
      <c r="CO306">
        <v>1</v>
      </c>
      <c r="CP306">
        <v>0</v>
      </c>
      <c r="CQ306">
        <v>0</v>
      </c>
      <c r="CR306" t="s">
        <v>97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 t="s">
        <v>107</v>
      </c>
      <c r="DB306" t="s">
        <v>107</v>
      </c>
      <c r="DC306">
        <v>328</v>
      </c>
      <c r="DD306">
        <v>1.2E-2</v>
      </c>
      <c r="DE306">
        <v>0.25900000000000001</v>
      </c>
      <c r="DF306" t="s">
        <v>97</v>
      </c>
      <c r="DG306" t="s">
        <v>97</v>
      </c>
    </row>
    <row r="307" spans="1:111" x14ac:dyDescent="0.2">
      <c r="A307">
        <v>2025</v>
      </c>
      <c r="B307" s="1">
        <v>45954</v>
      </c>
      <c r="C307" t="s">
        <v>95</v>
      </c>
      <c r="D307">
        <v>605483</v>
      </c>
      <c r="E307">
        <v>666182</v>
      </c>
      <c r="F307">
        <v>0</v>
      </c>
      <c r="G307">
        <v>0</v>
      </c>
      <c r="H307">
        <v>1</v>
      </c>
      <c r="I307" t="s">
        <v>163</v>
      </c>
      <c r="J307">
        <v>7</v>
      </c>
      <c r="K307">
        <v>1</v>
      </c>
      <c r="L307" t="s">
        <v>97</v>
      </c>
      <c r="M307" t="s">
        <v>98</v>
      </c>
      <c r="N307" t="s">
        <v>99</v>
      </c>
      <c r="O307">
        <f t="shared" si="64"/>
        <v>1</v>
      </c>
      <c r="P307">
        <f t="shared" si="65"/>
        <v>0</v>
      </c>
      <c r="Q307">
        <f t="shared" si="66"/>
        <v>0</v>
      </c>
      <c r="R307">
        <f t="shared" si="67"/>
        <v>0</v>
      </c>
      <c r="S307">
        <f t="shared" si="68"/>
        <v>0</v>
      </c>
      <c r="T307">
        <f t="shared" si="69"/>
        <v>0</v>
      </c>
      <c r="U307">
        <f t="shared" si="70"/>
        <v>0</v>
      </c>
      <c r="V307">
        <f t="shared" si="71"/>
        <v>0</v>
      </c>
      <c r="W307">
        <f t="shared" si="72"/>
        <v>0</v>
      </c>
      <c r="X307">
        <f t="shared" si="73"/>
        <v>0</v>
      </c>
      <c r="Y307">
        <f t="shared" si="74"/>
        <v>0</v>
      </c>
      <c r="Z307">
        <f t="shared" si="75"/>
        <v>0</v>
      </c>
      <c r="AA307">
        <f t="shared" si="76"/>
        <v>0</v>
      </c>
      <c r="AB307">
        <f t="shared" si="77"/>
        <v>0</v>
      </c>
      <c r="AC307">
        <f t="shared" si="78"/>
        <v>0</v>
      </c>
      <c r="AD307">
        <f t="shared" si="79"/>
        <v>0</v>
      </c>
      <c r="AE307">
        <v>95.6</v>
      </c>
      <c r="AF307">
        <v>1.86</v>
      </c>
      <c r="AG307">
        <v>6.53</v>
      </c>
      <c r="AH307" t="s">
        <v>100</v>
      </c>
      <c r="AI307" t="s">
        <v>97</v>
      </c>
      <c r="AJ307" t="s">
        <v>97</v>
      </c>
      <c r="AK307" t="s">
        <v>97</v>
      </c>
      <c r="AL307" t="s">
        <v>97</v>
      </c>
      <c r="AM307">
        <v>11</v>
      </c>
      <c r="AN307" t="s">
        <v>101</v>
      </c>
      <c r="AO307" t="s">
        <v>213</v>
      </c>
      <c r="AP307" t="s">
        <v>122</v>
      </c>
      <c r="AQ307" t="s">
        <v>103</v>
      </c>
      <c r="AR307" t="s">
        <v>214</v>
      </c>
      <c r="AS307" t="s">
        <v>104</v>
      </c>
      <c r="AT307" t="s">
        <v>106</v>
      </c>
      <c r="AU307" t="s">
        <v>97</v>
      </c>
      <c r="AV307" t="s">
        <v>97</v>
      </c>
      <c r="AW307">
        <v>0.16</v>
      </c>
      <c r="AX307">
        <v>1.77</v>
      </c>
      <c r="AY307">
        <v>-1.25</v>
      </c>
      <c r="AZ307">
        <v>2.85</v>
      </c>
      <c r="BA307" t="s">
        <v>97</v>
      </c>
      <c r="BB307" t="s">
        <v>97</v>
      </c>
      <c r="BC307">
        <v>665489</v>
      </c>
      <c r="BD307">
        <v>2</v>
      </c>
      <c r="BE307" t="s">
        <v>97</v>
      </c>
      <c r="BF307" t="s">
        <v>97</v>
      </c>
      <c r="BG307" t="s">
        <v>97</v>
      </c>
      <c r="BH307" t="s">
        <v>97</v>
      </c>
      <c r="BI307">
        <v>669257</v>
      </c>
      <c r="BJ307">
        <v>669257</v>
      </c>
      <c r="BK307" t="s">
        <v>97</v>
      </c>
      <c r="BL307" t="s">
        <v>97</v>
      </c>
      <c r="BM307">
        <v>-8.6419238440000008</v>
      </c>
      <c r="BN307">
        <v>-138.73704520000001</v>
      </c>
      <c r="BO307">
        <v>-8.117380292</v>
      </c>
      <c r="BP307">
        <v>4.1267948099999998</v>
      </c>
      <c r="BQ307">
        <v>34.025968970000001</v>
      </c>
      <c r="BR307">
        <v>-7.6085372470000001</v>
      </c>
      <c r="BS307">
        <v>3.75</v>
      </c>
      <c r="BT307">
        <v>1.76</v>
      </c>
      <c r="BU307" t="s">
        <v>97</v>
      </c>
      <c r="BV307" t="s">
        <v>97</v>
      </c>
      <c r="BW307" t="s">
        <v>97</v>
      </c>
      <c r="BX307">
        <v>96.2</v>
      </c>
      <c r="BY307">
        <v>2450</v>
      </c>
      <c r="BZ307">
        <v>7</v>
      </c>
      <c r="CA307">
        <v>813027</v>
      </c>
      <c r="CB307">
        <v>669257</v>
      </c>
      <c r="CC307">
        <v>669257</v>
      </c>
      <c r="CD307">
        <v>518692</v>
      </c>
      <c r="CE307">
        <v>669242</v>
      </c>
      <c r="CF307">
        <v>571970</v>
      </c>
      <c r="CG307">
        <v>605141</v>
      </c>
      <c r="CH307">
        <v>571771</v>
      </c>
      <c r="CI307">
        <v>681624</v>
      </c>
      <c r="CJ307">
        <v>606192</v>
      </c>
      <c r="CK307">
        <v>53.48</v>
      </c>
      <c r="CL307" t="s">
        <v>97</v>
      </c>
      <c r="CM307" t="s">
        <v>97</v>
      </c>
      <c r="CN307" t="s">
        <v>97</v>
      </c>
      <c r="CO307" t="s">
        <v>97</v>
      </c>
      <c r="CP307" t="s">
        <v>97</v>
      </c>
      <c r="CQ307" t="s">
        <v>97</v>
      </c>
      <c r="CR307" t="s">
        <v>97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 t="s">
        <v>107</v>
      </c>
      <c r="DB307" t="s">
        <v>107</v>
      </c>
      <c r="DC307">
        <v>159</v>
      </c>
      <c r="DD307">
        <v>0</v>
      </c>
      <c r="DE307">
        <v>3.5000000000000003E-2</v>
      </c>
      <c r="DF307" t="s">
        <v>97</v>
      </c>
      <c r="DG307" t="s">
        <v>97</v>
      </c>
    </row>
    <row r="308" spans="1:111" x14ac:dyDescent="0.2">
      <c r="A308">
        <v>2025</v>
      </c>
      <c r="B308" s="1">
        <v>45954</v>
      </c>
      <c r="C308" t="s">
        <v>95</v>
      </c>
      <c r="D308">
        <v>605483</v>
      </c>
      <c r="E308">
        <v>666182</v>
      </c>
      <c r="F308">
        <v>1</v>
      </c>
      <c r="G308">
        <v>0</v>
      </c>
      <c r="H308">
        <v>1</v>
      </c>
      <c r="I308" t="s">
        <v>163</v>
      </c>
      <c r="J308">
        <v>7</v>
      </c>
      <c r="K308">
        <v>2</v>
      </c>
      <c r="L308" t="s">
        <v>97</v>
      </c>
      <c r="M308" t="s">
        <v>98</v>
      </c>
      <c r="N308" t="s">
        <v>99</v>
      </c>
      <c r="O308">
        <f t="shared" si="64"/>
        <v>1</v>
      </c>
      <c r="P308">
        <f t="shared" si="65"/>
        <v>0</v>
      </c>
      <c r="Q308">
        <f t="shared" si="66"/>
        <v>0</v>
      </c>
      <c r="R308">
        <f t="shared" si="67"/>
        <v>0</v>
      </c>
      <c r="S308">
        <f t="shared" si="68"/>
        <v>0</v>
      </c>
      <c r="T308">
        <f t="shared" si="69"/>
        <v>0</v>
      </c>
      <c r="U308">
        <f t="shared" si="70"/>
        <v>0</v>
      </c>
      <c r="V308">
        <f t="shared" si="71"/>
        <v>0</v>
      </c>
      <c r="W308">
        <f t="shared" si="72"/>
        <v>0</v>
      </c>
      <c r="X308">
        <f t="shared" si="73"/>
        <v>0</v>
      </c>
      <c r="Y308">
        <f t="shared" si="74"/>
        <v>0</v>
      </c>
      <c r="Z308">
        <f t="shared" si="75"/>
        <v>0</v>
      </c>
      <c r="AA308">
        <f t="shared" si="76"/>
        <v>0</v>
      </c>
      <c r="AB308">
        <f t="shared" si="77"/>
        <v>0</v>
      </c>
      <c r="AC308">
        <f t="shared" si="78"/>
        <v>0</v>
      </c>
      <c r="AD308">
        <f t="shared" si="79"/>
        <v>0</v>
      </c>
      <c r="AE308">
        <v>95.9</v>
      </c>
      <c r="AF308">
        <v>1.94</v>
      </c>
      <c r="AG308">
        <v>6.47</v>
      </c>
      <c r="AH308" t="s">
        <v>100</v>
      </c>
      <c r="AI308" t="s">
        <v>97</v>
      </c>
      <c r="AJ308" t="s">
        <v>97</v>
      </c>
      <c r="AK308" t="s">
        <v>97</v>
      </c>
      <c r="AL308" t="s">
        <v>97</v>
      </c>
      <c r="AM308">
        <v>13</v>
      </c>
      <c r="AN308" t="s">
        <v>101</v>
      </c>
      <c r="AO308" t="s">
        <v>213</v>
      </c>
      <c r="AP308" t="s">
        <v>122</v>
      </c>
      <c r="AQ308" t="s">
        <v>103</v>
      </c>
      <c r="AR308" t="s">
        <v>214</v>
      </c>
      <c r="AS308" t="s">
        <v>104</v>
      </c>
      <c r="AT308" t="s">
        <v>106</v>
      </c>
      <c r="AU308" t="s">
        <v>97</v>
      </c>
      <c r="AV308" t="s">
        <v>97</v>
      </c>
      <c r="AW308">
        <v>0.18</v>
      </c>
      <c r="AX308">
        <v>1.78</v>
      </c>
      <c r="AY308">
        <v>-1.1599999999999999</v>
      </c>
      <c r="AZ308">
        <v>2.54</v>
      </c>
      <c r="BA308" t="s">
        <v>97</v>
      </c>
      <c r="BB308" t="s">
        <v>97</v>
      </c>
      <c r="BC308">
        <v>665489</v>
      </c>
      <c r="BD308">
        <v>2</v>
      </c>
      <c r="BE308" t="s">
        <v>97</v>
      </c>
      <c r="BF308" t="s">
        <v>97</v>
      </c>
      <c r="BG308" t="s">
        <v>97</v>
      </c>
      <c r="BH308" t="s">
        <v>97</v>
      </c>
      <c r="BI308">
        <v>669257</v>
      </c>
      <c r="BJ308">
        <v>669257</v>
      </c>
      <c r="BK308" t="s">
        <v>97</v>
      </c>
      <c r="BL308" t="s">
        <v>97</v>
      </c>
      <c r="BM308">
        <v>-8.6528908209999997</v>
      </c>
      <c r="BN308">
        <v>-139.05199709999999</v>
      </c>
      <c r="BO308">
        <v>-8.8012984949999993</v>
      </c>
      <c r="BP308">
        <v>4.5081592160000001</v>
      </c>
      <c r="BQ308">
        <v>34.723323639999997</v>
      </c>
      <c r="BR308">
        <v>-7.2115559859999996</v>
      </c>
      <c r="BS308">
        <v>3.74</v>
      </c>
      <c r="BT308">
        <v>1.75</v>
      </c>
      <c r="BU308" t="s">
        <v>97</v>
      </c>
      <c r="BV308" t="s">
        <v>97</v>
      </c>
      <c r="BW308" t="s">
        <v>97</v>
      </c>
      <c r="BX308">
        <v>96.1</v>
      </c>
      <c r="BY308">
        <v>2471</v>
      </c>
      <c r="BZ308">
        <v>6.8</v>
      </c>
      <c r="CA308">
        <v>813027</v>
      </c>
      <c r="CB308">
        <v>669257</v>
      </c>
      <c r="CC308">
        <v>669257</v>
      </c>
      <c r="CD308">
        <v>518692</v>
      </c>
      <c r="CE308">
        <v>669242</v>
      </c>
      <c r="CF308">
        <v>571970</v>
      </c>
      <c r="CG308">
        <v>605141</v>
      </c>
      <c r="CH308">
        <v>571771</v>
      </c>
      <c r="CI308">
        <v>681624</v>
      </c>
      <c r="CJ308">
        <v>606192</v>
      </c>
      <c r="CK308">
        <v>53.65</v>
      </c>
      <c r="CL308" t="s">
        <v>97</v>
      </c>
      <c r="CM308" t="s">
        <v>97</v>
      </c>
      <c r="CN308" t="s">
        <v>97</v>
      </c>
      <c r="CO308" t="s">
        <v>97</v>
      </c>
      <c r="CP308" t="s">
        <v>97</v>
      </c>
      <c r="CQ308" t="s">
        <v>97</v>
      </c>
      <c r="CR308" t="s">
        <v>97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 t="s">
        <v>107</v>
      </c>
      <c r="DB308" t="s">
        <v>107</v>
      </c>
      <c r="DC308">
        <v>156</v>
      </c>
      <c r="DD308">
        <v>0</v>
      </c>
      <c r="DE308">
        <v>4.8000000000000001E-2</v>
      </c>
      <c r="DF308" t="s">
        <v>97</v>
      </c>
      <c r="DG308" t="s">
        <v>97</v>
      </c>
    </row>
    <row r="309" spans="1:111" x14ac:dyDescent="0.2">
      <c r="A309">
        <v>2025</v>
      </c>
      <c r="B309" s="1">
        <v>45954</v>
      </c>
      <c r="C309" t="s">
        <v>95</v>
      </c>
      <c r="D309">
        <v>605483</v>
      </c>
      <c r="E309">
        <v>666182</v>
      </c>
      <c r="F309">
        <v>2</v>
      </c>
      <c r="G309">
        <v>0</v>
      </c>
      <c r="H309">
        <v>1</v>
      </c>
      <c r="I309" t="s">
        <v>163</v>
      </c>
      <c r="J309">
        <v>7</v>
      </c>
      <c r="K309">
        <v>3</v>
      </c>
      <c r="L309" t="s">
        <v>97</v>
      </c>
      <c r="M309" t="s">
        <v>98</v>
      </c>
      <c r="N309" t="s">
        <v>99</v>
      </c>
      <c r="O309">
        <f t="shared" si="64"/>
        <v>0</v>
      </c>
      <c r="P309">
        <f t="shared" si="65"/>
        <v>0</v>
      </c>
      <c r="Q309">
        <f t="shared" si="66"/>
        <v>1</v>
      </c>
      <c r="R309">
        <f t="shared" si="67"/>
        <v>0</v>
      </c>
      <c r="S309">
        <f t="shared" si="68"/>
        <v>0</v>
      </c>
      <c r="T309">
        <f t="shared" si="69"/>
        <v>0</v>
      </c>
      <c r="U309">
        <f t="shared" si="70"/>
        <v>0</v>
      </c>
      <c r="V309">
        <f t="shared" si="71"/>
        <v>0</v>
      </c>
      <c r="W309">
        <f t="shared" si="72"/>
        <v>0</v>
      </c>
      <c r="X309">
        <f t="shared" si="73"/>
        <v>0</v>
      </c>
      <c r="Y309">
        <f t="shared" si="74"/>
        <v>0</v>
      </c>
      <c r="Z309">
        <f t="shared" si="75"/>
        <v>0</v>
      </c>
      <c r="AA309">
        <f t="shared" si="76"/>
        <v>0</v>
      </c>
      <c r="AB309">
        <f t="shared" si="77"/>
        <v>0</v>
      </c>
      <c r="AC309">
        <f t="shared" si="78"/>
        <v>0</v>
      </c>
      <c r="AD309">
        <f t="shared" si="79"/>
        <v>0</v>
      </c>
      <c r="AE309">
        <v>95.8</v>
      </c>
      <c r="AF309">
        <v>1.83</v>
      </c>
      <c r="AG309">
        <v>6.53</v>
      </c>
      <c r="AH309" t="s">
        <v>100</v>
      </c>
      <c r="AI309" t="s">
        <v>97</v>
      </c>
      <c r="AJ309" t="s">
        <v>97</v>
      </c>
      <c r="AK309" t="s">
        <v>97</v>
      </c>
      <c r="AL309" t="s">
        <v>97</v>
      </c>
      <c r="AM309">
        <v>11</v>
      </c>
      <c r="AN309" t="s">
        <v>101</v>
      </c>
      <c r="AO309" t="s">
        <v>213</v>
      </c>
      <c r="AP309" t="s">
        <v>122</v>
      </c>
      <c r="AQ309" t="s">
        <v>103</v>
      </c>
      <c r="AR309" t="s">
        <v>214</v>
      </c>
      <c r="AS309" t="s">
        <v>104</v>
      </c>
      <c r="AT309" t="s">
        <v>106</v>
      </c>
      <c r="AU309" t="s">
        <v>97</v>
      </c>
      <c r="AV309" t="s">
        <v>97</v>
      </c>
      <c r="AW309">
        <v>0.04</v>
      </c>
      <c r="AX309">
        <v>1.6</v>
      </c>
      <c r="AY309">
        <v>-0.97</v>
      </c>
      <c r="AZ309">
        <v>3.77</v>
      </c>
      <c r="BA309" t="s">
        <v>97</v>
      </c>
      <c r="BB309" t="s">
        <v>97</v>
      </c>
      <c r="BC309">
        <v>665489</v>
      </c>
      <c r="BD309">
        <v>2</v>
      </c>
      <c r="BE309" t="s">
        <v>97</v>
      </c>
      <c r="BF309" t="s">
        <v>97</v>
      </c>
      <c r="BG309" t="s">
        <v>97</v>
      </c>
      <c r="BH309" t="s">
        <v>97</v>
      </c>
      <c r="BI309">
        <v>669257</v>
      </c>
      <c r="BJ309">
        <v>669257</v>
      </c>
      <c r="BK309" t="s">
        <v>97</v>
      </c>
      <c r="BL309" t="s">
        <v>97</v>
      </c>
      <c r="BM309">
        <v>-7.5722337099999999</v>
      </c>
      <c r="BN309">
        <v>-139.18883450000001</v>
      </c>
      <c r="BO309">
        <v>-5.2720782809999998</v>
      </c>
      <c r="BP309">
        <v>2.4465354000000001</v>
      </c>
      <c r="BQ309">
        <v>34.577413470000003</v>
      </c>
      <c r="BR309">
        <v>-10.452708769999999</v>
      </c>
      <c r="BS309">
        <v>3.67</v>
      </c>
      <c r="BT309">
        <v>1.68</v>
      </c>
      <c r="BU309" t="s">
        <v>97</v>
      </c>
      <c r="BV309" t="s">
        <v>97</v>
      </c>
      <c r="BW309" t="s">
        <v>97</v>
      </c>
      <c r="BX309">
        <v>96.3</v>
      </c>
      <c r="BY309">
        <v>2483</v>
      </c>
      <c r="BZ309">
        <v>6.9</v>
      </c>
      <c r="CA309">
        <v>813027</v>
      </c>
      <c r="CB309">
        <v>669257</v>
      </c>
      <c r="CC309">
        <v>669257</v>
      </c>
      <c r="CD309">
        <v>518692</v>
      </c>
      <c r="CE309">
        <v>669242</v>
      </c>
      <c r="CF309">
        <v>571970</v>
      </c>
      <c r="CG309">
        <v>605141</v>
      </c>
      <c r="CH309">
        <v>571771</v>
      </c>
      <c r="CI309">
        <v>681624</v>
      </c>
      <c r="CJ309">
        <v>606192</v>
      </c>
      <c r="CK309">
        <v>53.58</v>
      </c>
      <c r="CL309" t="s">
        <v>97</v>
      </c>
      <c r="CM309" t="s">
        <v>97</v>
      </c>
      <c r="CN309" t="s">
        <v>97</v>
      </c>
      <c r="CO309" t="s">
        <v>97</v>
      </c>
      <c r="CP309" t="s">
        <v>97</v>
      </c>
      <c r="CQ309" t="s">
        <v>97</v>
      </c>
      <c r="CR309" t="s">
        <v>97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 t="s">
        <v>107</v>
      </c>
      <c r="DB309" t="s">
        <v>107</v>
      </c>
      <c r="DC309">
        <v>160</v>
      </c>
      <c r="DD309">
        <v>0</v>
      </c>
      <c r="DE309">
        <v>8.3000000000000004E-2</v>
      </c>
      <c r="DF309" t="s">
        <v>97</v>
      </c>
      <c r="DG309" t="s">
        <v>97</v>
      </c>
    </row>
    <row r="310" spans="1:111" x14ac:dyDescent="0.2">
      <c r="A310">
        <v>2025</v>
      </c>
      <c r="B310" s="1">
        <v>45954</v>
      </c>
      <c r="C310" t="s">
        <v>95</v>
      </c>
      <c r="D310">
        <v>605483</v>
      </c>
      <c r="E310">
        <v>666182</v>
      </c>
      <c r="F310">
        <v>3</v>
      </c>
      <c r="G310">
        <v>0</v>
      </c>
      <c r="H310">
        <v>1</v>
      </c>
      <c r="I310" t="s">
        <v>163</v>
      </c>
      <c r="J310">
        <v>7</v>
      </c>
      <c r="K310">
        <v>4</v>
      </c>
      <c r="L310" t="s">
        <v>155</v>
      </c>
      <c r="M310" t="s">
        <v>132</v>
      </c>
      <c r="N310" t="s">
        <v>133</v>
      </c>
      <c r="O310">
        <f t="shared" si="64"/>
        <v>0</v>
      </c>
      <c r="P310">
        <f t="shared" si="65"/>
        <v>0</v>
      </c>
      <c r="Q310">
        <f t="shared" si="66"/>
        <v>0</v>
      </c>
      <c r="R310">
        <f t="shared" si="67"/>
        <v>0</v>
      </c>
      <c r="S310">
        <f t="shared" si="68"/>
        <v>0</v>
      </c>
      <c r="T310">
        <f t="shared" si="69"/>
        <v>0</v>
      </c>
      <c r="U310">
        <f t="shared" si="70"/>
        <v>0</v>
      </c>
      <c r="V310">
        <f t="shared" si="71"/>
        <v>0</v>
      </c>
      <c r="W310">
        <f t="shared" si="72"/>
        <v>0</v>
      </c>
      <c r="X310">
        <f t="shared" si="73"/>
        <v>1</v>
      </c>
      <c r="Y310">
        <f t="shared" si="74"/>
        <v>0</v>
      </c>
      <c r="Z310">
        <f t="shared" si="75"/>
        <v>0</v>
      </c>
      <c r="AA310">
        <f t="shared" si="76"/>
        <v>0</v>
      </c>
      <c r="AB310">
        <f t="shared" si="77"/>
        <v>0</v>
      </c>
      <c r="AC310">
        <f t="shared" si="78"/>
        <v>0</v>
      </c>
      <c r="AD310">
        <f t="shared" si="79"/>
        <v>0</v>
      </c>
      <c r="AE310">
        <v>88.3</v>
      </c>
      <c r="AF310">
        <v>2.29</v>
      </c>
      <c r="AG310">
        <v>6.36</v>
      </c>
      <c r="AH310" t="s">
        <v>120</v>
      </c>
      <c r="AI310" t="s">
        <v>97</v>
      </c>
      <c r="AJ310" t="s">
        <v>97</v>
      </c>
      <c r="AK310" t="s">
        <v>97</v>
      </c>
      <c r="AL310" t="s">
        <v>97</v>
      </c>
      <c r="AM310">
        <v>8</v>
      </c>
      <c r="AN310" t="s">
        <v>219</v>
      </c>
      <c r="AO310" t="s">
        <v>213</v>
      </c>
      <c r="AP310" t="s">
        <v>122</v>
      </c>
      <c r="AQ310" t="s">
        <v>103</v>
      </c>
      <c r="AR310" t="s">
        <v>214</v>
      </c>
      <c r="AS310" t="s">
        <v>104</v>
      </c>
      <c r="AT310" t="s">
        <v>123</v>
      </c>
      <c r="AU310">
        <v>9</v>
      </c>
      <c r="AV310" t="s">
        <v>127</v>
      </c>
      <c r="AW310">
        <v>1.48</v>
      </c>
      <c r="AX310">
        <v>0.86</v>
      </c>
      <c r="AY310">
        <v>7.0000000000000007E-2</v>
      </c>
      <c r="AZ310">
        <v>2.2400000000000002</v>
      </c>
      <c r="BA310" t="s">
        <v>97</v>
      </c>
      <c r="BB310" t="s">
        <v>97</v>
      </c>
      <c r="BC310">
        <v>665489</v>
      </c>
      <c r="BD310">
        <v>2</v>
      </c>
      <c r="BE310">
        <v>173.82</v>
      </c>
      <c r="BF310">
        <v>134.85</v>
      </c>
      <c r="BG310" t="s">
        <v>97</v>
      </c>
      <c r="BH310" t="s">
        <v>97</v>
      </c>
      <c r="BI310">
        <v>669257</v>
      </c>
      <c r="BJ310">
        <v>669257</v>
      </c>
      <c r="BK310" t="s">
        <v>97</v>
      </c>
      <c r="BL310" t="s">
        <v>97</v>
      </c>
      <c r="BM310">
        <v>-8.5787924239999995</v>
      </c>
      <c r="BN310">
        <v>-128.212784</v>
      </c>
      <c r="BO310">
        <v>-5.7649544600000002</v>
      </c>
      <c r="BP310">
        <v>18.17025168</v>
      </c>
      <c r="BQ310">
        <v>27.339651839999998</v>
      </c>
      <c r="BR310">
        <v>-21.652776620000001</v>
      </c>
      <c r="BS310">
        <v>3.66</v>
      </c>
      <c r="BT310">
        <v>1.71</v>
      </c>
      <c r="BU310">
        <v>19</v>
      </c>
      <c r="BV310">
        <v>67.7</v>
      </c>
      <c r="BW310">
        <v>-5</v>
      </c>
      <c r="BX310">
        <v>89.2</v>
      </c>
      <c r="BY310">
        <v>2114</v>
      </c>
      <c r="BZ310">
        <v>7</v>
      </c>
      <c r="CA310">
        <v>813027</v>
      </c>
      <c r="CB310">
        <v>669257</v>
      </c>
      <c r="CC310">
        <v>669257</v>
      </c>
      <c r="CD310">
        <v>518692</v>
      </c>
      <c r="CE310">
        <v>669242</v>
      </c>
      <c r="CF310">
        <v>571970</v>
      </c>
      <c r="CG310">
        <v>605141</v>
      </c>
      <c r="CH310">
        <v>571771</v>
      </c>
      <c r="CI310">
        <v>681624</v>
      </c>
      <c r="CJ310">
        <v>606192</v>
      </c>
      <c r="CK310">
        <v>53.49</v>
      </c>
      <c r="CL310">
        <v>0.10299999999999999</v>
      </c>
      <c r="CM310">
        <v>0.09</v>
      </c>
      <c r="CN310">
        <v>0.9</v>
      </c>
      <c r="CO310">
        <v>1</v>
      </c>
      <c r="CP310">
        <v>1</v>
      </c>
      <c r="CQ310">
        <v>0</v>
      </c>
      <c r="CR310">
        <v>2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 t="s">
        <v>107</v>
      </c>
      <c r="DB310" t="s">
        <v>107</v>
      </c>
      <c r="DC310">
        <v>133</v>
      </c>
      <c r="DD310">
        <v>2.5000000000000001E-2</v>
      </c>
      <c r="DE310">
        <v>0.18</v>
      </c>
      <c r="DF310" t="s">
        <v>97</v>
      </c>
      <c r="DG310" t="s">
        <v>97</v>
      </c>
    </row>
    <row r="311" spans="1:111" x14ac:dyDescent="0.2">
      <c r="A311">
        <v>2025</v>
      </c>
      <c r="B311" s="1">
        <v>45954</v>
      </c>
      <c r="C311" t="s">
        <v>95</v>
      </c>
      <c r="D311">
        <v>605483</v>
      </c>
      <c r="E311">
        <v>672386</v>
      </c>
      <c r="F311">
        <v>0</v>
      </c>
      <c r="G311">
        <v>0</v>
      </c>
      <c r="H311">
        <v>1</v>
      </c>
      <c r="I311" t="s">
        <v>163</v>
      </c>
      <c r="J311">
        <v>8</v>
      </c>
      <c r="K311">
        <v>1</v>
      </c>
      <c r="L311" t="s">
        <v>97</v>
      </c>
      <c r="M311" t="s">
        <v>98</v>
      </c>
      <c r="N311" t="s">
        <v>99</v>
      </c>
      <c r="O311">
        <f t="shared" si="64"/>
        <v>0</v>
      </c>
      <c r="P311">
        <f t="shared" si="65"/>
        <v>0</v>
      </c>
      <c r="Q311">
        <f t="shared" si="66"/>
        <v>1</v>
      </c>
      <c r="R311">
        <f t="shared" si="67"/>
        <v>0</v>
      </c>
      <c r="S311">
        <f t="shared" si="68"/>
        <v>0</v>
      </c>
      <c r="T311">
        <f t="shared" si="69"/>
        <v>0</v>
      </c>
      <c r="U311">
        <f t="shared" si="70"/>
        <v>0</v>
      </c>
      <c r="V311">
        <f t="shared" si="71"/>
        <v>0</v>
      </c>
      <c r="W311">
        <f t="shared" si="72"/>
        <v>0</v>
      </c>
      <c r="X311">
        <f t="shared" si="73"/>
        <v>0</v>
      </c>
      <c r="Y311">
        <f t="shared" si="74"/>
        <v>0</v>
      </c>
      <c r="Z311">
        <f t="shared" si="75"/>
        <v>0</v>
      </c>
      <c r="AA311">
        <f t="shared" si="76"/>
        <v>0</v>
      </c>
      <c r="AB311">
        <f t="shared" si="77"/>
        <v>0</v>
      </c>
      <c r="AC311">
        <f t="shared" si="78"/>
        <v>0</v>
      </c>
      <c r="AD311">
        <f t="shared" si="79"/>
        <v>0</v>
      </c>
      <c r="AE311">
        <v>96.5</v>
      </c>
      <c r="AF311">
        <v>1.99</v>
      </c>
      <c r="AG311">
        <v>6.56</v>
      </c>
      <c r="AH311" t="s">
        <v>100</v>
      </c>
      <c r="AI311" t="s">
        <v>97</v>
      </c>
      <c r="AJ311" t="s">
        <v>97</v>
      </c>
      <c r="AK311" t="s">
        <v>97</v>
      </c>
      <c r="AL311" t="s">
        <v>97</v>
      </c>
      <c r="AM311">
        <v>12</v>
      </c>
      <c r="AN311" t="s">
        <v>101</v>
      </c>
      <c r="AO311" t="s">
        <v>213</v>
      </c>
      <c r="AP311" t="s">
        <v>122</v>
      </c>
      <c r="AQ311" t="s">
        <v>103</v>
      </c>
      <c r="AR311" t="s">
        <v>214</v>
      </c>
      <c r="AS311" t="s">
        <v>104</v>
      </c>
      <c r="AT311" t="s">
        <v>106</v>
      </c>
      <c r="AU311" t="s">
        <v>97</v>
      </c>
      <c r="AV311" t="s">
        <v>97</v>
      </c>
      <c r="AW311">
        <v>0.32</v>
      </c>
      <c r="AX311">
        <v>1.5</v>
      </c>
      <c r="AY311">
        <v>0.39</v>
      </c>
      <c r="AZ311">
        <v>3.44</v>
      </c>
      <c r="BA311">
        <v>665489</v>
      </c>
      <c r="BB311" t="s">
        <v>97</v>
      </c>
      <c r="BC311">
        <v>666182</v>
      </c>
      <c r="BD311">
        <v>2</v>
      </c>
      <c r="BE311" t="s">
        <v>97</v>
      </c>
      <c r="BF311" t="s">
        <v>97</v>
      </c>
      <c r="BG311" t="s">
        <v>97</v>
      </c>
      <c r="BH311" t="s">
        <v>97</v>
      </c>
      <c r="BI311">
        <v>669257</v>
      </c>
      <c r="BJ311">
        <v>669257</v>
      </c>
      <c r="BK311" t="s">
        <v>97</v>
      </c>
      <c r="BL311" t="s">
        <v>97</v>
      </c>
      <c r="BM311">
        <v>-5.013557563</v>
      </c>
      <c r="BN311">
        <v>-140.20439619999999</v>
      </c>
      <c r="BO311">
        <v>-6.1246208720000004</v>
      </c>
      <c r="BP311">
        <v>5.4797514969999996</v>
      </c>
      <c r="BQ311">
        <v>35.962418730000003</v>
      </c>
      <c r="BR311">
        <v>-11.282174919999999</v>
      </c>
      <c r="BS311">
        <v>3.19</v>
      </c>
      <c r="BT311">
        <v>1.48</v>
      </c>
      <c r="BU311" t="s">
        <v>97</v>
      </c>
      <c r="BV311" t="s">
        <v>97</v>
      </c>
      <c r="BW311" t="s">
        <v>97</v>
      </c>
      <c r="BX311">
        <v>96.8</v>
      </c>
      <c r="BY311">
        <v>2538</v>
      </c>
      <c r="BZ311">
        <v>6.8</v>
      </c>
      <c r="CA311">
        <v>813027</v>
      </c>
      <c r="CB311">
        <v>669257</v>
      </c>
      <c r="CC311">
        <v>669257</v>
      </c>
      <c r="CD311">
        <v>518692</v>
      </c>
      <c r="CE311">
        <v>669242</v>
      </c>
      <c r="CF311">
        <v>571970</v>
      </c>
      <c r="CG311">
        <v>605141</v>
      </c>
      <c r="CH311">
        <v>571771</v>
      </c>
      <c r="CI311">
        <v>681624</v>
      </c>
      <c r="CJ311">
        <v>606192</v>
      </c>
      <c r="CK311">
        <v>53.67</v>
      </c>
      <c r="CL311" t="s">
        <v>97</v>
      </c>
      <c r="CM311" t="s">
        <v>97</v>
      </c>
      <c r="CN311" t="s">
        <v>97</v>
      </c>
      <c r="CO311" t="s">
        <v>97</v>
      </c>
      <c r="CP311" t="s">
        <v>97</v>
      </c>
      <c r="CQ311" t="s">
        <v>97</v>
      </c>
      <c r="CR311" t="s">
        <v>97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 t="s">
        <v>107</v>
      </c>
      <c r="DB311" t="s">
        <v>107</v>
      </c>
      <c r="DC311">
        <v>165</v>
      </c>
      <c r="DD311">
        <v>0</v>
      </c>
      <c r="DE311">
        <v>8.9999999999999993E-3</v>
      </c>
      <c r="DF311" t="s">
        <v>97</v>
      </c>
      <c r="DG311" t="s">
        <v>97</v>
      </c>
    </row>
    <row r="312" spans="1:111" x14ac:dyDescent="0.2">
      <c r="A312">
        <v>2025</v>
      </c>
      <c r="B312" s="1">
        <v>45954</v>
      </c>
      <c r="C312" t="s">
        <v>95</v>
      </c>
      <c r="D312">
        <v>605483</v>
      </c>
      <c r="E312">
        <v>672386</v>
      </c>
      <c r="F312">
        <v>1</v>
      </c>
      <c r="G312">
        <v>0</v>
      </c>
      <c r="H312">
        <v>1</v>
      </c>
      <c r="I312" t="s">
        <v>163</v>
      </c>
      <c r="J312">
        <v>8</v>
      </c>
      <c r="K312">
        <v>2</v>
      </c>
      <c r="L312" t="s">
        <v>97</v>
      </c>
      <c r="M312" t="s">
        <v>132</v>
      </c>
      <c r="N312" t="s">
        <v>133</v>
      </c>
      <c r="O312">
        <f t="shared" si="64"/>
        <v>0</v>
      </c>
      <c r="P312">
        <f t="shared" si="65"/>
        <v>0</v>
      </c>
      <c r="Q312">
        <f t="shared" si="66"/>
        <v>0</v>
      </c>
      <c r="R312">
        <f t="shared" si="67"/>
        <v>0</v>
      </c>
      <c r="S312">
        <f t="shared" si="68"/>
        <v>0</v>
      </c>
      <c r="T312">
        <f t="shared" si="69"/>
        <v>0</v>
      </c>
      <c r="U312">
        <f t="shared" si="70"/>
        <v>0</v>
      </c>
      <c r="V312">
        <f t="shared" si="71"/>
        <v>0</v>
      </c>
      <c r="W312">
        <f t="shared" si="72"/>
        <v>0</v>
      </c>
      <c r="X312">
        <f t="shared" si="73"/>
        <v>1</v>
      </c>
      <c r="Y312">
        <f t="shared" si="74"/>
        <v>0</v>
      </c>
      <c r="Z312">
        <f t="shared" si="75"/>
        <v>0</v>
      </c>
      <c r="AA312">
        <f t="shared" si="76"/>
        <v>0</v>
      </c>
      <c r="AB312">
        <f t="shared" si="77"/>
        <v>0</v>
      </c>
      <c r="AC312">
        <f t="shared" si="78"/>
        <v>0</v>
      </c>
      <c r="AD312">
        <f t="shared" si="79"/>
        <v>0</v>
      </c>
      <c r="AE312">
        <v>86.3</v>
      </c>
      <c r="AF312">
        <v>2.31</v>
      </c>
      <c r="AG312">
        <v>6.33</v>
      </c>
      <c r="AH312" t="s">
        <v>129</v>
      </c>
      <c r="AI312" t="s">
        <v>97</v>
      </c>
      <c r="AJ312" t="s">
        <v>97</v>
      </c>
      <c r="AK312" t="s">
        <v>97</v>
      </c>
      <c r="AL312" t="s">
        <v>97</v>
      </c>
      <c r="AM312">
        <v>6</v>
      </c>
      <c r="AN312" t="s">
        <v>130</v>
      </c>
      <c r="AO312" t="s">
        <v>213</v>
      </c>
      <c r="AP312" t="s">
        <v>122</v>
      </c>
      <c r="AQ312" t="s">
        <v>103</v>
      </c>
      <c r="AR312" t="s">
        <v>214</v>
      </c>
      <c r="AS312" t="s">
        <v>104</v>
      </c>
      <c r="AT312" t="s">
        <v>110</v>
      </c>
      <c r="AU312" t="s">
        <v>97</v>
      </c>
      <c r="AV312" t="s">
        <v>97</v>
      </c>
      <c r="AW312">
        <v>1.06</v>
      </c>
      <c r="AX312">
        <v>0.93</v>
      </c>
      <c r="AY312">
        <v>0.4</v>
      </c>
      <c r="AZ312">
        <v>2.23</v>
      </c>
      <c r="BA312">
        <v>665489</v>
      </c>
      <c r="BB312" t="s">
        <v>97</v>
      </c>
      <c r="BC312">
        <v>666182</v>
      </c>
      <c r="BD312">
        <v>2</v>
      </c>
      <c r="BE312" t="s">
        <v>97</v>
      </c>
      <c r="BF312" t="s">
        <v>97</v>
      </c>
      <c r="BG312" t="s">
        <v>97</v>
      </c>
      <c r="BH312" t="s">
        <v>97</v>
      </c>
      <c r="BI312">
        <v>669257</v>
      </c>
      <c r="BJ312">
        <v>669257</v>
      </c>
      <c r="BK312" t="s">
        <v>97</v>
      </c>
      <c r="BL312" t="s">
        <v>97</v>
      </c>
      <c r="BM312">
        <v>-6.7737399160000002</v>
      </c>
      <c r="BN312">
        <v>-125.3945985</v>
      </c>
      <c r="BO312">
        <v>-5.4103408230000003</v>
      </c>
      <c r="BP312">
        <v>12.63218022</v>
      </c>
      <c r="BQ312">
        <v>26.648323560000001</v>
      </c>
      <c r="BR312">
        <v>-21.474130389999999</v>
      </c>
      <c r="BS312">
        <v>3.1</v>
      </c>
      <c r="BT312">
        <v>1.49</v>
      </c>
      <c r="BU312">
        <v>198</v>
      </c>
      <c r="BV312">
        <v>67.599999999999994</v>
      </c>
      <c r="BW312">
        <v>28</v>
      </c>
      <c r="BX312">
        <v>86.9</v>
      </c>
      <c r="BY312">
        <v>1804</v>
      </c>
      <c r="BZ312">
        <v>6.9</v>
      </c>
      <c r="CA312">
        <v>813027</v>
      </c>
      <c r="CB312">
        <v>669257</v>
      </c>
      <c r="CC312">
        <v>669257</v>
      </c>
      <c r="CD312">
        <v>518692</v>
      </c>
      <c r="CE312">
        <v>669242</v>
      </c>
      <c r="CF312">
        <v>571970</v>
      </c>
      <c r="CG312">
        <v>605141</v>
      </c>
      <c r="CH312">
        <v>571771</v>
      </c>
      <c r="CI312">
        <v>681624</v>
      </c>
      <c r="CJ312">
        <v>606192</v>
      </c>
      <c r="CK312">
        <v>53.65</v>
      </c>
      <c r="CL312" t="s">
        <v>97</v>
      </c>
      <c r="CM312" t="s">
        <v>97</v>
      </c>
      <c r="CN312" t="s">
        <v>97</v>
      </c>
      <c r="CO312" t="s">
        <v>97</v>
      </c>
      <c r="CP312" t="s">
        <v>97</v>
      </c>
      <c r="CQ312" t="s">
        <v>97</v>
      </c>
      <c r="CR312" t="s">
        <v>97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 t="s">
        <v>107</v>
      </c>
      <c r="DB312" t="s">
        <v>107</v>
      </c>
      <c r="DC312">
        <v>131</v>
      </c>
      <c r="DD312">
        <v>0</v>
      </c>
      <c r="DE312">
        <v>-3.6999999999999998E-2</v>
      </c>
      <c r="DF312">
        <v>73.8</v>
      </c>
      <c r="DG312">
        <v>6.8</v>
      </c>
    </row>
    <row r="313" spans="1:111" x14ac:dyDescent="0.2">
      <c r="A313">
        <v>2025</v>
      </c>
      <c r="B313" s="1">
        <v>45954</v>
      </c>
      <c r="C313" t="s">
        <v>95</v>
      </c>
      <c r="D313">
        <v>605483</v>
      </c>
      <c r="E313">
        <v>672386</v>
      </c>
      <c r="F313">
        <v>1</v>
      </c>
      <c r="G313">
        <v>1</v>
      </c>
      <c r="H313">
        <v>1</v>
      </c>
      <c r="I313" t="s">
        <v>163</v>
      </c>
      <c r="J313">
        <v>8</v>
      </c>
      <c r="K313">
        <v>3</v>
      </c>
      <c r="L313" t="s">
        <v>97</v>
      </c>
      <c r="M313" t="s">
        <v>98</v>
      </c>
      <c r="N313" t="s">
        <v>99</v>
      </c>
      <c r="O313">
        <f t="shared" si="64"/>
        <v>1</v>
      </c>
      <c r="P313">
        <f t="shared" si="65"/>
        <v>0</v>
      </c>
      <c r="Q313">
        <f t="shared" si="66"/>
        <v>0</v>
      </c>
      <c r="R313">
        <f t="shared" si="67"/>
        <v>0</v>
      </c>
      <c r="S313">
        <f t="shared" si="68"/>
        <v>0</v>
      </c>
      <c r="T313">
        <f t="shared" si="69"/>
        <v>0</v>
      </c>
      <c r="U313">
        <f t="shared" si="70"/>
        <v>0</v>
      </c>
      <c r="V313">
        <f t="shared" si="71"/>
        <v>0</v>
      </c>
      <c r="W313">
        <f t="shared" si="72"/>
        <v>0</v>
      </c>
      <c r="X313">
        <f t="shared" si="73"/>
        <v>0</v>
      </c>
      <c r="Y313">
        <f t="shared" si="74"/>
        <v>0</v>
      </c>
      <c r="Z313">
        <f t="shared" si="75"/>
        <v>0</v>
      </c>
      <c r="AA313">
        <f t="shared" si="76"/>
        <v>0</v>
      </c>
      <c r="AB313">
        <f t="shared" si="77"/>
        <v>0</v>
      </c>
      <c r="AC313">
        <f t="shared" si="78"/>
        <v>0</v>
      </c>
      <c r="AD313">
        <f t="shared" si="79"/>
        <v>0</v>
      </c>
      <c r="AE313">
        <v>96.2</v>
      </c>
      <c r="AF313">
        <v>2</v>
      </c>
      <c r="AG313">
        <v>6.55</v>
      </c>
      <c r="AH313" t="s">
        <v>100</v>
      </c>
      <c r="AI313" t="s">
        <v>97</v>
      </c>
      <c r="AJ313" t="s">
        <v>97</v>
      </c>
      <c r="AK313" t="s">
        <v>97</v>
      </c>
      <c r="AL313" t="s">
        <v>97</v>
      </c>
      <c r="AM313">
        <v>11</v>
      </c>
      <c r="AN313" t="s">
        <v>101</v>
      </c>
      <c r="AO313" t="s">
        <v>213</v>
      </c>
      <c r="AP313" t="s">
        <v>122</v>
      </c>
      <c r="AQ313" t="s">
        <v>103</v>
      </c>
      <c r="AR313" t="s">
        <v>214</v>
      </c>
      <c r="AS313" t="s">
        <v>104</v>
      </c>
      <c r="AT313" t="s">
        <v>106</v>
      </c>
      <c r="AU313" t="s">
        <v>97</v>
      </c>
      <c r="AV313" t="s">
        <v>97</v>
      </c>
      <c r="AW313">
        <v>7.0000000000000007E-2</v>
      </c>
      <c r="AX313">
        <v>1.47</v>
      </c>
      <c r="AY313">
        <v>-0.12</v>
      </c>
      <c r="AZ313">
        <v>4.34</v>
      </c>
      <c r="BA313">
        <v>665489</v>
      </c>
      <c r="BB313" t="s">
        <v>97</v>
      </c>
      <c r="BC313">
        <v>666182</v>
      </c>
      <c r="BD313">
        <v>2</v>
      </c>
      <c r="BE313" t="s">
        <v>97</v>
      </c>
      <c r="BF313" t="s">
        <v>97</v>
      </c>
      <c r="BG313" t="s">
        <v>97</v>
      </c>
      <c r="BH313" t="s">
        <v>97</v>
      </c>
      <c r="BI313">
        <v>669257</v>
      </c>
      <c r="BJ313">
        <v>669257</v>
      </c>
      <c r="BK313" t="s">
        <v>97</v>
      </c>
      <c r="BL313" t="s">
        <v>97</v>
      </c>
      <c r="BM313">
        <v>-5.8268824029999999</v>
      </c>
      <c r="BN313">
        <v>-139.9966283</v>
      </c>
      <c r="BO313">
        <v>-3.6206868160000001</v>
      </c>
      <c r="BP313">
        <v>2.3729828460000002</v>
      </c>
      <c r="BQ313">
        <v>33.786329459999997</v>
      </c>
      <c r="BR313">
        <v>-12.297921949999999</v>
      </c>
      <c r="BS313">
        <v>3.09</v>
      </c>
      <c r="BT313">
        <v>1.47</v>
      </c>
      <c r="BU313" t="s">
        <v>97</v>
      </c>
      <c r="BV313" t="s">
        <v>97</v>
      </c>
      <c r="BW313" t="s">
        <v>97</v>
      </c>
      <c r="BX313">
        <v>96.8</v>
      </c>
      <c r="BY313">
        <v>2386</v>
      </c>
      <c r="BZ313">
        <v>6.8</v>
      </c>
      <c r="CA313">
        <v>813027</v>
      </c>
      <c r="CB313">
        <v>669257</v>
      </c>
      <c r="CC313">
        <v>669257</v>
      </c>
      <c r="CD313">
        <v>518692</v>
      </c>
      <c r="CE313">
        <v>669242</v>
      </c>
      <c r="CF313">
        <v>571970</v>
      </c>
      <c r="CG313">
        <v>605141</v>
      </c>
      <c r="CH313">
        <v>571771</v>
      </c>
      <c r="CI313">
        <v>681624</v>
      </c>
      <c r="CJ313">
        <v>606192</v>
      </c>
      <c r="CK313">
        <v>53.69</v>
      </c>
      <c r="CL313" t="s">
        <v>97</v>
      </c>
      <c r="CM313" t="s">
        <v>97</v>
      </c>
      <c r="CN313" t="s">
        <v>97</v>
      </c>
      <c r="CO313" t="s">
        <v>97</v>
      </c>
      <c r="CP313" t="s">
        <v>97</v>
      </c>
      <c r="CQ313" t="s">
        <v>97</v>
      </c>
      <c r="CR313" t="s">
        <v>97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 t="s">
        <v>107</v>
      </c>
      <c r="DB313" t="s">
        <v>107</v>
      </c>
      <c r="DC313">
        <v>163</v>
      </c>
      <c r="DD313">
        <v>0</v>
      </c>
      <c r="DE313">
        <v>0.03</v>
      </c>
      <c r="DF313" t="s">
        <v>97</v>
      </c>
      <c r="DG313" t="s">
        <v>97</v>
      </c>
    </row>
    <row r="314" spans="1:111" x14ac:dyDescent="0.2">
      <c r="A314">
        <v>2025</v>
      </c>
      <c r="B314" s="1">
        <v>45954</v>
      </c>
      <c r="C314" t="s">
        <v>95</v>
      </c>
      <c r="D314">
        <v>605483</v>
      </c>
      <c r="E314">
        <v>672386</v>
      </c>
      <c r="F314">
        <v>2</v>
      </c>
      <c r="G314">
        <v>1</v>
      </c>
      <c r="H314">
        <v>1</v>
      </c>
      <c r="I314" t="s">
        <v>163</v>
      </c>
      <c r="J314">
        <v>8</v>
      </c>
      <c r="K314">
        <v>4</v>
      </c>
      <c r="L314" t="s">
        <v>97</v>
      </c>
      <c r="M314" t="s">
        <v>98</v>
      </c>
      <c r="N314" t="s">
        <v>99</v>
      </c>
      <c r="O314">
        <f t="shared" si="64"/>
        <v>0</v>
      </c>
      <c r="P314">
        <f t="shared" si="65"/>
        <v>1</v>
      </c>
      <c r="Q314">
        <f t="shared" si="66"/>
        <v>0</v>
      </c>
      <c r="R314">
        <f t="shared" si="67"/>
        <v>0</v>
      </c>
      <c r="S314">
        <f t="shared" si="68"/>
        <v>0</v>
      </c>
      <c r="T314">
        <f t="shared" si="69"/>
        <v>0</v>
      </c>
      <c r="U314">
        <f t="shared" si="70"/>
        <v>0</v>
      </c>
      <c r="V314">
        <f t="shared" si="71"/>
        <v>0</v>
      </c>
      <c r="W314">
        <f t="shared" si="72"/>
        <v>0</v>
      </c>
      <c r="X314">
        <f t="shared" si="73"/>
        <v>0</v>
      </c>
      <c r="Y314">
        <f t="shared" si="74"/>
        <v>0</v>
      </c>
      <c r="Z314">
        <f t="shared" si="75"/>
        <v>0</v>
      </c>
      <c r="AA314">
        <f t="shared" si="76"/>
        <v>0</v>
      </c>
      <c r="AB314">
        <f t="shared" si="77"/>
        <v>0</v>
      </c>
      <c r="AC314">
        <f t="shared" si="78"/>
        <v>0</v>
      </c>
      <c r="AD314">
        <f t="shared" si="79"/>
        <v>0</v>
      </c>
      <c r="AE314">
        <v>96.1</v>
      </c>
      <c r="AF314">
        <v>1.97</v>
      </c>
      <c r="AG314">
        <v>6.54</v>
      </c>
      <c r="AH314" t="s">
        <v>100</v>
      </c>
      <c r="AI314" t="s">
        <v>97</v>
      </c>
      <c r="AJ314" t="s">
        <v>97</v>
      </c>
      <c r="AK314" t="s">
        <v>97</v>
      </c>
      <c r="AL314" t="s">
        <v>97</v>
      </c>
      <c r="AM314">
        <v>11</v>
      </c>
      <c r="AN314" t="s">
        <v>101</v>
      </c>
      <c r="AO314" t="s">
        <v>213</v>
      </c>
      <c r="AP314" t="s">
        <v>122</v>
      </c>
      <c r="AQ314" t="s">
        <v>103</v>
      </c>
      <c r="AR314" t="s">
        <v>214</v>
      </c>
      <c r="AS314" t="s">
        <v>104</v>
      </c>
      <c r="AT314" t="s">
        <v>106</v>
      </c>
      <c r="AU314" t="s">
        <v>97</v>
      </c>
      <c r="AV314" t="s">
        <v>97</v>
      </c>
      <c r="AW314">
        <v>0.12</v>
      </c>
      <c r="AX314">
        <v>1.55</v>
      </c>
      <c r="AY314">
        <v>-1.17</v>
      </c>
      <c r="AZ314">
        <v>3.58</v>
      </c>
      <c r="BA314">
        <v>665489</v>
      </c>
      <c r="BB314" t="s">
        <v>97</v>
      </c>
      <c r="BC314">
        <v>666182</v>
      </c>
      <c r="BD314">
        <v>2</v>
      </c>
      <c r="BE314" t="s">
        <v>97</v>
      </c>
      <c r="BF314" t="s">
        <v>97</v>
      </c>
      <c r="BG314" t="s">
        <v>97</v>
      </c>
      <c r="BH314" t="s">
        <v>97</v>
      </c>
      <c r="BI314">
        <v>669257</v>
      </c>
      <c r="BJ314">
        <v>669257</v>
      </c>
      <c r="BK314" t="s">
        <v>97</v>
      </c>
      <c r="BL314" t="s">
        <v>97</v>
      </c>
      <c r="BM314">
        <v>-8.6780870649999997</v>
      </c>
      <c r="BN314">
        <v>-139.5272271</v>
      </c>
      <c r="BO314">
        <v>-5.7296600340000001</v>
      </c>
      <c r="BP314">
        <v>3.7465289209999999</v>
      </c>
      <c r="BQ314">
        <v>35.297448039999999</v>
      </c>
      <c r="BR314">
        <v>-10.86611854</v>
      </c>
      <c r="BS314">
        <v>3.1</v>
      </c>
      <c r="BT314">
        <v>1.54</v>
      </c>
      <c r="BU314" t="s">
        <v>97</v>
      </c>
      <c r="BV314" t="s">
        <v>97</v>
      </c>
      <c r="BW314" t="s">
        <v>97</v>
      </c>
      <c r="BX314">
        <v>96.4</v>
      </c>
      <c r="BY314">
        <v>2456</v>
      </c>
      <c r="BZ314">
        <v>6.9</v>
      </c>
      <c r="CA314">
        <v>813027</v>
      </c>
      <c r="CB314">
        <v>669257</v>
      </c>
      <c r="CC314">
        <v>669257</v>
      </c>
      <c r="CD314">
        <v>518692</v>
      </c>
      <c r="CE314">
        <v>669242</v>
      </c>
      <c r="CF314">
        <v>571970</v>
      </c>
      <c r="CG314">
        <v>605141</v>
      </c>
      <c r="CH314">
        <v>571771</v>
      </c>
      <c r="CI314">
        <v>681624</v>
      </c>
      <c r="CJ314">
        <v>606192</v>
      </c>
      <c r="CK314">
        <v>53.62</v>
      </c>
      <c r="CL314" t="s">
        <v>97</v>
      </c>
      <c r="CM314" t="s">
        <v>97</v>
      </c>
      <c r="CN314" t="s">
        <v>97</v>
      </c>
      <c r="CO314" t="s">
        <v>97</v>
      </c>
      <c r="CP314" t="s">
        <v>97</v>
      </c>
      <c r="CQ314" t="s">
        <v>97</v>
      </c>
      <c r="CR314" t="s">
        <v>97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 t="s">
        <v>107</v>
      </c>
      <c r="DB314" t="s">
        <v>107</v>
      </c>
      <c r="DC314">
        <v>160</v>
      </c>
      <c r="DD314">
        <v>0</v>
      </c>
      <c r="DE314">
        <v>6.5000000000000002E-2</v>
      </c>
      <c r="DF314" t="s">
        <v>97</v>
      </c>
      <c r="DG314" t="s">
        <v>97</v>
      </c>
    </row>
    <row r="315" spans="1:111" x14ac:dyDescent="0.2">
      <c r="A315">
        <v>2025</v>
      </c>
      <c r="B315" s="1">
        <v>45954</v>
      </c>
      <c r="C315" t="s">
        <v>95</v>
      </c>
      <c r="D315">
        <v>605483</v>
      </c>
      <c r="E315">
        <v>672386</v>
      </c>
      <c r="F315">
        <v>3</v>
      </c>
      <c r="G315">
        <v>1</v>
      </c>
      <c r="H315">
        <v>1</v>
      </c>
      <c r="I315" t="s">
        <v>163</v>
      </c>
      <c r="J315">
        <v>8</v>
      </c>
      <c r="K315">
        <v>5</v>
      </c>
      <c r="L315" t="s">
        <v>97</v>
      </c>
      <c r="M315" t="s">
        <v>111</v>
      </c>
      <c r="N315" t="s">
        <v>112</v>
      </c>
      <c r="O315">
        <f t="shared" si="64"/>
        <v>0</v>
      </c>
      <c r="P315">
        <f t="shared" si="65"/>
        <v>0</v>
      </c>
      <c r="Q315">
        <f t="shared" si="66"/>
        <v>0</v>
      </c>
      <c r="R315">
        <f t="shared" si="67"/>
        <v>0</v>
      </c>
      <c r="S315">
        <f t="shared" si="68"/>
        <v>0</v>
      </c>
      <c r="T315">
        <f t="shared" si="69"/>
        <v>1</v>
      </c>
      <c r="U315">
        <f t="shared" si="70"/>
        <v>0</v>
      </c>
      <c r="V315">
        <f t="shared" si="71"/>
        <v>0</v>
      </c>
      <c r="W315">
        <f t="shared" si="72"/>
        <v>0</v>
      </c>
      <c r="X315">
        <f t="shared" si="73"/>
        <v>0</v>
      </c>
      <c r="Y315">
        <f t="shared" si="74"/>
        <v>0</v>
      </c>
      <c r="Z315">
        <f t="shared" si="75"/>
        <v>0</v>
      </c>
      <c r="AA315">
        <f t="shared" si="76"/>
        <v>0</v>
      </c>
      <c r="AB315">
        <f t="shared" si="77"/>
        <v>0</v>
      </c>
      <c r="AC315">
        <f t="shared" si="78"/>
        <v>0</v>
      </c>
      <c r="AD315">
        <f t="shared" si="79"/>
        <v>0</v>
      </c>
      <c r="AE315">
        <v>81</v>
      </c>
      <c r="AF315">
        <v>1.96</v>
      </c>
      <c r="AG315">
        <v>6.57</v>
      </c>
      <c r="AH315" t="s">
        <v>129</v>
      </c>
      <c r="AI315" t="s">
        <v>97</v>
      </c>
      <c r="AJ315" t="s">
        <v>97</v>
      </c>
      <c r="AK315" t="s">
        <v>97</v>
      </c>
      <c r="AL315" t="s">
        <v>97</v>
      </c>
      <c r="AM315">
        <v>5</v>
      </c>
      <c r="AN315" t="s">
        <v>130</v>
      </c>
      <c r="AO315" t="s">
        <v>213</v>
      </c>
      <c r="AP315" t="s">
        <v>122</v>
      </c>
      <c r="AQ315" t="s">
        <v>103</v>
      </c>
      <c r="AR315" t="s">
        <v>214</v>
      </c>
      <c r="AS315" t="s">
        <v>104</v>
      </c>
      <c r="AT315" t="s">
        <v>110</v>
      </c>
      <c r="AU315" t="s">
        <v>97</v>
      </c>
      <c r="AV315" t="s">
        <v>97</v>
      </c>
      <c r="AW315">
        <v>-1.06</v>
      </c>
      <c r="AX315">
        <v>-0.43</v>
      </c>
      <c r="AY315">
        <v>-0.09</v>
      </c>
      <c r="AZ315">
        <v>2.19</v>
      </c>
      <c r="BA315">
        <v>665489</v>
      </c>
      <c r="BB315" t="s">
        <v>97</v>
      </c>
      <c r="BC315">
        <v>666182</v>
      </c>
      <c r="BD315">
        <v>2</v>
      </c>
      <c r="BE315" t="s">
        <v>97</v>
      </c>
      <c r="BF315" t="s">
        <v>97</v>
      </c>
      <c r="BG315" t="s">
        <v>97</v>
      </c>
      <c r="BH315" t="s">
        <v>97</v>
      </c>
      <c r="BI315">
        <v>669257</v>
      </c>
      <c r="BJ315">
        <v>669257</v>
      </c>
      <c r="BK315" t="s">
        <v>97</v>
      </c>
      <c r="BL315" t="s">
        <v>97</v>
      </c>
      <c r="BM315">
        <v>-2.5570275690000002</v>
      </c>
      <c r="BN315">
        <v>-117.91526519999999</v>
      </c>
      <c r="BO315">
        <v>-2.2234936150000002</v>
      </c>
      <c r="BP315">
        <v>-9.2195728020000001</v>
      </c>
      <c r="BQ315">
        <v>26.152549919999998</v>
      </c>
      <c r="BR315">
        <v>-35.886362200000001</v>
      </c>
      <c r="BS315">
        <v>3.1</v>
      </c>
      <c r="BT315">
        <v>1.49</v>
      </c>
      <c r="BU315">
        <v>178</v>
      </c>
      <c r="BV315">
        <v>72.5</v>
      </c>
      <c r="BW315">
        <v>30</v>
      </c>
      <c r="BX315">
        <v>81</v>
      </c>
      <c r="BY315">
        <v>2727</v>
      </c>
      <c r="BZ315">
        <v>6.7</v>
      </c>
      <c r="CA315">
        <v>813027</v>
      </c>
      <c r="CB315">
        <v>669257</v>
      </c>
      <c r="CC315">
        <v>669257</v>
      </c>
      <c r="CD315">
        <v>518692</v>
      </c>
      <c r="CE315">
        <v>669242</v>
      </c>
      <c r="CF315">
        <v>571970</v>
      </c>
      <c r="CG315">
        <v>605141</v>
      </c>
      <c r="CH315">
        <v>571771</v>
      </c>
      <c r="CI315">
        <v>681624</v>
      </c>
      <c r="CJ315">
        <v>606192</v>
      </c>
      <c r="CK315">
        <v>53.84</v>
      </c>
      <c r="CL315" t="s">
        <v>97</v>
      </c>
      <c r="CM315" t="s">
        <v>97</v>
      </c>
      <c r="CN315" t="s">
        <v>97</v>
      </c>
      <c r="CO315" t="s">
        <v>97</v>
      </c>
      <c r="CP315" t="s">
        <v>97</v>
      </c>
      <c r="CQ315" t="s">
        <v>97</v>
      </c>
      <c r="CR315" t="s">
        <v>97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 t="s">
        <v>107</v>
      </c>
      <c r="DB315" t="s">
        <v>107</v>
      </c>
      <c r="DC315">
        <v>324</v>
      </c>
      <c r="DD315">
        <v>0</v>
      </c>
      <c r="DE315">
        <v>-5.2999999999999999E-2</v>
      </c>
      <c r="DF315">
        <v>64.7</v>
      </c>
      <c r="DG315">
        <v>5.7</v>
      </c>
    </row>
    <row r="316" spans="1:111" x14ac:dyDescent="0.2">
      <c r="A316">
        <v>2025</v>
      </c>
      <c r="B316" s="1">
        <v>45954</v>
      </c>
      <c r="C316" t="s">
        <v>95</v>
      </c>
      <c r="D316">
        <v>605483</v>
      </c>
      <c r="E316">
        <v>672386</v>
      </c>
      <c r="F316">
        <v>3</v>
      </c>
      <c r="G316">
        <v>2</v>
      </c>
      <c r="H316">
        <v>1</v>
      </c>
      <c r="I316" t="s">
        <v>163</v>
      </c>
      <c r="J316">
        <v>8</v>
      </c>
      <c r="K316">
        <v>6</v>
      </c>
      <c r="L316" t="s">
        <v>97</v>
      </c>
      <c r="M316" t="s">
        <v>98</v>
      </c>
      <c r="N316" t="s">
        <v>99</v>
      </c>
      <c r="O316">
        <f t="shared" si="64"/>
        <v>1</v>
      </c>
      <c r="P316">
        <f t="shared" si="65"/>
        <v>0</v>
      </c>
      <c r="Q316">
        <f t="shared" si="66"/>
        <v>0</v>
      </c>
      <c r="R316">
        <f t="shared" si="67"/>
        <v>0</v>
      </c>
      <c r="S316">
        <f t="shared" si="68"/>
        <v>0</v>
      </c>
      <c r="T316">
        <f t="shared" si="69"/>
        <v>0</v>
      </c>
      <c r="U316">
        <f t="shared" si="70"/>
        <v>0</v>
      </c>
      <c r="V316">
        <f t="shared" si="71"/>
        <v>0</v>
      </c>
      <c r="W316">
        <f t="shared" si="72"/>
        <v>0</v>
      </c>
      <c r="X316">
        <f t="shared" si="73"/>
        <v>0</v>
      </c>
      <c r="Y316">
        <f t="shared" si="74"/>
        <v>0</v>
      </c>
      <c r="Z316">
        <f t="shared" si="75"/>
        <v>0</v>
      </c>
      <c r="AA316">
        <f t="shared" si="76"/>
        <v>0</v>
      </c>
      <c r="AB316">
        <f t="shared" si="77"/>
        <v>0</v>
      </c>
      <c r="AC316">
        <f t="shared" si="78"/>
        <v>0</v>
      </c>
      <c r="AD316">
        <f t="shared" si="79"/>
        <v>0</v>
      </c>
      <c r="AE316">
        <v>96.9</v>
      </c>
      <c r="AF316">
        <v>1.88</v>
      </c>
      <c r="AG316">
        <v>6.53</v>
      </c>
      <c r="AH316" t="s">
        <v>129</v>
      </c>
      <c r="AI316" t="s">
        <v>97</v>
      </c>
      <c r="AJ316" t="s">
        <v>97</v>
      </c>
      <c r="AK316" t="s">
        <v>97</v>
      </c>
      <c r="AL316" t="s">
        <v>97</v>
      </c>
      <c r="AM316">
        <v>11</v>
      </c>
      <c r="AN316" t="s">
        <v>130</v>
      </c>
      <c r="AO316" t="s">
        <v>213</v>
      </c>
      <c r="AP316" t="s">
        <v>122</v>
      </c>
      <c r="AQ316" t="s">
        <v>103</v>
      </c>
      <c r="AR316" t="s">
        <v>214</v>
      </c>
      <c r="AS316" t="s">
        <v>104</v>
      </c>
      <c r="AT316" t="s">
        <v>110</v>
      </c>
      <c r="AU316" t="s">
        <v>97</v>
      </c>
      <c r="AV316" t="s">
        <v>97</v>
      </c>
      <c r="AW316">
        <v>0.05</v>
      </c>
      <c r="AX316">
        <v>1.73</v>
      </c>
      <c r="AY316">
        <v>-0.22</v>
      </c>
      <c r="AZ316">
        <v>3.43</v>
      </c>
      <c r="BA316">
        <v>665489</v>
      </c>
      <c r="BB316" t="s">
        <v>97</v>
      </c>
      <c r="BC316">
        <v>666182</v>
      </c>
      <c r="BD316">
        <v>2</v>
      </c>
      <c r="BE316" t="s">
        <v>97</v>
      </c>
      <c r="BF316" t="s">
        <v>97</v>
      </c>
      <c r="BG316" t="s">
        <v>97</v>
      </c>
      <c r="BH316" t="s">
        <v>97</v>
      </c>
      <c r="BI316">
        <v>669257</v>
      </c>
      <c r="BJ316">
        <v>669257</v>
      </c>
      <c r="BK316" t="s">
        <v>97</v>
      </c>
      <c r="BL316" t="s">
        <v>97</v>
      </c>
      <c r="BM316">
        <v>-5.7578152979999997</v>
      </c>
      <c r="BN316">
        <v>-140.72332940000001</v>
      </c>
      <c r="BO316">
        <v>-6.637990072</v>
      </c>
      <c r="BP316">
        <v>2.1264205309999999</v>
      </c>
      <c r="BQ316">
        <v>37.111603840000001</v>
      </c>
      <c r="BR316">
        <v>-7.9531775820000004</v>
      </c>
      <c r="BS316">
        <v>3.1</v>
      </c>
      <c r="BT316">
        <v>1.49</v>
      </c>
      <c r="BU316">
        <v>230</v>
      </c>
      <c r="BV316">
        <v>75.900000000000006</v>
      </c>
      <c r="BW316">
        <v>47</v>
      </c>
      <c r="BX316">
        <v>97.1</v>
      </c>
      <c r="BY316">
        <v>2459</v>
      </c>
      <c r="BZ316">
        <v>6.9</v>
      </c>
      <c r="CA316">
        <v>813027</v>
      </c>
      <c r="CB316">
        <v>669257</v>
      </c>
      <c r="CC316">
        <v>669257</v>
      </c>
      <c r="CD316">
        <v>518692</v>
      </c>
      <c r="CE316">
        <v>669242</v>
      </c>
      <c r="CF316">
        <v>571970</v>
      </c>
      <c r="CG316">
        <v>605141</v>
      </c>
      <c r="CH316">
        <v>571771</v>
      </c>
      <c r="CI316">
        <v>681624</v>
      </c>
      <c r="CJ316">
        <v>606192</v>
      </c>
      <c r="CK316">
        <v>53.64</v>
      </c>
      <c r="CL316" t="s">
        <v>97</v>
      </c>
      <c r="CM316" t="s">
        <v>97</v>
      </c>
      <c r="CN316" t="s">
        <v>97</v>
      </c>
      <c r="CO316" t="s">
        <v>97</v>
      </c>
      <c r="CP316" t="s">
        <v>97</v>
      </c>
      <c r="CQ316" t="s">
        <v>97</v>
      </c>
      <c r="CR316" t="s">
        <v>97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 t="s">
        <v>107</v>
      </c>
      <c r="DB316" t="s">
        <v>107</v>
      </c>
      <c r="DC316">
        <v>157</v>
      </c>
      <c r="DD316">
        <v>0</v>
      </c>
      <c r="DE316">
        <v>0</v>
      </c>
      <c r="DF316">
        <v>61.5</v>
      </c>
      <c r="DG316">
        <v>5.6</v>
      </c>
    </row>
    <row r="317" spans="1:111" x14ac:dyDescent="0.2">
      <c r="A317">
        <v>2025</v>
      </c>
      <c r="B317" s="1">
        <v>45954</v>
      </c>
      <c r="C317" t="s">
        <v>95</v>
      </c>
      <c r="D317">
        <v>605483</v>
      </c>
      <c r="E317">
        <v>672386</v>
      </c>
      <c r="F317">
        <v>3</v>
      </c>
      <c r="G317">
        <v>2</v>
      </c>
      <c r="H317">
        <v>1</v>
      </c>
      <c r="I317" t="s">
        <v>163</v>
      </c>
      <c r="J317">
        <v>8</v>
      </c>
      <c r="K317">
        <v>7</v>
      </c>
      <c r="L317" t="s">
        <v>97</v>
      </c>
      <c r="M317" t="s">
        <v>98</v>
      </c>
      <c r="N317" t="s">
        <v>99</v>
      </c>
      <c r="O317">
        <f t="shared" si="64"/>
        <v>1</v>
      </c>
      <c r="P317">
        <f t="shared" si="65"/>
        <v>0</v>
      </c>
      <c r="Q317">
        <f t="shared" si="66"/>
        <v>0</v>
      </c>
      <c r="R317">
        <f t="shared" si="67"/>
        <v>0</v>
      </c>
      <c r="S317">
        <f t="shared" si="68"/>
        <v>0</v>
      </c>
      <c r="T317">
        <f t="shared" si="69"/>
        <v>0</v>
      </c>
      <c r="U317">
        <f t="shared" si="70"/>
        <v>0</v>
      </c>
      <c r="V317">
        <f t="shared" si="71"/>
        <v>0</v>
      </c>
      <c r="W317">
        <f t="shared" si="72"/>
        <v>0</v>
      </c>
      <c r="X317">
        <f t="shared" si="73"/>
        <v>0</v>
      </c>
      <c r="Y317">
        <f t="shared" si="74"/>
        <v>0</v>
      </c>
      <c r="Z317">
        <f t="shared" si="75"/>
        <v>0</v>
      </c>
      <c r="AA317">
        <f t="shared" si="76"/>
        <v>0</v>
      </c>
      <c r="AB317">
        <f t="shared" si="77"/>
        <v>0</v>
      </c>
      <c r="AC317">
        <f t="shared" si="78"/>
        <v>0</v>
      </c>
      <c r="AD317">
        <f t="shared" si="79"/>
        <v>0</v>
      </c>
      <c r="AE317">
        <v>96.5</v>
      </c>
      <c r="AF317">
        <v>1.86</v>
      </c>
      <c r="AG317">
        <v>6.45</v>
      </c>
      <c r="AH317" t="s">
        <v>129</v>
      </c>
      <c r="AI317" t="s">
        <v>97</v>
      </c>
      <c r="AJ317" t="s">
        <v>97</v>
      </c>
      <c r="AK317" t="s">
        <v>97</v>
      </c>
      <c r="AL317" t="s">
        <v>97</v>
      </c>
      <c r="AM317">
        <v>4</v>
      </c>
      <c r="AN317" t="s">
        <v>130</v>
      </c>
      <c r="AO317" t="s">
        <v>213</v>
      </c>
      <c r="AP317" t="s">
        <v>122</v>
      </c>
      <c r="AQ317" t="s">
        <v>103</v>
      </c>
      <c r="AR317" t="s">
        <v>214</v>
      </c>
      <c r="AS317" t="s">
        <v>104</v>
      </c>
      <c r="AT317" t="s">
        <v>110</v>
      </c>
      <c r="AU317" t="s">
        <v>97</v>
      </c>
      <c r="AV317" t="s">
        <v>97</v>
      </c>
      <c r="AW317">
        <v>0.18</v>
      </c>
      <c r="AX317">
        <v>1.3</v>
      </c>
      <c r="AY317">
        <v>-0.37</v>
      </c>
      <c r="AZ317">
        <v>2.4300000000000002</v>
      </c>
      <c r="BA317">
        <v>665489</v>
      </c>
      <c r="BB317" t="s">
        <v>97</v>
      </c>
      <c r="BC317">
        <v>666182</v>
      </c>
      <c r="BD317">
        <v>2</v>
      </c>
      <c r="BE317" t="s">
        <v>97</v>
      </c>
      <c r="BF317" t="s">
        <v>97</v>
      </c>
      <c r="BG317" t="s">
        <v>97</v>
      </c>
      <c r="BH317" t="s">
        <v>97</v>
      </c>
      <c r="BI317">
        <v>669257</v>
      </c>
      <c r="BJ317">
        <v>669257</v>
      </c>
      <c r="BK317" t="s">
        <v>97</v>
      </c>
      <c r="BL317" t="s">
        <v>97</v>
      </c>
      <c r="BM317">
        <v>-6.4087592989999997</v>
      </c>
      <c r="BN317">
        <v>-140.05653179999999</v>
      </c>
      <c r="BO317">
        <v>-8.0622658479999991</v>
      </c>
      <c r="BP317">
        <v>3.9651257580000001</v>
      </c>
      <c r="BQ317">
        <v>36.025133070000003</v>
      </c>
      <c r="BR317">
        <v>-13.387046870000001</v>
      </c>
      <c r="BS317">
        <v>3.1</v>
      </c>
      <c r="BT317">
        <v>1.49</v>
      </c>
      <c r="BU317">
        <v>224</v>
      </c>
      <c r="BV317">
        <v>92.3</v>
      </c>
      <c r="BW317">
        <v>13</v>
      </c>
      <c r="BX317">
        <v>97</v>
      </c>
      <c r="BY317">
        <v>2470</v>
      </c>
      <c r="BZ317">
        <v>7</v>
      </c>
      <c r="CA317">
        <v>813027</v>
      </c>
      <c r="CB317">
        <v>669257</v>
      </c>
      <c r="CC317">
        <v>669257</v>
      </c>
      <c r="CD317">
        <v>518692</v>
      </c>
      <c r="CE317">
        <v>669242</v>
      </c>
      <c r="CF317">
        <v>571970</v>
      </c>
      <c r="CG317">
        <v>605141</v>
      </c>
      <c r="CH317">
        <v>571771</v>
      </c>
      <c r="CI317">
        <v>681624</v>
      </c>
      <c r="CJ317">
        <v>606192</v>
      </c>
      <c r="CK317">
        <v>53.48</v>
      </c>
      <c r="CL317" t="s">
        <v>97</v>
      </c>
      <c r="CM317" t="s">
        <v>97</v>
      </c>
      <c r="CN317" t="s">
        <v>97</v>
      </c>
      <c r="CO317" t="s">
        <v>97</v>
      </c>
      <c r="CP317" t="s">
        <v>97</v>
      </c>
      <c r="CQ317" t="s">
        <v>97</v>
      </c>
      <c r="CR317" t="s">
        <v>97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 t="s">
        <v>115</v>
      </c>
      <c r="DB317" t="s">
        <v>107</v>
      </c>
      <c r="DC317">
        <v>159</v>
      </c>
      <c r="DD317">
        <v>0</v>
      </c>
      <c r="DE317">
        <v>0</v>
      </c>
      <c r="DF317">
        <v>60.2</v>
      </c>
      <c r="DG317">
        <v>5.6</v>
      </c>
    </row>
    <row r="318" spans="1:111" x14ac:dyDescent="0.2">
      <c r="A318">
        <v>2025</v>
      </c>
      <c r="B318" s="1">
        <v>45954</v>
      </c>
      <c r="C318" t="s">
        <v>95</v>
      </c>
      <c r="D318">
        <v>605483</v>
      </c>
      <c r="E318">
        <v>672386</v>
      </c>
      <c r="F318">
        <v>3</v>
      </c>
      <c r="G318">
        <v>2</v>
      </c>
      <c r="H318">
        <v>1</v>
      </c>
      <c r="I318" t="s">
        <v>163</v>
      </c>
      <c r="J318">
        <v>8</v>
      </c>
      <c r="K318">
        <v>8</v>
      </c>
      <c r="L318" t="s">
        <v>97</v>
      </c>
      <c r="M318" t="s">
        <v>98</v>
      </c>
      <c r="N318" t="s">
        <v>99</v>
      </c>
      <c r="O318">
        <f t="shared" si="64"/>
        <v>0</v>
      </c>
      <c r="P318">
        <f t="shared" si="65"/>
        <v>1</v>
      </c>
      <c r="Q318">
        <f t="shared" si="66"/>
        <v>0</v>
      </c>
      <c r="R318">
        <f t="shared" si="67"/>
        <v>0</v>
      </c>
      <c r="S318">
        <f t="shared" si="68"/>
        <v>0</v>
      </c>
      <c r="T318">
        <f t="shared" si="69"/>
        <v>0</v>
      </c>
      <c r="U318">
        <f t="shared" si="70"/>
        <v>0</v>
      </c>
      <c r="V318">
        <f t="shared" si="71"/>
        <v>0</v>
      </c>
      <c r="W318">
        <f t="shared" si="72"/>
        <v>0</v>
      </c>
      <c r="X318">
        <f t="shared" si="73"/>
        <v>0</v>
      </c>
      <c r="Y318">
        <f t="shared" si="74"/>
        <v>0</v>
      </c>
      <c r="Z318">
        <f t="shared" si="75"/>
        <v>0</v>
      </c>
      <c r="AA318">
        <f t="shared" si="76"/>
        <v>0</v>
      </c>
      <c r="AB318">
        <f t="shared" si="77"/>
        <v>0</v>
      </c>
      <c r="AC318">
        <f t="shared" si="78"/>
        <v>0</v>
      </c>
      <c r="AD318">
        <f t="shared" si="79"/>
        <v>0</v>
      </c>
      <c r="AE318">
        <v>96</v>
      </c>
      <c r="AF318">
        <v>1.95</v>
      </c>
      <c r="AG318">
        <v>6.5</v>
      </c>
      <c r="AH318" t="s">
        <v>129</v>
      </c>
      <c r="AI318" t="s">
        <v>97</v>
      </c>
      <c r="AJ318" t="s">
        <v>97</v>
      </c>
      <c r="AK318" t="s">
        <v>97</v>
      </c>
      <c r="AL318" t="s">
        <v>97</v>
      </c>
      <c r="AM318">
        <v>7</v>
      </c>
      <c r="AN318" t="s">
        <v>130</v>
      </c>
      <c r="AO318" t="s">
        <v>213</v>
      </c>
      <c r="AP318" t="s">
        <v>122</v>
      </c>
      <c r="AQ318" t="s">
        <v>103</v>
      </c>
      <c r="AR318" t="s">
        <v>214</v>
      </c>
      <c r="AS318" t="s">
        <v>104</v>
      </c>
      <c r="AT318" t="s">
        <v>110</v>
      </c>
      <c r="AU318" t="s">
        <v>97</v>
      </c>
      <c r="AV318" t="s">
        <v>97</v>
      </c>
      <c r="AW318">
        <v>0.28000000000000003</v>
      </c>
      <c r="AX318">
        <v>1.3</v>
      </c>
      <c r="AY318">
        <v>-0.72</v>
      </c>
      <c r="AZ318">
        <v>1.77</v>
      </c>
      <c r="BA318">
        <v>665489</v>
      </c>
      <c r="BB318" t="s">
        <v>97</v>
      </c>
      <c r="BC318">
        <v>666182</v>
      </c>
      <c r="BD318">
        <v>2</v>
      </c>
      <c r="BE318" t="s">
        <v>97</v>
      </c>
      <c r="BF318" t="s">
        <v>97</v>
      </c>
      <c r="BG318" t="s">
        <v>97</v>
      </c>
      <c r="BH318" t="s">
        <v>97</v>
      </c>
      <c r="BI318">
        <v>669257</v>
      </c>
      <c r="BJ318">
        <v>669257</v>
      </c>
      <c r="BK318" t="s">
        <v>97</v>
      </c>
      <c r="BL318" t="s">
        <v>97</v>
      </c>
      <c r="BM318">
        <v>-7.7838020979999998</v>
      </c>
      <c r="BN318">
        <v>-139.29970320000001</v>
      </c>
      <c r="BO318">
        <v>-9.8709071670000004</v>
      </c>
      <c r="BP318">
        <v>5.5410997249999996</v>
      </c>
      <c r="BQ318">
        <v>33.393723010000002</v>
      </c>
      <c r="BR318">
        <v>-13.183175650000001</v>
      </c>
      <c r="BS318">
        <v>3.1</v>
      </c>
      <c r="BT318">
        <v>1.49</v>
      </c>
      <c r="BU318">
        <v>202</v>
      </c>
      <c r="BV318">
        <v>68.8</v>
      </c>
      <c r="BW318">
        <v>29</v>
      </c>
      <c r="BX318">
        <v>96.5</v>
      </c>
      <c r="BY318">
        <v>2445</v>
      </c>
      <c r="BZ318">
        <v>6.9</v>
      </c>
      <c r="CA318">
        <v>813027</v>
      </c>
      <c r="CB318">
        <v>669257</v>
      </c>
      <c r="CC318">
        <v>669257</v>
      </c>
      <c r="CD318">
        <v>518692</v>
      </c>
      <c r="CE318">
        <v>669242</v>
      </c>
      <c r="CF318">
        <v>571970</v>
      </c>
      <c r="CG318">
        <v>605141</v>
      </c>
      <c r="CH318">
        <v>571771</v>
      </c>
      <c r="CI318">
        <v>681624</v>
      </c>
      <c r="CJ318">
        <v>606192</v>
      </c>
      <c r="CK318">
        <v>53.61</v>
      </c>
      <c r="CL318" t="s">
        <v>97</v>
      </c>
      <c r="CM318" t="s">
        <v>97</v>
      </c>
      <c r="CN318" t="s">
        <v>97</v>
      </c>
      <c r="CO318" t="s">
        <v>97</v>
      </c>
      <c r="CP318" t="s">
        <v>97</v>
      </c>
      <c r="CQ318" t="s">
        <v>97</v>
      </c>
      <c r="CR318" t="s">
        <v>97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 t="s">
        <v>107</v>
      </c>
      <c r="DB318" t="s">
        <v>107</v>
      </c>
      <c r="DC318">
        <v>158</v>
      </c>
      <c r="DD318">
        <v>0</v>
      </c>
      <c r="DE318">
        <v>0</v>
      </c>
      <c r="DF318">
        <v>73.099999999999994</v>
      </c>
      <c r="DG318">
        <v>6.6</v>
      </c>
    </row>
    <row r="319" spans="1:111" x14ac:dyDescent="0.2">
      <c r="A319">
        <v>2025</v>
      </c>
      <c r="B319" s="1">
        <v>45954</v>
      </c>
      <c r="C319" t="s">
        <v>95</v>
      </c>
      <c r="D319">
        <v>605483</v>
      </c>
      <c r="E319">
        <v>672386</v>
      </c>
      <c r="F319">
        <v>3</v>
      </c>
      <c r="G319">
        <v>2</v>
      </c>
      <c r="H319">
        <v>1</v>
      </c>
      <c r="I319" t="s">
        <v>163</v>
      </c>
      <c r="J319">
        <v>8</v>
      </c>
      <c r="K319">
        <v>9</v>
      </c>
      <c r="L319" t="s">
        <v>142</v>
      </c>
      <c r="M319" t="s">
        <v>111</v>
      </c>
      <c r="N319" t="s">
        <v>112</v>
      </c>
      <c r="O319">
        <f t="shared" si="64"/>
        <v>0</v>
      </c>
      <c r="P319">
        <f t="shared" si="65"/>
        <v>0</v>
      </c>
      <c r="Q319">
        <f t="shared" si="66"/>
        <v>0</v>
      </c>
      <c r="R319">
        <f t="shared" si="67"/>
        <v>0</v>
      </c>
      <c r="S319">
        <f t="shared" si="68"/>
        <v>1</v>
      </c>
      <c r="T319">
        <f t="shared" si="69"/>
        <v>0</v>
      </c>
      <c r="U319">
        <f t="shared" si="70"/>
        <v>0</v>
      </c>
      <c r="V319">
        <f t="shared" si="71"/>
        <v>0</v>
      </c>
      <c r="W319">
        <f t="shared" si="72"/>
        <v>0</v>
      </c>
      <c r="X319">
        <f t="shared" si="73"/>
        <v>0</v>
      </c>
      <c r="Y319">
        <f t="shared" si="74"/>
        <v>0</v>
      </c>
      <c r="Z319">
        <f t="shared" si="75"/>
        <v>0</v>
      </c>
      <c r="AA319">
        <f t="shared" si="76"/>
        <v>0</v>
      </c>
      <c r="AB319">
        <f t="shared" si="77"/>
        <v>0</v>
      </c>
      <c r="AC319">
        <f t="shared" si="78"/>
        <v>0</v>
      </c>
      <c r="AD319">
        <f t="shared" si="79"/>
        <v>0</v>
      </c>
      <c r="AE319">
        <v>81.900000000000006</v>
      </c>
      <c r="AF319">
        <v>1.86</v>
      </c>
      <c r="AG319">
        <v>6.57</v>
      </c>
      <c r="AH319" t="s">
        <v>140</v>
      </c>
      <c r="AI319" t="s">
        <v>97</v>
      </c>
      <c r="AJ319" t="s">
        <v>97</v>
      </c>
      <c r="AK319" t="s">
        <v>97</v>
      </c>
      <c r="AL319" t="s">
        <v>97</v>
      </c>
      <c r="AM319">
        <v>13</v>
      </c>
      <c r="AN319" t="s">
        <v>220</v>
      </c>
      <c r="AO319" t="s">
        <v>213</v>
      </c>
      <c r="AP319" t="s">
        <v>122</v>
      </c>
      <c r="AQ319" t="s">
        <v>103</v>
      </c>
      <c r="AR319" t="s">
        <v>214</v>
      </c>
      <c r="AS319" t="s">
        <v>104</v>
      </c>
      <c r="AT319" t="s">
        <v>106</v>
      </c>
      <c r="AU319" t="s">
        <v>97</v>
      </c>
      <c r="AV319" t="s">
        <v>97</v>
      </c>
      <c r="AW319">
        <v>-1.0900000000000001</v>
      </c>
      <c r="AX319">
        <v>-0.48</v>
      </c>
      <c r="AY319">
        <v>-0.09</v>
      </c>
      <c r="AZ319">
        <v>0.76</v>
      </c>
      <c r="BA319">
        <v>665489</v>
      </c>
      <c r="BB319" t="s">
        <v>97</v>
      </c>
      <c r="BC319">
        <v>666182</v>
      </c>
      <c r="BD319">
        <v>2</v>
      </c>
      <c r="BE319" t="s">
        <v>97</v>
      </c>
      <c r="BF319" t="s">
        <v>97</v>
      </c>
      <c r="BG319" t="s">
        <v>97</v>
      </c>
      <c r="BH319" t="s">
        <v>97</v>
      </c>
      <c r="BI319">
        <v>669257</v>
      </c>
      <c r="BJ319">
        <v>669257</v>
      </c>
      <c r="BK319" t="s">
        <v>97</v>
      </c>
      <c r="BL319" t="s">
        <v>97</v>
      </c>
      <c r="BM319">
        <v>-2.300900553</v>
      </c>
      <c r="BN319">
        <v>-119.1603721</v>
      </c>
      <c r="BO319">
        <v>-5.5516660910000004</v>
      </c>
      <c r="BP319">
        <v>-9.757105674</v>
      </c>
      <c r="BQ319">
        <v>26.673274769999999</v>
      </c>
      <c r="BR319">
        <v>-35.703949369999997</v>
      </c>
      <c r="BS319">
        <v>2.99</v>
      </c>
      <c r="BT319">
        <v>1.46</v>
      </c>
      <c r="BU319" t="s">
        <v>97</v>
      </c>
      <c r="BV319" t="s">
        <v>97</v>
      </c>
      <c r="BW319" t="s">
        <v>97</v>
      </c>
      <c r="BX319">
        <v>81.900000000000006</v>
      </c>
      <c r="BY319">
        <v>2661</v>
      </c>
      <c r="BZ319">
        <v>6.7</v>
      </c>
      <c r="CA319">
        <v>813027</v>
      </c>
      <c r="CB319">
        <v>669257</v>
      </c>
      <c r="CC319">
        <v>669257</v>
      </c>
      <c r="CD319">
        <v>518692</v>
      </c>
      <c r="CE319">
        <v>669242</v>
      </c>
      <c r="CF319">
        <v>571970</v>
      </c>
      <c r="CG319">
        <v>605141</v>
      </c>
      <c r="CH319">
        <v>571771</v>
      </c>
      <c r="CI319">
        <v>681624</v>
      </c>
      <c r="CJ319">
        <v>606192</v>
      </c>
      <c r="CK319">
        <v>53.82</v>
      </c>
      <c r="CL319" t="s">
        <v>97</v>
      </c>
      <c r="CM319">
        <v>0.69149700000000003</v>
      </c>
      <c r="CN319">
        <v>0.7</v>
      </c>
      <c r="CO319">
        <v>1</v>
      </c>
      <c r="CP319">
        <v>0</v>
      </c>
      <c r="CQ319">
        <v>0</v>
      </c>
      <c r="CR319" t="s">
        <v>97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 t="s">
        <v>107</v>
      </c>
      <c r="DB319" t="s">
        <v>107</v>
      </c>
      <c r="DC319">
        <v>329</v>
      </c>
      <c r="DD319">
        <v>2.4E-2</v>
      </c>
      <c r="DE319">
        <v>0.17599999999999999</v>
      </c>
      <c r="DF319" t="s">
        <v>97</v>
      </c>
      <c r="DG319" t="s">
        <v>97</v>
      </c>
    </row>
    <row r="320" spans="1:111" x14ac:dyDescent="0.2">
      <c r="A320">
        <v>2025</v>
      </c>
      <c r="B320" s="1">
        <v>45954</v>
      </c>
      <c r="C320" t="s">
        <v>95</v>
      </c>
      <c r="D320">
        <v>605483</v>
      </c>
      <c r="E320">
        <v>662139</v>
      </c>
      <c r="F320">
        <v>0</v>
      </c>
      <c r="G320">
        <v>0</v>
      </c>
      <c r="H320">
        <v>1</v>
      </c>
      <c r="I320" t="s">
        <v>163</v>
      </c>
      <c r="J320">
        <v>9</v>
      </c>
      <c r="K320">
        <v>1</v>
      </c>
      <c r="L320" t="s">
        <v>97</v>
      </c>
      <c r="M320" t="s">
        <v>111</v>
      </c>
      <c r="N320" t="s">
        <v>112</v>
      </c>
      <c r="O320">
        <f t="shared" si="64"/>
        <v>0</v>
      </c>
      <c r="P320">
        <f t="shared" si="65"/>
        <v>0</v>
      </c>
      <c r="Q320">
        <f t="shared" si="66"/>
        <v>0</v>
      </c>
      <c r="R320">
        <f t="shared" si="67"/>
        <v>0</v>
      </c>
      <c r="S320">
        <f t="shared" si="68"/>
        <v>1</v>
      </c>
      <c r="T320">
        <f t="shared" si="69"/>
        <v>0</v>
      </c>
      <c r="U320">
        <f t="shared" si="70"/>
        <v>0</v>
      </c>
      <c r="V320">
        <f t="shared" si="71"/>
        <v>0</v>
      </c>
      <c r="W320">
        <f t="shared" si="72"/>
        <v>0</v>
      </c>
      <c r="X320">
        <f t="shared" si="73"/>
        <v>0</v>
      </c>
      <c r="Y320">
        <f t="shared" si="74"/>
        <v>0</v>
      </c>
      <c r="Z320">
        <f t="shared" si="75"/>
        <v>0</v>
      </c>
      <c r="AA320">
        <f t="shared" si="76"/>
        <v>0</v>
      </c>
      <c r="AB320">
        <f t="shared" si="77"/>
        <v>0</v>
      </c>
      <c r="AC320">
        <f t="shared" si="78"/>
        <v>0</v>
      </c>
      <c r="AD320">
        <f t="shared" si="79"/>
        <v>0</v>
      </c>
      <c r="AE320">
        <v>82.2</v>
      </c>
      <c r="AF320">
        <v>2.0499999999999998</v>
      </c>
      <c r="AG320">
        <v>6.56</v>
      </c>
      <c r="AH320" t="s">
        <v>100</v>
      </c>
      <c r="AI320" t="s">
        <v>97</v>
      </c>
      <c r="AJ320" t="s">
        <v>97</v>
      </c>
      <c r="AK320" t="s">
        <v>97</v>
      </c>
      <c r="AL320" t="s">
        <v>97</v>
      </c>
      <c r="AM320">
        <v>12</v>
      </c>
      <c r="AN320" t="s">
        <v>101</v>
      </c>
      <c r="AO320" t="s">
        <v>213</v>
      </c>
      <c r="AP320" t="s">
        <v>103</v>
      </c>
      <c r="AQ320" t="s">
        <v>103</v>
      </c>
      <c r="AR320" t="s">
        <v>214</v>
      </c>
      <c r="AS320" t="s">
        <v>104</v>
      </c>
      <c r="AT320" t="s">
        <v>106</v>
      </c>
      <c r="AU320" t="s">
        <v>97</v>
      </c>
      <c r="AV320" t="s">
        <v>97</v>
      </c>
      <c r="AW320">
        <v>-0.81</v>
      </c>
      <c r="AX320">
        <v>-0.59</v>
      </c>
      <c r="AY320">
        <v>0.64</v>
      </c>
      <c r="AZ320">
        <v>3.82</v>
      </c>
      <c r="BA320">
        <v>665489</v>
      </c>
      <c r="BB320">
        <v>666182</v>
      </c>
      <c r="BC320">
        <v>672386</v>
      </c>
      <c r="BD320">
        <v>2</v>
      </c>
      <c r="BE320" t="s">
        <v>97</v>
      </c>
      <c r="BF320" t="s">
        <v>97</v>
      </c>
      <c r="BG320" t="s">
        <v>97</v>
      </c>
      <c r="BH320" t="s">
        <v>97</v>
      </c>
      <c r="BI320">
        <v>669257</v>
      </c>
      <c r="BJ320">
        <v>669257</v>
      </c>
      <c r="BK320" t="s">
        <v>97</v>
      </c>
      <c r="BL320" t="s">
        <v>97</v>
      </c>
      <c r="BM320">
        <v>-1.6410894620000001</v>
      </c>
      <c r="BN320">
        <v>-119.6062907</v>
      </c>
      <c r="BO320">
        <v>1.5550053850000001</v>
      </c>
      <c r="BP320">
        <v>-7.3415750270000002</v>
      </c>
      <c r="BQ320">
        <v>25.598048649999999</v>
      </c>
      <c r="BR320">
        <v>-38.350681790000003</v>
      </c>
      <c r="BS320">
        <v>3.34</v>
      </c>
      <c r="BT320">
        <v>1.53</v>
      </c>
      <c r="BU320" t="s">
        <v>97</v>
      </c>
      <c r="BV320" t="s">
        <v>97</v>
      </c>
      <c r="BW320" t="s">
        <v>97</v>
      </c>
      <c r="BX320">
        <v>82.2</v>
      </c>
      <c r="BY320">
        <v>2678</v>
      </c>
      <c r="BZ320">
        <v>6.6</v>
      </c>
      <c r="CA320">
        <v>813027</v>
      </c>
      <c r="CB320">
        <v>669257</v>
      </c>
      <c r="CC320">
        <v>669257</v>
      </c>
      <c r="CD320">
        <v>518692</v>
      </c>
      <c r="CE320">
        <v>669242</v>
      </c>
      <c r="CF320">
        <v>571970</v>
      </c>
      <c r="CG320">
        <v>605141</v>
      </c>
      <c r="CH320">
        <v>571771</v>
      </c>
      <c r="CI320">
        <v>681624</v>
      </c>
      <c r="CJ320">
        <v>606192</v>
      </c>
      <c r="CK320">
        <v>53.93</v>
      </c>
      <c r="CL320" t="s">
        <v>97</v>
      </c>
      <c r="CM320" t="s">
        <v>97</v>
      </c>
      <c r="CN320" t="s">
        <v>97</v>
      </c>
      <c r="CO320" t="s">
        <v>97</v>
      </c>
      <c r="CP320" t="s">
        <v>97</v>
      </c>
      <c r="CQ320" t="s">
        <v>97</v>
      </c>
      <c r="CR320" t="s">
        <v>97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 t="s">
        <v>107</v>
      </c>
      <c r="DB320" t="s">
        <v>107</v>
      </c>
      <c r="DC320">
        <v>320</v>
      </c>
      <c r="DD320">
        <v>0</v>
      </c>
      <c r="DE320">
        <v>3.2000000000000001E-2</v>
      </c>
      <c r="DF320" t="s">
        <v>97</v>
      </c>
      <c r="DG320" t="s">
        <v>97</v>
      </c>
    </row>
    <row r="321" spans="1:111" x14ac:dyDescent="0.2">
      <c r="A321">
        <v>2025</v>
      </c>
      <c r="B321" s="1">
        <v>45954</v>
      </c>
      <c r="C321" t="s">
        <v>95</v>
      </c>
      <c r="D321">
        <v>605483</v>
      </c>
      <c r="E321">
        <v>662139</v>
      </c>
      <c r="F321">
        <v>1</v>
      </c>
      <c r="G321">
        <v>0</v>
      </c>
      <c r="H321">
        <v>1</v>
      </c>
      <c r="I321" t="s">
        <v>163</v>
      </c>
      <c r="J321">
        <v>9</v>
      </c>
      <c r="K321">
        <v>2</v>
      </c>
      <c r="L321" t="s">
        <v>97</v>
      </c>
      <c r="M321" t="s">
        <v>111</v>
      </c>
      <c r="N321" t="s">
        <v>112</v>
      </c>
      <c r="O321">
        <f t="shared" si="64"/>
        <v>0</v>
      </c>
      <c r="P321">
        <f t="shared" si="65"/>
        <v>0</v>
      </c>
      <c r="Q321">
        <f t="shared" si="66"/>
        <v>0</v>
      </c>
      <c r="R321">
        <f t="shared" si="67"/>
        <v>0</v>
      </c>
      <c r="S321">
        <f t="shared" si="68"/>
        <v>0</v>
      </c>
      <c r="T321">
        <f t="shared" si="69"/>
        <v>0</v>
      </c>
      <c r="U321">
        <f t="shared" si="70"/>
        <v>0</v>
      </c>
      <c r="V321">
        <f t="shared" si="71"/>
        <v>1</v>
      </c>
      <c r="W321">
        <f t="shared" si="72"/>
        <v>0</v>
      </c>
      <c r="X321">
        <f t="shared" si="73"/>
        <v>0</v>
      </c>
      <c r="Y321">
        <f t="shared" si="74"/>
        <v>0</v>
      </c>
      <c r="Z321">
        <f t="shared" si="75"/>
        <v>0</v>
      </c>
      <c r="AA321">
        <f t="shared" si="76"/>
        <v>0</v>
      </c>
      <c r="AB321">
        <f t="shared" si="77"/>
        <v>0</v>
      </c>
      <c r="AC321">
        <f t="shared" si="78"/>
        <v>0</v>
      </c>
      <c r="AD321">
        <f t="shared" si="79"/>
        <v>0</v>
      </c>
      <c r="AE321">
        <v>83.1</v>
      </c>
      <c r="AF321">
        <v>2</v>
      </c>
      <c r="AG321">
        <v>6.49</v>
      </c>
      <c r="AH321" t="s">
        <v>108</v>
      </c>
      <c r="AI321" t="s">
        <v>97</v>
      </c>
      <c r="AJ321" t="s">
        <v>97</v>
      </c>
      <c r="AK321" t="s">
        <v>97</v>
      </c>
      <c r="AL321" t="s">
        <v>97</v>
      </c>
      <c r="AM321">
        <v>6</v>
      </c>
      <c r="AN321" t="s">
        <v>109</v>
      </c>
      <c r="AO321" t="s">
        <v>213</v>
      </c>
      <c r="AP321" t="s">
        <v>103</v>
      </c>
      <c r="AQ321" t="s">
        <v>103</v>
      </c>
      <c r="AR321" t="s">
        <v>214</v>
      </c>
      <c r="AS321" t="s">
        <v>104</v>
      </c>
      <c r="AT321" t="s">
        <v>110</v>
      </c>
      <c r="AU321" t="s">
        <v>97</v>
      </c>
      <c r="AV321" t="s">
        <v>97</v>
      </c>
      <c r="AW321">
        <v>-0.83</v>
      </c>
      <c r="AX321">
        <v>-0.47</v>
      </c>
      <c r="AY321">
        <v>0.67</v>
      </c>
      <c r="AZ321">
        <v>2.21</v>
      </c>
      <c r="BA321">
        <v>665489</v>
      </c>
      <c r="BB321">
        <v>666182</v>
      </c>
      <c r="BC321">
        <v>672386</v>
      </c>
      <c r="BD321">
        <v>2</v>
      </c>
      <c r="BE321" t="s">
        <v>97</v>
      </c>
      <c r="BF321" t="s">
        <v>97</v>
      </c>
      <c r="BG321" t="s">
        <v>97</v>
      </c>
      <c r="BH321" t="s">
        <v>97</v>
      </c>
      <c r="BI321">
        <v>669257</v>
      </c>
      <c r="BJ321">
        <v>669257</v>
      </c>
      <c r="BK321" t="s">
        <v>97</v>
      </c>
      <c r="BL321" t="s">
        <v>97</v>
      </c>
      <c r="BM321">
        <v>-1.428581418</v>
      </c>
      <c r="BN321">
        <v>-121.02490830000001</v>
      </c>
      <c r="BO321">
        <v>-2.3783892949999998</v>
      </c>
      <c r="BP321">
        <v>-7.7804048100000003</v>
      </c>
      <c r="BQ321">
        <v>26.028665520000001</v>
      </c>
      <c r="BR321">
        <v>-36.476626490000001</v>
      </c>
      <c r="BS321">
        <v>3.36</v>
      </c>
      <c r="BT321">
        <v>1.49</v>
      </c>
      <c r="BU321" t="s">
        <v>97</v>
      </c>
      <c r="BV321" t="s">
        <v>97</v>
      </c>
      <c r="BW321" t="s">
        <v>97</v>
      </c>
      <c r="BX321">
        <v>83.4</v>
      </c>
      <c r="BY321">
        <v>2669</v>
      </c>
      <c r="BZ321">
        <v>6.7</v>
      </c>
      <c r="CA321">
        <v>813027</v>
      </c>
      <c r="CB321">
        <v>669257</v>
      </c>
      <c r="CC321">
        <v>669257</v>
      </c>
      <c r="CD321">
        <v>518692</v>
      </c>
      <c r="CE321">
        <v>669242</v>
      </c>
      <c r="CF321">
        <v>571970</v>
      </c>
      <c r="CG321">
        <v>605141</v>
      </c>
      <c r="CH321">
        <v>571771</v>
      </c>
      <c r="CI321">
        <v>681624</v>
      </c>
      <c r="CJ321">
        <v>606192</v>
      </c>
      <c r="CK321">
        <v>53.82</v>
      </c>
      <c r="CL321" t="s">
        <v>97</v>
      </c>
      <c r="CM321" t="s">
        <v>97</v>
      </c>
      <c r="CN321" t="s">
        <v>97</v>
      </c>
      <c r="CO321" t="s">
        <v>97</v>
      </c>
      <c r="CP321" t="s">
        <v>97</v>
      </c>
      <c r="CQ321" t="s">
        <v>97</v>
      </c>
      <c r="CR321" t="s">
        <v>97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 t="s">
        <v>107</v>
      </c>
      <c r="DB321" t="s">
        <v>107</v>
      </c>
      <c r="DC321">
        <v>321</v>
      </c>
      <c r="DD321">
        <v>0</v>
      </c>
      <c r="DE321">
        <v>-3.5000000000000003E-2</v>
      </c>
      <c r="DF321" t="s">
        <v>97</v>
      </c>
      <c r="DG321" t="s">
        <v>97</v>
      </c>
    </row>
    <row r="322" spans="1:111" x14ac:dyDescent="0.2">
      <c r="A322">
        <v>2025</v>
      </c>
      <c r="B322" s="1">
        <v>45954</v>
      </c>
      <c r="C322" t="s">
        <v>95</v>
      </c>
      <c r="D322">
        <v>605483</v>
      </c>
      <c r="E322">
        <v>662139</v>
      </c>
      <c r="F322">
        <v>1</v>
      </c>
      <c r="G322">
        <v>1</v>
      </c>
      <c r="H322">
        <v>1</v>
      </c>
      <c r="I322" t="s">
        <v>163</v>
      </c>
      <c r="J322">
        <v>9</v>
      </c>
      <c r="K322">
        <v>3</v>
      </c>
      <c r="L322" t="s">
        <v>97</v>
      </c>
      <c r="M322" t="s">
        <v>138</v>
      </c>
      <c r="N322" t="s">
        <v>139</v>
      </c>
      <c r="O322">
        <f t="shared" si="64"/>
        <v>0</v>
      </c>
      <c r="P322">
        <f t="shared" si="65"/>
        <v>0</v>
      </c>
      <c r="Q322">
        <f t="shared" si="66"/>
        <v>0</v>
      </c>
      <c r="R322">
        <f t="shared" si="67"/>
        <v>0</v>
      </c>
      <c r="S322">
        <f t="shared" si="68"/>
        <v>0</v>
      </c>
      <c r="T322">
        <f t="shared" si="69"/>
        <v>0</v>
      </c>
      <c r="U322">
        <f t="shared" si="70"/>
        <v>0</v>
      </c>
      <c r="V322">
        <f t="shared" si="71"/>
        <v>0</v>
      </c>
      <c r="W322">
        <f t="shared" si="72"/>
        <v>0</v>
      </c>
      <c r="X322">
        <f t="shared" si="73"/>
        <v>0</v>
      </c>
      <c r="Y322">
        <f t="shared" si="74"/>
        <v>0</v>
      </c>
      <c r="Z322">
        <f t="shared" si="75"/>
        <v>0</v>
      </c>
      <c r="AA322">
        <f t="shared" si="76"/>
        <v>0</v>
      </c>
      <c r="AB322">
        <f t="shared" si="77"/>
        <v>0</v>
      </c>
      <c r="AC322">
        <f t="shared" si="78"/>
        <v>1</v>
      </c>
      <c r="AD322">
        <f t="shared" si="79"/>
        <v>0</v>
      </c>
      <c r="AE322">
        <v>89.9</v>
      </c>
      <c r="AF322">
        <v>1.98</v>
      </c>
      <c r="AG322">
        <v>6.51</v>
      </c>
      <c r="AH322" t="s">
        <v>113</v>
      </c>
      <c r="AI322" t="s">
        <v>97</v>
      </c>
      <c r="AJ322" t="s">
        <v>97</v>
      </c>
      <c r="AK322" t="s">
        <v>97</v>
      </c>
      <c r="AL322" t="s">
        <v>97</v>
      </c>
      <c r="AM322">
        <v>13</v>
      </c>
      <c r="AN322" t="s">
        <v>114</v>
      </c>
      <c r="AO322" t="s">
        <v>213</v>
      </c>
      <c r="AP322" t="s">
        <v>103</v>
      </c>
      <c r="AQ322" t="s">
        <v>103</v>
      </c>
      <c r="AR322" t="s">
        <v>214</v>
      </c>
      <c r="AS322" t="s">
        <v>104</v>
      </c>
      <c r="AT322" t="s">
        <v>110</v>
      </c>
      <c r="AU322" t="s">
        <v>97</v>
      </c>
      <c r="AV322" t="s">
        <v>97</v>
      </c>
      <c r="AW322">
        <v>-0.15</v>
      </c>
      <c r="AX322">
        <v>0.55000000000000004</v>
      </c>
      <c r="AY322">
        <v>-0.5</v>
      </c>
      <c r="AZ322">
        <v>1.34</v>
      </c>
      <c r="BA322">
        <v>665489</v>
      </c>
      <c r="BB322">
        <v>666182</v>
      </c>
      <c r="BC322">
        <v>672386</v>
      </c>
      <c r="BD322">
        <v>2</v>
      </c>
      <c r="BE322" t="s">
        <v>97</v>
      </c>
      <c r="BF322" t="s">
        <v>97</v>
      </c>
      <c r="BG322" t="s">
        <v>97</v>
      </c>
      <c r="BH322" t="s">
        <v>97</v>
      </c>
      <c r="BI322">
        <v>669257</v>
      </c>
      <c r="BJ322">
        <v>669257</v>
      </c>
      <c r="BK322" t="s">
        <v>97</v>
      </c>
      <c r="BL322" t="s">
        <v>97</v>
      </c>
      <c r="BM322">
        <v>-5.880677758</v>
      </c>
      <c r="BN322">
        <v>-130.6707667</v>
      </c>
      <c r="BO322">
        <v>-8.0542218610000003</v>
      </c>
      <c r="BP322">
        <v>-0.50798535899999997</v>
      </c>
      <c r="BQ322">
        <v>27.952584179999999</v>
      </c>
      <c r="BR322">
        <v>-24.308658739999998</v>
      </c>
      <c r="BS322">
        <v>3.38</v>
      </c>
      <c r="BT322">
        <v>1.56</v>
      </c>
      <c r="BU322" t="s">
        <v>97</v>
      </c>
      <c r="BV322" t="s">
        <v>97</v>
      </c>
      <c r="BW322" t="s">
        <v>97</v>
      </c>
      <c r="BX322">
        <v>90.6</v>
      </c>
      <c r="BY322">
        <v>2415</v>
      </c>
      <c r="BZ322">
        <v>6.8</v>
      </c>
      <c r="CA322">
        <v>813027</v>
      </c>
      <c r="CB322">
        <v>669257</v>
      </c>
      <c r="CC322">
        <v>669257</v>
      </c>
      <c r="CD322">
        <v>518692</v>
      </c>
      <c r="CE322">
        <v>669242</v>
      </c>
      <c r="CF322">
        <v>571970</v>
      </c>
      <c r="CG322">
        <v>605141</v>
      </c>
      <c r="CH322">
        <v>571771</v>
      </c>
      <c r="CI322">
        <v>681624</v>
      </c>
      <c r="CJ322">
        <v>606192</v>
      </c>
      <c r="CK322">
        <v>53.71</v>
      </c>
      <c r="CL322" t="s">
        <v>97</v>
      </c>
      <c r="CM322" t="s">
        <v>97</v>
      </c>
      <c r="CN322" t="s">
        <v>97</v>
      </c>
      <c r="CO322" t="s">
        <v>97</v>
      </c>
      <c r="CP322" t="s">
        <v>97</v>
      </c>
      <c r="CQ322" t="s">
        <v>97</v>
      </c>
      <c r="CR322" t="s">
        <v>97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 t="s">
        <v>107</v>
      </c>
      <c r="DB322" t="s">
        <v>107</v>
      </c>
      <c r="DC322">
        <v>173</v>
      </c>
      <c r="DD322">
        <v>0</v>
      </c>
      <c r="DE322">
        <v>-5.0999999999999997E-2</v>
      </c>
      <c r="DF322">
        <v>76.7</v>
      </c>
      <c r="DG322">
        <v>8.6999999999999993</v>
      </c>
    </row>
    <row r="323" spans="1:111" x14ac:dyDescent="0.2">
      <c r="A323">
        <v>2025</v>
      </c>
      <c r="B323" s="1">
        <v>45954</v>
      </c>
      <c r="C323" t="s">
        <v>95</v>
      </c>
      <c r="D323">
        <v>605483</v>
      </c>
      <c r="E323">
        <v>662139</v>
      </c>
      <c r="F323">
        <v>1</v>
      </c>
      <c r="G323">
        <v>2</v>
      </c>
      <c r="H323">
        <v>1</v>
      </c>
      <c r="I323" t="s">
        <v>163</v>
      </c>
      <c r="J323">
        <v>9</v>
      </c>
      <c r="K323">
        <v>4</v>
      </c>
      <c r="L323" t="s">
        <v>119</v>
      </c>
      <c r="M323" t="s">
        <v>111</v>
      </c>
      <c r="N323" t="s">
        <v>112</v>
      </c>
      <c r="O323">
        <f t="shared" ref="O323:O386" si="80">IF(AND(N323="4-Seam Fastball",N324="4-Seam Fastball"),1,0)</f>
        <v>0</v>
      </c>
      <c r="P323">
        <f t="shared" ref="P323:P386" si="81">IF(AND(N323="4-Seam Fastball",N324="Curveball"),1,0)</f>
        <v>0</v>
      </c>
      <c r="Q323">
        <f t="shared" ref="Q323:Q386" si="82">IF(AND(N323="4-Seam Fastball",N324="Changeup"),1,0)</f>
        <v>0</v>
      </c>
      <c r="R323">
        <f t="shared" ref="R323:R386" si="83">IF(AND(N323="4-Seam Fastball",N324="Slider"),1,0)</f>
        <v>0</v>
      </c>
      <c r="S323">
        <f t="shared" ref="S323:S386" si="84">IF(AND(N323="Curveball",N324="Curveball"),1,0)</f>
        <v>0</v>
      </c>
      <c r="T323">
        <f t="shared" ref="T323:T386" si="85">IF(AND(N323="Curveball",N324="4-Seam Fastball"),1,0)</f>
        <v>0</v>
      </c>
      <c r="U323">
        <f t="shared" ref="U323:U386" si="86">IF(AND(N323="Curveball",N324="Changeup"),1,0)</f>
        <v>1</v>
      </c>
      <c r="V323">
        <f t="shared" ref="V323:V386" si="87">IF(AND(N323="Curveball",N324="Slider"),1,0)</f>
        <v>0</v>
      </c>
      <c r="W323">
        <f t="shared" ref="W323:W386" si="88">IF(AND(N323="Changeup",N324="Changeup"),1,0)</f>
        <v>0</v>
      </c>
      <c r="X323">
        <f t="shared" ref="X323:X386" si="89">IF(AND(N323="Changeup",N324="4-Seam Fastball"),1,0)</f>
        <v>0</v>
      </c>
      <c r="Y323">
        <f t="shared" ref="Y323:Y386" si="90">IF(AND(N323="Changeup",N324="Curveball"),1,0)</f>
        <v>0</v>
      </c>
      <c r="Z323">
        <f t="shared" ref="Z323:Z386" si="91">IF(AND(N323="Changeup",N324="Slider"),1,0)</f>
        <v>0</v>
      </c>
      <c r="AA323">
        <f t="shared" ref="AA323:AA386" si="92">IF(AND(N323="Slider",N324="Slider"),1,0)</f>
        <v>0</v>
      </c>
      <c r="AB323">
        <f t="shared" ref="AB323:AB386" si="93">IF(AND(N323="Slider",N324="4-Seam Fastball"),1,0)</f>
        <v>0</v>
      </c>
      <c r="AC323">
        <f t="shared" ref="AC323:AC386" si="94">IF(AND(N323="Slider",N324="Curveball"),1,0)</f>
        <v>0</v>
      </c>
      <c r="AD323">
        <f t="shared" ref="AD323:AD386" si="95">IF(AND(N323="Slider",N324="Changeup"),1,0)</f>
        <v>0</v>
      </c>
      <c r="AE323">
        <v>82.9</v>
      </c>
      <c r="AF323">
        <v>1.88</v>
      </c>
      <c r="AG323">
        <v>6.54</v>
      </c>
      <c r="AH323" t="s">
        <v>120</v>
      </c>
      <c r="AI323" t="s">
        <v>97</v>
      </c>
      <c r="AJ323" t="s">
        <v>97</v>
      </c>
      <c r="AK323" t="s">
        <v>97</v>
      </c>
      <c r="AL323" t="s">
        <v>97</v>
      </c>
      <c r="AM323">
        <v>5</v>
      </c>
      <c r="AN323" t="s">
        <v>221</v>
      </c>
      <c r="AO323" t="s">
        <v>213</v>
      </c>
      <c r="AP323" t="s">
        <v>103</v>
      </c>
      <c r="AQ323" t="s">
        <v>103</v>
      </c>
      <c r="AR323" t="s">
        <v>214</v>
      </c>
      <c r="AS323" t="s">
        <v>104</v>
      </c>
      <c r="AT323" t="s">
        <v>123</v>
      </c>
      <c r="AU323">
        <v>8</v>
      </c>
      <c r="AV323" t="s">
        <v>124</v>
      </c>
      <c r="AW323">
        <v>-1.03</v>
      </c>
      <c r="AX323">
        <v>-0.59</v>
      </c>
      <c r="AY323">
        <v>-0.12</v>
      </c>
      <c r="AZ323">
        <v>2.17</v>
      </c>
      <c r="BA323">
        <v>665489</v>
      </c>
      <c r="BB323">
        <v>666182</v>
      </c>
      <c r="BC323">
        <v>672386</v>
      </c>
      <c r="BD323">
        <v>2</v>
      </c>
      <c r="BE323">
        <v>129.5</v>
      </c>
      <c r="BF323">
        <v>94.08</v>
      </c>
      <c r="BG323" t="s">
        <v>97</v>
      </c>
      <c r="BH323" t="s">
        <v>97</v>
      </c>
      <c r="BI323">
        <v>669257</v>
      </c>
      <c r="BJ323">
        <v>669257</v>
      </c>
      <c r="BK323" t="s">
        <v>97</v>
      </c>
      <c r="BL323" t="s">
        <v>97</v>
      </c>
      <c r="BM323">
        <v>-2.5682323249999999</v>
      </c>
      <c r="BN323">
        <v>-120.64490960000001</v>
      </c>
      <c r="BO323">
        <v>-2.2913356789999999</v>
      </c>
      <c r="BP323">
        <v>-9.4232746620000007</v>
      </c>
      <c r="BQ323">
        <v>26.661640850000001</v>
      </c>
      <c r="BR323">
        <v>-37.575505010000001</v>
      </c>
      <c r="BS323">
        <v>3.38</v>
      </c>
      <c r="BT323">
        <v>1.56</v>
      </c>
      <c r="BU323">
        <v>263</v>
      </c>
      <c r="BV323">
        <v>96.3</v>
      </c>
      <c r="BW323">
        <v>49</v>
      </c>
      <c r="BX323">
        <v>83</v>
      </c>
      <c r="BY323">
        <v>2621</v>
      </c>
      <c r="BZ323">
        <v>6.7</v>
      </c>
      <c r="CA323">
        <v>813027</v>
      </c>
      <c r="CB323">
        <v>669257</v>
      </c>
      <c r="CC323">
        <v>669257</v>
      </c>
      <c r="CD323">
        <v>518692</v>
      </c>
      <c r="CE323">
        <v>669242</v>
      </c>
      <c r="CF323">
        <v>571970</v>
      </c>
      <c r="CG323">
        <v>605141</v>
      </c>
      <c r="CH323">
        <v>571771</v>
      </c>
      <c r="CI323">
        <v>681624</v>
      </c>
      <c r="CJ323">
        <v>606192</v>
      </c>
      <c r="CK323">
        <v>53.83</v>
      </c>
      <c r="CL323">
        <v>3.0000000000000001E-3</v>
      </c>
      <c r="CM323">
        <v>5.0000000000000001E-3</v>
      </c>
      <c r="CN323">
        <v>0</v>
      </c>
      <c r="CO323">
        <v>1</v>
      </c>
      <c r="CP323">
        <v>0</v>
      </c>
      <c r="CQ323">
        <v>0</v>
      </c>
      <c r="CR323">
        <v>3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 t="s">
        <v>107</v>
      </c>
      <c r="DB323" t="s">
        <v>107</v>
      </c>
      <c r="DC323">
        <v>324</v>
      </c>
      <c r="DD323">
        <v>-7.0999999999999994E-2</v>
      </c>
      <c r="DE323">
        <v>-0.20300000000000001</v>
      </c>
      <c r="DF323">
        <v>74.8</v>
      </c>
      <c r="DG323">
        <v>7.9</v>
      </c>
    </row>
    <row r="324" spans="1:111" x14ac:dyDescent="0.2">
      <c r="A324">
        <v>2025</v>
      </c>
      <c r="B324" s="1">
        <v>45954</v>
      </c>
      <c r="C324" t="s">
        <v>95</v>
      </c>
      <c r="D324">
        <v>605483</v>
      </c>
      <c r="E324">
        <v>676391</v>
      </c>
      <c r="F324">
        <v>0</v>
      </c>
      <c r="G324">
        <v>0</v>
      </c>
      <c r="H324">
        <v>2</v>
      </c>
      <c r="I324" t="s">
        <v>163</v>
      </c>
      <c r="J324">
        <v>17</v>
      </c>
      <c r="K324">
        <v>1</v>
      </c>
      <c r="L324" t="s">
        <v>97</v>
      </c>
      <c r="M324" t="s">
        <v>132</v>
      </c>
      <c r="N324" t="s">
        <v>133</v>
      </c>
      <c r="O324">
        <f t="shared" si="80"/>
        <v>0</v>
      </c>
      <c r="P324">
        <f t="shared" si="81"/>
        <v>0</v>
      </c>
      <c r="Q324">
        <f t="shared" si="82"/>
        <v>0</v>
      </c>
      <c r="R324">
        <f t="shared" si="83"/>
        <v>0</v>
      </c>
      <c r="S324">
        <f t="shared" si="84"/>
        <v>0</v>
      </c>
      <c r="T324">
        <f t="shared" si="85"/>
        <v>0</v>
      </c>
      <c r="U324">
        <f t="shared" si="86"/>
        <v>0</v>
      </c>
      <c r="V324">
        <f t="shared" si="87"/>
        <v>0</v>
      </c>
      <c r="W324">
        <f t="shared" si="88"/>
        <v>0</v>
      </c>
      <c r="X324">
        <f t="shared" si="89"/>
        <v>1</v>
      </c>
      <c r="Y324">
        <f t="shared" si="90"/>
        <v>0</v>
      </c>
      <c r="Z324">
        <f t="shared" si="91"/>
        <v>0</v>
      </c>
      <c r="AA324">
        <f t="shared" si="92"/>
        <v>0</v>
      </c>
      <c r="AB324">
        <f t="shared" si="93"/>
        <v>0</v>
      </c>
      <c r="AC324">
        <f t="shared" si="94"/>
        <v>0</v>
      </c>
      <c r="AD324">
        <f t="shared" si="95"/>
        <v>0</v>
      </c>
      <c r="AE324">
        <v>86.8</v>
      </c>
      <c r="AF324">
        <v>2.4300000000000002</v>
      </c>
      <c r="AG324">
        <v>6.38</v>
      </c>
      <c r="AH324" t="s">
        <v>108</v>
      </c>
      <c r="AI324" t="s">
        <v>97</v>
      </c>
      <c r="AJ324" t="s">
        <v>97</v>
      </c>
      <c r="AK324" t="s">
        <v>97</v>
      </c>
      <c r="AL324" t="s">
        <v>97</v>
      </c>
      <c r="AM324">
        <v>9</v>
      </c>
      <c r="AN324" t="s">
        <v>109</v>
      </c>
      <c r="AO324" t="s">
        <v>213</v>
      </c>
      <c r="AP324" t="s">
        <v>122</v>
      </c>
      <c r="AQ324" t="s">
        <v>103</v>
      </c>
      <c r="AR324" t="s">
        <v>214</v>
      </c>
      <c r="AS324" t="s">
        <v>104</v>
      </c>
      <c r="AT324" t="s">
        <v>110</v>
      </c>
      <c r="AU324" t="s">
        <v>97</v>
      </c>
      <c r="AV324" t="s">
        <v>97</v>
      </c>
      <c r="AW324">
        <v>1.27</v>
      </c>
      <c r="AX324">
        <v>0.82</v>
      </c>
      <c r="AY324">
        <v>0.33</v>
      </c>
      <c r="AZ324">
        <v>1.67</v>
      </c>
      <c r="BA324" t="s">
        <v>97</v>
      </c>
      <c r="BB324" t="s">
        <v>97</v>
      </c>
      <c r="BC324" t="s">
        <v>97</v>
      </c>
      <c r="BD324">
        <v>0</v>
      </c>
      <c r="BE324" t="s">
        <v>97</v>
      </c>
      <c r="BF324" t="s">
        <v>97</v>
      </c>
      <c r="BG324" t="s">
        <v>97</v>
      </c>
      <c r="BH324" t="s">
        <v>97</v>
      </c>
      <c r="BI324">
        <v>669257</v>
      </c>
      <c r="BJ324">
        <v>669257</v>
      </c>
      <c r="BK324" t="s">
        <v>97</v>
      </c>
      <c r="BL324" t="s">
        <v>97</v>
      </c>
      <c r="BM324">
        <v>-7.6971270560000002</v>
      </c>
      <c r="BN324">
        <v>-126.0641174</v>
      </c>
      <c r="BO324">
        <v>-6.8107611529999996</v>
      </c>
      <c r="BP324">
        <v>15.158417979999999</v>
      </c>
      <c r="BQ324">
        <v>26.346273409999998</v>
      </c>
      <c r="BR324">
        <v>-22.162615070000001</v>
      </c>
      <c r="BS324">
        <v>3.43</v>
      </c>
      <c r="BT324">
        <v>1.57</v>
      </c>
      <c r="BU324" t="s">
        <v>97</v>
      </c>
      <c r="BV324" t="s">
        <v>97</v>
      </c>
      <c r="BW324" t="s">
        <v>97</v>
      </c>
      <c r="BX324">
        <v>87.6</v>
      </c>
      <c r="BY324">
        <v>1792</v>
      </c>
      <c r="BZ324">
        <v>7</v>
      </c>
      <c r="CA324">
        <v>813027</v>
      </c>
      <c r="CB324">
        <v>669257</v>
      </c>
      <c r="CC324">
        <v>669257</v>
      </c>
      <c r="CD324">
        <v>518692</v>
      </c>
      <c r="CE324">
        <v>669242</v>
      </c>
      <c r="CF324">
        <v>571970</v>
      </c>
      <c r="CG324">
        <v>605141</v>
      </c>
      <c r="CH324">
        <v>571771</v>
      </c>
      <c r="CI324">
        <v>681624</v>
      </c>
      <c r="CJ324">
        <v>606192</v>
      </c>
      <c r="CK324">
        <v>53.53</v>
      </c>
      <c r="CL324" t="s">
        <v>97</v>
      </c>
      <c r="CM324" t="s">
        <v>97</v>
      </c>
      <c r="CN324" t="s">
        <v>97</v>
      </c>
      <c r="CO324" t="s">
        <v>97</v>
      </c>
      <c r="CP324" t="s">
        <v>97</v>
      </c>
      <c r="CQ324" t="s">
        <v>97</v>
      </c>
      <c r="CR324" t="s">
        <v>97</v>
      </c>
      <c r="CS324">
        <v>0</v>
      </c>
      <c r="CT324">
        <v>1</v>
      </c>
      <c r="CU324">
        <v>0</v>
      </c>
      <c r="CV324">
        <v>1</v>
      </c>
      <c r="CW324">
        <v>1</v>
      </c>
      <c r="CX324">
        <v>0</v>
      </c>
      <c r="CY324">
        <v>0</v>
      </c>
      <c r="CZ324">
        <v>1</v>
      </c>
      <c r="DA324" t="s">
        <v>107</v>
      </c>
      <c r="DB324" t="s">
        <v>107</v>
      </c>
      <c r="DC324">
        <v>127</v>
      </c>
      <c r="DD324">
        <v>0</v>
      </c>
      <c r="DE324">
        <v>-3.9E-2</v>
      </c>
      <c r="DF324" t="s">
        <v>97</v>
      </c>
      <c r="DG324" t="s">
        <v>97</v>
      </c>
    </row>
    <row r="325" spans="1:111" x14ac:dyDescent="0.2">
      <c r="A325">
        <v>2025</v>
      </c>
      <c r="B325" s="1">
        <v>45954</v>
      </c>
      <c r="C325" t="s">
        <v>95</v>
      </c>
      <c r="D325">
        <v>605483</v>
      </c>
      <c r="E325">
        <v>676391</v>
      </c>
      <c r="F325">
        <v>0</v>
      </c>
      <c r="G325">
        <v>1</v>
      </c>
      <c r="H325">
        <v>2</v>
      </c>
      <c r="I325" t="s">
        <v>163</v>
      </c>
      <c r="J325">
        <v>17</v>
      </c>
      <c r="K325">
        <v>2</v>
      </c>
      <c r="L325" t="s">
        <v>97</v>
      </c>
      <c r="M325" t="s">
        <v>98</v>
      </c>
      <c r="N325" t="s">
        <v>99</v>
      </c>
      <c r="O325">
        <f t="shared" si="80"/>
        <v>0</v>
      </c>
      <c r="P325">
        <f t="shared" si="81"/>
        <v>1</v>
      </c>
      <c r="Q325">
        <f t="shared" si="82"/>
        <v>0</v>
      </c>
      <c r="R325">
        <f t="shared" si="83"/>
        <v>0</v>
      </c>
      <c r="S325">
        <f t="shared" si="84"/>
        <v>0</v>
      </c>
      <c r="T325">
        <f t="shared" si="85"/>
        <v>0</v>
      </c>
      <c r="U325">
        <f t="shared" si="86"/>
        <v>0</v>
      </c>
      <c r="V325">
        <f t="shared" si="87"/>
        <v>0</v>
      </c>
      <c r="W325">
        <f t="shared" si="88"/>
        <v>0</v>
      </c>
      <c r="X325">
        <f t="shared" si="89"/>
        <v>0</v>
      </c>
      <c r="Y325">
        <f t="shared" si="90"/>
        <v>0</v>
      </c>
      <c r="Z325">
        <f t="shared" si="91"/>
        <v>0</v>
      </c>
      <c r="AA325">
        <f t="shared" si="92"/>
        <v>0</v>
      </c>
      <c r="AB325">
        <f t="shared" si="93"/>
        <v>0</v>
      </c>
      <c r="AC325">
        <f t="shared" si="94"/>
        <v>0</v>
      </c>
      <c r="AD325">
        <f t="shared" si="95"/>
        <v>0</v>
      </c>
      <c r="AE325">
        <v>94.7</v>
      </c>
      <c r="AF325">
        <v>2.21</v>
      </c>
      <c r="AG325">
        <v>6.51</v>
      </c>
      <c r="AH325" t="s">
        <v>129</v>
      </c>
      <c r="AI325" t="s">
        <v>97</v>
      </c>
      <c r="AJ325" t="s">
        <v>97</v>
      </c>
      <c r="AK325" t="s">
        <v>97</v>
      </c>
      <c r="AL325" t="s">
        <v>97</v>
      </c>
      <c r="AM325">
        <v>3</v>
      </c>
      <c r="AN325" t="s">
        <v>130</v>
      </c>
      <c r="AO325" t="s">
        <v>213</v>
      </c>
      <c r="AP325" t="s">
        <v>122</v>
      </c>
      <c r="AQ325" t="s">
        <v>103</v>
      </c>
      <c r="AR325" t="s">
        <v>214</v>
      </c>
      <c r="AS325" t="s">
        <v>104</v>
      </c>
      <c r="AT325" t="s">
        <v>110</v>
      </c>
      <c r="AU325" t="s">
        <v>97</v>
      </c>
      <c r="AV325" t="s">
        <v>97</v>
      </c>
      <c r="AW325">
        <v>0.62</v>
      </c>
      <c r="AX325">
        <v>1.6</v>
      </c>
      <c r="AY325">
        <v>0.81</v>
      </c>
      <c r="AZ325">
        <v>2.82</v>
      </c>
      <c r="BA325" t="s">
        <v>97</v>
      </c>
      <c r="BB325" t="s">
        <v>97</v>
      </c>
      <c r="BC325" t="s">
        <v>97</v>
      </c>
      <c r="BD325">
        <v>0</v>
      </c>
      <c r="BE325" t="s">
        <v>97</v>
      </c>
      <c r="BF325" t="s">
        <v>97</v>
      </c>
      <c r="BG325" t="s">
        <v>97</v>
      </c>
      <c r="BH325" t="s">
        <v>97</v>
      </c>
      <c r="BI325">
        <v>669257</v>
      </c>
      <c r="BJ325">
        <v>669257</v>
      </c>
      <c r="BK325" t="s">
        <v>97</v>
      </c>
      <c r="BL325" t="s">
        <v>97</v>
      </c>
      <c r="BM325">
        <v>-5.1023732620000004</v>
      </c>
      <c r="BN325">
        <v>-137.55255020000001</v>
      </c>
      <c r="BO325">
        <v>-7.5511189620000003</v>
      </c>
      <c r="BP325">
        <v>9.1028415240000005</v>
      </c>
      <c r="BQ325">
        <v>33.212906529999998</v>
      </c>
      <c r="BR325">
        <v>-10.3416315</v>
      </c>
      <c r="BS325">
        <v>3.34</v>
      </c>
      <c r="BT325">
        <v>1.55</v>
      </c>
      <c r="BU325">
        <v>206</v>
      </c>
      <c r="BV325">
        <v>77.599999999999994</v>
      </c>
      <c r="BW325">
        <v>21</v>
      </c>
      <c r="BX325">
        <v>95.3</v>
      </c>
      <c r="BY325">
        <v>2448</v>
      </c>
      <c r="BZ325">
        <v>6.9</v>
      </c>
      <c r="CA325">
        <v>813027</v>
      </c>
      <c r="CB325">
        <v>669257</v>
      </c>
      <c r="CC325">
        <v>669257</v>
      </c>
      <c r="CD325">
        <v>518692</v>
      </c>
      <c r="CE325">
        <v>669242</v>
      </c>
      <c r="CF325">
        <v>571970</v>
      </c>
      <c r="CG325">
        <v>605141</v>
      </c>
      <c r="CH325">
        <v>571771</v>
      </c>
      <c r="CI325">
        <v>681624</v>
      </c>
      <c r="CJ325">
        <v>606192</v>
      </c>
      <c r="CK325">
        <v>53.57</v>
      </c>
      <c r="CL325" t="s">
        <v>97</v>
      </c>
      <c r="CM325" t="s">
        <v>97</v>
      </c>
      <c r="CN325" t="s">
        <v>97</v>
      </c>
      <c r="CO325" t="s">
        <v>97</v>
      </c>
      <c r="CP325" t="s">
        <v>97</v>
      </c>
      <c r="CQ325" t="s">
        <v>97</v>
      </c>
      <c r="CR325" t="s">
        <v>97</v>
      </c>
      <c r="CS325">
        <v>0</v>
      </c>
      <c r="CT325">
        <v>1</v>
      </c>
      <c r="CU325">
        <v>0</v>
      </c>
      <c r="CV325">
        <v>1</v>
      </c>
      <c r="CW325">
        <v>1</v>
      </c>
      <c r="CX325">
        <v>0</v>
      </c>
      <c r="CY325">
        <v>0</v>
      </c>
      <c r="CZ325">
        <v>1</v>
      </c>
      <c r="DA325" t="s">
        <v>107</v>
      </c>
      <c r="DB325" t="s">
        <v>107</v>
      </c>
      <c r="DC325">
        <v>156</v>
      </c>
      <c r="DD325">
        <v>0</v>
      </c>
      <c r="DE325">
        <v>-5.5E-2</v>
      </c>
      <c r="DF325">
        <v>65.900000000000006</v>
      </c>
      <c r="DG325">
        <v>6.9</v>
      </c>
    </row>
    <row r="326" spans="1:111" x14ac:dyDescent="0.2">
      <c r="A326">
        <v>2025</v>
      </c>
      <c r="B326" s="1">
        <v>45954</v>
      </c>
      <c r="C326" t="s">
        <v>95</v>
      </c>
      <c r="D326">
        <v>605483</v>
      </c>
      <c r="E326">
        <v>676391</v>
      </c>
      <c r="F326">
        <v>0</v>
      </c>
      <c r="G326">
        <v>2</v>
      </c>
      <c r="H326">
        <v>2</v>
      </c>
      <c r="I326" t="s">
        <v>163</v>
      </c>
      <c r="J326">
        <v>17</v>
      </c>
      <c r="K326">
        <v>3</v>
      </c>
      <c r="L326" t="s">
        <v>155</v>
      </c>
      <c r="M326" t="s">
        <v>111</v>
      </c>
      <c r="N326" t="s">
        <v>112</v>
      </c>
      <c r="O326">
        <f t="shared" si="80"/>
        <v>0</v>
      </c>
      <c r="P326">
        <f t="shared" si="81"/>
        <v>0</v>
      </c>
      <c r="Q326">
        <f t="shared" si="82"/>
        <v>0</v>
      </c>
      <c r="R326">
        <f t="shared" si="83"/>
        <v>0</v>
      </c>
      <c r="S326">
        <f t="shared" si="84"/>
        <v>0</v>
      </c>
      <c r="T326">
        <f t="shared" si="85"/>
        <v>1</v>
      </c>
      <c r="U326">
        <f t="shared" si="86"/>
        <v>0</v>
      </c>
      <c r="V326">
        <f t="shared" si="87"/>
        <v>0</v>
      </c>
      <c r="W326">
        <f t="shared" si="88"/>
        <v>0</v>
      </c>
      <c r="X326">
        <f t="shared" si="89"/>
        <v>0</v>
      </c>
      <c r="Y326">
        <f t="shared" si="90"/>
        <v>0</v>
      </c>
      <c r="Z326">
        <f t="shared" si="91"/>
        <v>0</v>
      </c>
      <c r="AA326">
        <f t="shared" si="92"/>
        <v>0</v>
      </c>
      <c r="AB326">
        <f t="shared" si="93"/>
        <v>0</v>
      </c>
      <c r="AC326">
        <f t="shared" si="94"/>
        <v>0</v>
      </c>
      <c r="AD326">
        <f t="shared" si="95"/>
        <v>0</v>
      </c>
      <c r="AE326">
        <v>81.099999999999994</v>
      </c>
      <c r="AF326">
        <v>1.91</v>
      </c>
      <c r="AG326">
        <v>6.53</v>
      </c>
      <c r="AH326" t="s">
        <v>120</v>
      </c>
      <c r="AI326" t="s">
        <v>97</v>
      </c>
      <c r="AJ326" t="s">
        <v>97</v>
      </c>
      <c r="AK326" t="s">
        <v>97</v>
      </c>
      <c r="AL326" t="s">
        <v>97</v>
      </c>
      <c r="AM326">
        <v>13</v>
      </c>
      <c r="AN326" t="s">
        <v>222</v>
      </c>
      <c r="AO326" t="s">
        <v>213</v>
      </c>
      <c r="AP326" t="s">
        <v>122</v>
      </c>
      <c r="AQ326" t="s">
        <v>103</v>
      </c>
      <c r="AR326" t="s">
        <v>214</v>
      </c>
      <c r="AS326" t="s">
        <v>104</v>
      </c>
      <c r="AT326" t="s">
        <v>123</v>
      </c>
      <c r="AU326">
        <v>7</v>
      </c>
      <c r="AV326" t="s">
        <v>158</v>
      </c>
      <c r="AW326">
        <v>-1</v>
      </c>
      <c r="AX326">
        <v>-0.85</v>
      </c>
      <c r="AY326">
        <v>-0.18</v>
      </c>
      <c r="AZ326">
        <v>0.77</v>
      </c>
      <c r="BA326" t="s">
        <v>97</v>
      </c>
      <c r="BB326" t="s">
        <v>97</v>
      </c>
      <c r="BC326" t="s">
        <v>97</v>
      </c>
      <c r="BD326">
        <v>0</v>
      </c>
      <c r="BE326">
        <v>81.38</v>
      </c>
      <c r="BF326">
        <v>113.36</v>
      </c>
      <c r="BG326" t="s">
        <v>97</v>
      </c>
      <c r="BH326" t="s">
        <v>97</v>
      </c>
      <c r="BI326">
        <v>669257</v>
      </c>
      <c r="BJ326">
        <v>669257</v>
      </c>
      <c r="BK326" t="s">
        <v>97</v>
      </c>
      <c r="BL326" t="s">
        <v>97</v>
      </c>
      <c r="BM326">
        <v>-2.7673151470000001</v>
      </c>
      <c r="BN326">
        <v>-118.0113267</v>
      </c>
      <c r="BO326">
        <v>-4.5404803640000004</v>
      </c>
      <c r="BP326">
        <v>-8.6333153930000002</v>
      </c>
      <c r="BQ326">
        <v>26.425065400000001</v>
      </c>
      <c r="BR326">
        <v>-39.203733030000002</v>
      </c>
      <c r="BS326">
        <v>3.34</v>
      </c>
      <c r="BT326">
        <v>1.55</v>
      </c>
      <c r="BU326">
        <v>210</v>
      </c>
      <c r="BV326">
        <v>68.3</v>
      </c>
      <c r="BW326">
        <v>24</v>
      </c>
      <c r="BX326">
        <v>81.2</v>
      </c>
      <c r="BY326">
        <v>2662</v>
      </c>
      <c r="BZ326">
        <v>6.8</v>
      </c>
      <c r="CA326">
        <v>813027</v>
      </c>
      <c r="CB326">
        <v>669257</v>
      </c>
      <c r="CC326">
        <v>669257</v>
      </c>
      <c r="CD326">
        <v>518692</v>
      </c>
      <c r="CE326">
        <v>669242</v>
      </c>
      <c r="CF326">
        <v>571970</v>
      </c>
      <c r="CG326">
        <v>605141</v>
      </c>
      <c r="CH326">
        <v>571771</v>
      </c>
      <c r="CI326">
        <v>681624</v>
      </c>
      <c r="CJ326">
        <v>606192</v>
      </c>
      <c r="CK326">
        <v>53.75</v>
      </c>
      <c r="CL326">
        <v>0.96299999999999997</v>
      </c>
      <c r="CM326">
        <v>0.88100000000000001</v>
      </c>
      <c r="CN326">
        <v>0.9</v>
      </c>
      <c r="CO326">
        <v>1</v>
      </c>
      <c r="CP326">
        <v>1</v>
      </c>
      <c r="CQ326">
        <v>0</v>
      </c>
      <c r="CR326">
        <v>4</v>
      </c>
      <c r="CS326">
        <v>0</v>
      </c>
      <c r="CT326">
        <v>1</v>
      </c>
      <c r="CU326">
        <v>0</v>
      </c>
      <c r="CV326">
        <v>1</v>
      </c>
      <c r="CW326">
        <v>1</v>
      </c>
      <c r="CX326">
        <v>0</v>
      </c>
      <c r="CY326">
        <v>0</v>
      </c>
      <c r="CZ326">
        <v>1</v>
      </c>
      <c r="DA326" t="s">
        <v>107</v>
      </c>
      <c r="DB326" t="s">
        <v>107</v>
      </c>
      <c r="DC326">
        <v>329</v>
      </c>
      <c r="DD326">
        <v>4.1000000000000002E-2</v>
      </c>
      <c r="DE326">
        <v>0.53200000000000003</v>
      </c>
      <c r="DF326">
        <v>65.8</v>
      </c>
      <c r="DG326">
        <v>7.7</v>
      </c>
    </row>
    <row r="327" spans="1:111" x14ac:dyDescent="0.2">
      <c r="A327">
        <v>2025</v>
      </c>
      <c r="B327" s="1">
        <v>45954</v>
      </c>
      <c r="C327" t="s">
        <v>95</v>
      </c>
      <c r="D327">
        <v>605483</v>
      </c>
      <c r="E327">
        <v>664702</v>
      </c>
      <c r="F327">
        <v>0</v>
      </c>
      <c r="G327">
        <v>0</v>
      </c>
      <c r="H327">
        <v>2</v>
      </c>
      <c r="I327" t="s">
        <v>163</v>
      </c>
      <c r="J327">
        <v>18</v>
      </c>
      <c r="K327">
        <v>1</v>
      </c>
      <c r="L327" t="s">
        <v>97</v>
      </c>
      <c r="M327" t="s">
        <v>98</v>
      </c>
      <c r="N327" t="s">
        <v>99</v>
      </c>
      <c r="O327">
        <f t="shared" si="80"/>
        <v>1</v>
      </c>
      <c r="P327">
        <f t="shared" si="81"/>
        <v>0</v>
      </c>
      <c r="Q327">
        <f t="shared" si="82"/>
        <v>0</v>
      </c>
      <c r="R327">
        <f t="shared" si="83"/>
        <v>0</v>
      </c>
      <c r="S327">
        <f t="shared" si="84"/>
        <v>0</v>
      </c>
      <c r="T327">
        <f t="shared" si="85"/>
        <v>0</v>
      </c>
      <c r="U327">
        <f t="shared" si="86"/>
        <v>0</v>
      </c>
      <c r="V327">
        <f t="shared" si="87"/>
        <v>0</v>
      </c>
      <c r="W327">
        <f t="shared" si="88"/>
        <v>0</v>
      </c>
      <c r="X327">
        <f t="shared" si="89"/>
        <v>0</v>
      </c>
      <c r="Y327">
        <f t="shared" si="90"/>
        <v>0</v>
      </c>
      <c r="Z327">
        <f t="shared" si="91"/>
        <v>0</v>
      </c>
      <c r="AA327">
        <f t="shared" si="92"/>
        <v>0</v>
      </c>
      <c r="AB327">
        <f t="shared" si="93"/>
        <v>0</v>
      </c>
      <c r="AC327">
        <f t="shared" si="94"/>
        <v>0</v>
      </c>
      <c r="AD327">
        <f t="shared" si="95"/>
        <v>0</v>
      </c>
      <c r="AE327">
        <v>94.2</v>
      </c>
      <c r="AF327">
        <v>2.04</v>
      </c>
      <c r="AG327">
        <v>6.5</v>
      </c>
      <c r="AH327" t="s">
        <v>108</v>
      </c>
      <c r="AI327" t="s">
        <v>97</v>
      </c>
      <c r="AJ327" t="s">
        <v>97</v>
      </c>
      <c r="AK327" t="s">
        <v>97</v>
      </c>
      <c r="AL327" t="s">
        <v>97</v>
      </c>
      <c r="AM327">
        <v>4</v>
      </c>
      <c r="AN327" t="s">
        <v>109</v>
      </c>
      <c r="AO327" t="s">
        <v>213</v>
      </c>
      <c r="AP327" t="s">
        <v>122</v>
      </c>
      <c r="AQ327" t="s">
        <v>103</v>
      </c>
      <c r="AR327" t="s">
        <v>214</v>
      </c>
      <c r="AS327" t="s">
        <v>104</v>
      </c>
      <c r="AT327" t="s">
        <v>110</v>
      </c>
      <c r="AU327" t="s">
        <v>97</v>
      </c>
      <c r="AV327" t="s">
        <v>97</v>
      </c>
      <c r="AW327">
        <v>0.28999999999999998</v>
      </c>
      <c r="AX327">
        <v>1.52</v>
      </c>
      <c r="AY327">
        <v>-0.55000000000000004</v>
      </c>
      <c r="AZ327">
        <v>2.17</v>
      </c>
      <c r="BA327" t="s">
        <v>97</v>
      </c>
      <c r="BB327" t="s">
        <v>97</v>
      </c>
      <c r="BC327">
        <v>676391</v>
      </c>
      <c r="BD327">
        <v>0</v>
      </c>
      <c r="BE327" t="s">
        <v>97</v>
      </c>
      <c r="BF327" t="s">
        <v>97</v>
      </c>
      <c r="BG327" t="s">
        <v>97</v>
      </c>
      <c r="BH327" t="s">
        <v>97</v>
      </c>
      <c r="BI327">
        <v>669257</v>
      </c>
      <c r="BJ327">
        <v>669257</v>
      </c>
      <c r="BK327" t="s">
        <v>97</v>
      </c>
      <c r="BL327" t="s">
        <v>97</v>
      </c>
      <c r="BM327">
        <v>-7.4516586350000003</v>
      </c>
      <c r="BN327">
        <v>-136.68497260000001</v>
      </c>
      <c r="BO327">
        <v>-8.9181087689999998</v>
      </c>
      <c r="BP327">
        <v>5.4500552920000001</v>
      </c>
      <c r="BQ327">
        <v>32.906728549999997</v>
      </c>
      <c r="BR327">
        <v>-11.25700016</v>
      </c>
      <c r="BS327">
        <v>3.42</v>
      </c>
      <c r="BT327">
        <v>1.58</v>
      </c>
      <c r="BU327" t="s">
        <v>97</v>
      </c>
      <c r="BV327" t="s">
        <v>97</v>
      </c>
      <c r="BW327" t="s">
        <v>97</v>
      </c>
      <c r="BX327">
        <v>94.8</v>
      </c>
      <c r="BY327">
        <v>2434</v>
      </c>
      <c r="BZ327">
        <v>7</v>
      </c>
      <c r="CA327">
        <v>813027</v>
      </c>
      <c r="CB327">
        <v>669257</v>
      </c>
      <c r="CC327">
        <v>669257</v>
      </c>
      <c r="CD327">
        <v>518692</v>
      </c>
      <c r="CE327">
        <v>669242</v>
      </c>
      <c r="CF327">
        <v>571970</v>
      </c>
      <c r="CG327">
        <v>605141</v>
      </c>
      <c r="CH327">
        <v>571771</v>
      </c>
      <c r="CI327">
        <v>681624</v>
      </c>
      <c r="CJ327">
        <v>606192</v>
      </c>
      <c r="CK327">
        <v>53.52</v>
      </c>
      <c r="CL327" t="s">
        <v>97</v>
      </c>
      <c r="CM327" t="s">
        <v>97</v>
      </c>
      <c r="CN327" t="s">
        <v>97</v>
      </c>
      <c r="CO327" t="s">
        <v>97</v>
      </c>
      <c r="CP327" t="s">
        <v>97</v>
      </c>
      <c r="CQ327" t="s">
        <v>97</v>
      </c>
      <c r="CR327" t="s">
        <v>97</v>
      </c>
      <c r="CS327">
        <v>0</v>
      </c>
      <c r="CT327">
        <v>1</v>
      </c>
      <c r="CU327">
        <v>0</v>
      </c>
      <c r="CV327">
        <v>1</v>
      </c>
      <c r="CW327">
        <v>1</v>
      </c>
      <c r="CX327">
        <v>0</v>
      </c>
      <c r="CY327">
        <v>0</v>
      </c>
      <c r="CZ327">
        <v>1</v>
      </c>
      <c r="DA327" t="s">
        <v>115</v>
      </c>
      <c r="DB327" t="s">
        <v>107</v>
      </c>
      <c r="DC327">
        <v>160</v>
      </c>
      <c r="DD327">
        <v>0</v>
      </c>
      <c r="DE327">
        <v>-4.2999999999999997E-2</v>
      </c>
      <c r="DF327" t="s">
        <v>97</v>
      </c>
      <c r="DG327" t="s">
        <v>97</v>
      </c>
    </row>
    <row r="328" spans="1:111" x14ac:dyDescent="0.2">
      <c r="A328">
        <v>2025</v>
      </c>
      <c r="B328" s="1">
        <v>45954</v>
      </c>
      <c r="C328" t="s">
        <v>95</v>
      </c>
      <c r="D328">
        <v>605483</v>
      </c>
      <c r="E328">
        <v>664702</v>
      </c>
      <c r="F328">
        <v>0</v>
      </c>
      <c r="G328">
        <v>1</v>
      </c>
      <c r="H328">
        <v>2</v>
      </c>
      <c r="I328" t="s">
        <v>163</v>
      </c>
      <c r="J328">
        <v>18</v>
      </c>
      <c r="K328">
        <v>2</v>
      </c>
      <c r="L328" t="s">
        <v>97</v>
      </c>
      <c r="M328" t="s">
        <v>98</v>
      </c>
      <c r="N328" t="s">
        <v>99</v>
      </c>
      <c r="O328">
        <f t="shared" si="80"/>
        <v>1</v>
      </c>
      <c r="P328">
        <f t="shared" si="81"/>
        <v>0</v>
      </c>
      <c r="Q328">
        <f t="shared" si="82"/>
        <v>0</v>
      </c>
      <c r="R328">
        <f t="shared" si="83"/>
        <v>0</v>
      </c>
      <c r="S328">
        <f t="shared" si="84"/>
        <v>0</v>
      </c>
      <c r="T328">
        <f t="shared" si="85"/>
        <v>0</v>
      </c>
      <c r="U328">
        <f t="shared" si="86"/>
        <v>0</v>
      </c>
      <c r="V328">
        <f t="shared" si="87"/>
        <v>0</v>
      </c>
      <c r="W328">
        <f t="shared" si="88"/>
        <v>0</v>
      </c>
      <c r="X328">
        <f t="shared" si="89"/>
        <v>0</v>
      </c>
      <c r="Y328">
        <f t="shared" si="90"/>
        <v>0</v>
      </c>
      <c r="Z328">
        <f t="shared" si="91"/>
        <v>0</v>
      </c>
      <c r="AA328">
        <f t="shared" si="92"/>
        <v>0</v>
      </c>
      <c r="AB328">
        <f t="shared" si="93"/>
        <v>0</v>
      </c>
      <c r="AC328">
        <f t="shared" si="94"/>
        <v>0</v>
      </c>
      <c r="AD328">
        <f t="shared" si="95"/>
        <v>0</v>
      </c>
      <c r="AE328">
        <v>95.1</v>
      </c>
      <c r="AF328">
        <v>2.15</v>
      </c>
      <c r="AG328">
        <v>6.41</v>
      </c>
      <c r="AH328" t="s">
        <v>100</v>
      </c>
      <c r="AI328" t="s">
        <v>97</v>
      </c>
      <c r="AJ328" t="s">
        <v>97</v>
      </c>
      <c r="AK328" t="s">
        <v>97</v>
      </c>
      <c r="AL328" t="s">
        <v>97</v>
      </c>
      <c r="AM328">
        <v>12</v>
      </c>
      <c r="AN328" t="s">
        <v>101</v>
      </c>
      <c r="AO328" t="s">
        <v>213</v>
      </c>
      <c r="AP328" t="s">
        <v>122</v>
      </c>
      <c r="AQ328" t="s">
        <v>103</v>
      </c>
      <c r="AR328" t="s">
        <v>214</v>
      </c>
      <c r="AS328" t="s">
        <v>104</v>
      </c>
      <c r="AT328" t="s">
        <v>106</v>
      </c>
      <c r="AU328" t="s">
        <v>97</v>
      </c>
      <c r="AV328" t="s">
        <v>97</v>
      </c>
      <c r="AW328">
        <v>0.36</v>
      </c>
      <c r="AX328">
        <v>1.63</v>
      </c>
      <c r="AY328">
        <v>0.8</v>
      </c>
      <c r="AZ328">
        <v>3.93</v>
      </c>
      <c r="BA328" t="s">
        <v>97</v>
      </c>
      <c r="BB328" t="s">
        <v>97</v>
      </c>
      <c r="BC328">
        <v>676391</v>
      </c>
      <c r="BD328">
        <v>0</v>
      </c>
      <c r="BE328" t="s">
        <v>97</v>
      </c>
      <c r="BF328" t="s">
        <v>97</v>
      </c>
      <c r="BG328" t="s">
        <v>97</v>
      </c>
      <c r="BH328" t="s">
        <v>97</v>
      </c>
      <c r="BI328">
        <v>669257</v>
      </c>
      <c r="BJ328">
        <v>669257</v>
      </c>
      <c r="BK328" t="s">
        <v>97</v>
      </c>
      <c r="BL328" t="s">
        <v>97</v>
      </c>
      <c r="BM328">
        <v>-4.3755938480000003</v>
      </c>
      <c r="BN328">
        <v>-138.3911761</v>
      </c>
      <c r="BO328">
        <v>-4.5076703650000001</v>
      </c>
      <c r="BP328">
        <v>5.6041200499999997</v>
      </c>
      <c r="BQ328">
        <v>33.735626590000003</v>
      </c>
      <c r="BR328">
        <v>-10.44510665</v>
      </c>
      <c r="BS328">
        <v>3.45</v>
      </c>
      <c r="BT328">
        <v>1.6</v>
      </c>
      <c r="BU328" t="s">
        <v>97</v>
      </c>
      <c r="BV328" t="s">
        <v>97</v>
      </c>
      <c r="BW328" t="s">
        <v>97</v>
      </c>
      <c r="BX328">
        <v>95.6</v>
      </c>
      <c r="BY328">
        <v>2428</v>
      </c>
      <c r="BZ328">
        <v>6.8</v>
      </c>
      <c r="CA328">
        <v>813027</v>
      </c>
      <c r="CB328">
        <v>669257</v>
      </c>
      <c r="CC328">
        <v>669257</v>
      </c>
      <c r="CD328">
        <v>518692</v>
      </c>
      <c r="CE328">
        <v>669242</v>
      </c>
      <c r="CF328">
        <v>571970</v>
      </c>
      <c r="CG328">
        <v>605141</v>
      </c>
      <c r="CH328">
        <v>571771</v>
      </c>
      <c r="CI328">
        <v>681624</v>
      </c>
      <c r="CJ328">
        <v>606192</v>
      </c>
      <c r="CK328">
        <v>53.73</v>
      </c>
      <c r="CL328" t="s">
        <v>97</v>
      </c>
      <c r="CM328" t="s">
        <v>97</v>
      </c>
      <c r="CN328" t="s">
        <v>97</v>
      </c>
      <c r="CO328" t="s">
        <v>97</v>
      </c>
      <c r="CP328" t="s">
        <v>97</v>
      </c>
      <c r="CQ328" t="s">
        <v>97</v>
      </c>
      <c r="CR328" t="s">
        <v>97</v>
      </c>
      <c r="CS328">
        <v>0</v>
      </c>
      <c r="CT328">
        <v>1</v>
      </c>
      <c r="CU328">
        <v>0</v>
      </c>
      <c r="CV328">
        <v>1</v>
      </c>
      <c r="CW328">
        <v>1</v>
      </c>
      <c r="CX328">
        <v>0</v>
      </c>
      <c r="CY328">
        <v>0</v>
      </c>
      <c r="CZ328">
        <v>1</v>
      </c>
      <c r="DA328" t="s">
        <v>107</v>
      </c>
      <c r="DB328" t="s">
        <v>107</v>
      </c>
      <c r="DC328">
        <v>158</v>
      </c>
      <c r="DD328">
        <v>0</v>
      </c>
      <c r="DE328">
        <v>3.4000000000000002E-2</v>
      </c>
      <c r="DF328" t="s">
        <v>97</v>
      </c>
      <c r="DG328" t="s">
        <v>97</v>
      </c>
    </row>
    <row r="329" spans="1:111" x14ac:dyDescent="0.2">
      <c r="A329">
        <v>2025</v>
      </c>
      <c r="B329" s="1">
        <v>45954</v>
      </c>
      <c r="C329" t="s">
        <v>95</v>
      </c>
      <c r="D329">
        <v>605483</v>
      </c>
      <c r="E329">
        <v>664702</v>
      </c>
      <c r="F329">
        <v>1</v>
      </c>
      <c r="G329">
        <v>1</v>
      </c>
      <c r="H329">
        <v>2</v>
      </c>
      <c r="I329" t="s">
        <v>163</v>
      </c>
      <c r="J329">
        <v>18</v>
      </c>
      <c r="K329">
        <v>3</v>
      </c>
      <c r="L329" t="s">
        <v>97</v>
      </c>
      <c r="M329" t="s">
        <v>98</v>
      </c>
      <c r="N329" t="s">
        <v>99</v>
      </c>
      <c r="O329">
        <f t="shared" si="80"/>
        <v>0</v>
      </c>
      <c r="P329">
        <f t="shared" si="81"/>
        <v>0</v>
      </c>
      <c r="Q329">
        <f t="shared" si="82"/>
        <v>1</v>
      </c>
      <c r="R329">
        <f t="shared" si="83"/>
        <v>0</v>
      </c>
      <c r="S329">
        <f t="shared" si="84"/>
        <v>0</v>
      </c>
      <c r="T329">
        <f t="shared" si="85"/>
        <v>0</v>
      </c>
      <c r="U329">
        <f t="shared" si="86"/>
        <v>0</v>
      </c>
      <c r="V329">
        <f t="shared" si="87"/>
        <v>0</v>
      </c>
      <c r="W329">
        <f t="shared" si="88"/>
        <v>0</v>
      </c>
      <c r="X329">
        <f t="shared" si="89"/>
        <v>0</v>
      </c>
      <c r="Y329">
        <f t="shared" si="90"/>
        <v>0</v>
      </c>
      <c r="Z329">
        <f t="shared" si="91"/>
        <v>0</v>
      </c>
      <c r="AA329">
        <f t="shared" si="92"/>
        <v>0</v>
      </c>
      <c r="AB329">
        <f t="shared" si="93"/>
        <v>0</v>
      </c>
      <c r="AC329">
        <f t="shared" si="94"/>
        <v>0</v>
      </c>
      <c r="AD329">
        <f t="shared" si="95"/>
        <v>0</v>
      </c>
      <c r="AE329">
        <v>95.2</v>
      </c>
      <c r="AF329">
        <v>2</v>
      </c>
      <c r="AG329">
        <v>6.46</v>
      </c>
      <c r="AH329" t="s">
        <v>129</v>
      </c>
      <c r="AI329" t="s">
        <v>97</v>
      </c>
      <c r="AJ329" t="s">
        <v>97</v>
      </c>
      <c r="AK329" t="s">
        <v>97</v>
      </c>
      <c r="AL329" t="s">
        <v>97</v>
      </c>
      <c r="AM329">
        <v>4</v>
      </c>
      <c r="AN329" t="s">
        <v>130</v>
      </c>
      <c r="AO329" t="s">
        <v>213</v>
      </c>
      <c r="AP329" t="s">
        <v>122</v>
      </c>
      <c r="AQ329" t="s">
        <v>103</v>
      </c>
      <c r="AR329" t="s">
        <v>214</v>
      </c>
      <c r="AS329" t="s">
        <v>104</v>
      </c>
      <c r="AT329" t="s">
        <v>110</v>
      </c>
      <c r="AU329" t="s">
        <v>97</v>
      </c>
      <c r="AV329" t="s">
        <v>97</v>
      </c>
      <c r="AW329">
        <v>0.32</v>
      </c>
      <c r="AX329">
        <v>1.47</v>
      </c>
      <c r="AY329">
        <v>-0.49</v>
      </c>
      <c r="AZ329">
        <v>2.5499999999999998</v>
      </c>
      <c r="BA329" t="s">
        <v>97</v>
      </c>
      <c r="BB329" t="s">
        <v>97</v>
      </c>
      <c r="BC329">
        <v>676391</v>
      </c>
      <c r="BD329">
        <v>0</v>
      </c>
      <c r="BE329" t="s">
        <v>97</v>
      </c>
      <c r="BF329" t="s">
        <v>97</v>
      </c>
      <c r="BG329" t="s">
        <v>97</v>
      </c>
      <c r="BH329" t="s">
        <v>97</v>
      </c>
      <c r="BI329">
        <v>669257</v>
      </c>
      <c r="BJ329">
        <v>669257</v>
      </c>
      <c r="BK329" t="s">
        <v>97</v>
      </c>
      <c r="BL329" t="s">
        <v>97</v>
      </c>
      <c r="BM329">
        <v>-7.3371984909999997</v>
      </c>
      <c r="BN329">
        <v>-138.2596738</v>
      </c>
      <c r="BO329">
        <v>-7.9533505529999999</v>
      </c>
      <c r="BP329">
        <v>5.8650939199999996</v>
      </c>
      <c r="BQ329">
        <v>33.112798779999999</v>
      </c>
      <c r="BR329">
        <v>-11.642403679999999</v>
      </c>
      <c r="BS329">
        <v>3.44</v>
      </c>
      <c r="BT329">
        <v>1.62</v>
      </c>
      <c r="BU329">
        <v>195</v>
      </c>
      <c r="BV329">
        <v>70.5</v>
      </c>
      <c r="BW329">
        <v>46</v>
      </c>
      <c r="BX329">
        <v>95.8</v>
      </c>
      <c r="BY329">
        <v>2408</v>
      </c>
      <c r="BZ329">
        <v>6.9</v>
      </c>
      <c r="CA329">
        <v>813027</v>
      </c>
      <c r="CB329">
        <v>669257</v>
      </c>
      <c r="CC329">
        <v>669257</v>
      </c>
      <c r="CD329">
        <v>518692</v>
      </c>
      <c r="CE329">
        <v>669242</v>
      </c>
      <c r="CF329">
        <v>571970</v>
      </c>
      <c r="CG329">
        <v>605141</v>
      </c>
      <c r="CH329">
        <v>571771</v>
      </c>
      <c r="CI329">
        <v>681624</v>
      </c>
      <c r="CJ329">
        <v>606192</v>
      </c>
      <c r="CK329">
        <v>53.58</v>
      </c>
      <c r="CL329" t="s">
        <v>97</v>
      </c>
      <c r="CM329" t="s">
        <v>97</v>
      </c>
      <c r="CN329" t="s">
        <v>97</v>
      </c>
      <c r="CO329" t="s">
        <v>97</v>
      </c>
      <c r="CP329" t="s">
        <v>97</v>
      </c>
      <c r="CQ329" t="s">
        <v>97</v>
      </c>
      <c r="CR329" t="s">
        <v>97</v>
      </c>
      <c r="CS329">
        <v>0</v>
      </c>
      <c r="CT329">
        <v>1</v>
      </c>
      <c r="CU329">
        <v>0</v>
      </c>
      <c r="CV329">
        <v>1</v>
      </c>
      <c r="CW329">
        <v>1</v>
      </c>
      <c r="CX329">
        <v>0</v>
      </c>
      <c r="CY329">
        <v>0</v>
      </c>
      <c r="CZ329">
        <v>1</v>
      </c>
      <c r="DA329" t="s">
        <v>107</v>
      </c>
      <c r="DB329" t="s">
        <v>107</v>
      </c>
      <c r="DC329">
        <v>155</v>
      </c>
      <c r="DD329">
        <v>0</v>
      </c>
      <c r="DE329">
        <v>-7.0000000000000007E-2</v>
      </c>
      <c r="DF329">
        <v>67.2</v>
      </c>
      <c r="DG329">
        <v>6.8</v>
      </c>
    </row>
    <row r="330" spans="1:111" x14ac:dyDescent="0.2">
      <c r="A330">
        <v>2025</v>
      </c>
      <c r="B330" s="1">
        <v>45954</v>
      </c>
      <c r="C330" t="s">
        <v>95</v>
      </c>
      <c r="D330">
        <v>605483</v>
      </c>
      <c r="E330">
        <v>664702</v>
      </c>
      <c r="F330">
        <v>1</v>
      </c>
      <c r="G330">
        <v>2</v>
      </c>
      <c r="H330">
        <v>2</v>
      </c>
      <c r="I330" t="s">
        <v>163</v>
      </c>
      <c r="J330">
        <v>18</v>
      </c>
      <c r="K330">
        <v>4</v>
      </c>
      <c r="L330" t="s">
        <v>116</v>
      </c>
      <c r="M330" t="s">
        <v>132</v>
      </c>
      <c r="N330" t="s">
        <v>133</v>
      </c>
      <c r="O330">
        <f t="shared" si="80"/>
        <v>0</v>
      </c>
      <c r="P330">
        <f t="shared" si="81"/>
        <v>0</v>
      </c>
      <c r="Q330">
        <f t="shared" si="82"/>
        <v>0</v>
      </c>
      <c r="R330">
        <f t="shared" si="83"/>
        <v>0</v>
      </c>
      <c r="S330">
        <f t="shared" si="84"/>
        <v>0</v>
      </c>
      <c r="T330">
        <f t="shared" si="85"/>
        <v>0</v>
      </c>
      <c r="U330">
        <f t="shared" si="86"/>
        <v>0</v>
      </c>
      <c r="V330">
        <f t="shared" si="87"/>
        <v>0</v>
      </c>
      <c r="W330">
        <f t="shared" si="88"/>
        <v>0</v>
      </c>
      <c r="X330">
        <f t="shared" si="89"/>
        <v>0</v>
      </c>
      <c r="Y330">
        <f t="shared" si="90"/>
        <v>1</v>
      </c>
      <c r="Z330">
        <f t="shared" si="91"/>
        <v>0</v>
      </c>
      <c r="AA330">
        <f t="shared" si="92"/>
        <v>0</v>
      </c>
      <c r="AB330">
        <f t="shared" si="93"/>
        <v>0</v>
      </c>
      <c r="AC330">
        <f t="shared" si="94"/>
        <v>0</v>
      </c>
      <c r="AD330">
        <f t="shared" si="95"/>
        <v>0</v>
      </c>
      <c r="AE330">
        <v>83.2</v>
      </c>
      <c r="AF330">
        <v>2.2400000000000002</v>
      </c>
      <c r="AG330">
        <v>6.41</v>
      </c>
      <c r="AH330" t="s">
        <v>145</v>
      </c>
      <c r="AI330" t="s">
        <v>97</v>
      </c>
      <c r="AJ330" t="s">
        <v>97</v>
      </c>
      <c r="AK330" t="s">
        <v>97</v>
      </c>
      <c r="AL330" t="s">
        <v>97</v>
      </c>
      <c r="AM330">
        <v>5</v>
      </c>
      <c r="AN330" t="s">
        <v>223</v>
      </c>
      <c r="AO330" t="s">
        <v>213</v>
      </c>
      <c r="AP330" t="s">
        <v>122</v>
      </c>
      <c r="AQ330" t="s">
        <v>103</v>
      </c>
      <c r="AR330" t="s">
        <v>214</v>
      </c>
      <c r="AS330" t="s">
        <v>104</v>
      </c>
      <c r="AT330" t="s">
        <v>110</v>
      </c>
      <c r="AU330">
        <v>2</v>
      </c>
      <c r="AV330" t="s">
        <v>97</v>
      </c>
      <c r="AW330">
        <v>1.3</v>
      </c>
      <c r="AX330">
        <v>1</v>
      </c>
      <c r="AY330">
        <v>0.18</v>
      </c>
      <c r="AZ330">
        <v>2.81</v>
      </c>
      <c r="BA330" t="s">
        <v>97</v>
      </c>
      <c r="BB330" t="s">
        <v>97</v>
      </c>
      <c r="BC330">
        <v>676391</v>
      </c>
      <c r="BD330">
        <v>0</v>
      </c>
      <c r="BE330" t="s">
        <v>97</v>
      </c>
      <c r="BF330" t="s">
        <v>97</v>
      </c>
      <c r="BG330" t="s">
        <v>97</v>
      </c>
      <c r="BH330" t="s">
        <v>97</v>
      </c>
      <c r="BI330">
        <v>669257</v>
      </c>
      <c r="BJ330">
        <v>669257</v>
      </c>
      <c r="BK330" t="s">
        <v>97</v>
      </c>
      <c r="BL330" t="s">
        <v>97</v>
      </c>
      <c r="BM330">
        <v>-7.3303416070000003</v>
      </c>
      <c r="BN330">
        <v>-120.8453615</v>
      </c>
      <c r="BO330">
        <v>-3.7418790569999998</v>
      </c>
      <c r="BP330">
        <v>14.233831260000001</v>
      </c>
      <c r="BQ330">
        <v>24.728028739999999</v>
      </c>
      <c r="BR330">
        <v>-21.8491559</v>
      </c>
      <c r="BS330">
        <v>3.44</v>
      </c>
      <c r="BT330">
        <v>1.62</v>
      </c>
      <c r="BU330" t="s">
        <v>97</v>
      </c>
      <c r="BV330" t="s">
        <v>97</v>
      </c>
      <c r="BW330" t="s">
        <v>97</v>
      </c>
      <c r="BX330">
        <v>83.6</v>
      </c>
      <c r="BY330">
        <v>1789</v>
      </c>
      <c r="BZ330">
        <v>6.7</v>
      </c>
      <c r="CA330">
        <v>813027</v>
      </c>
      <c r="CB330">
        <v>669257</v>
      </c>
      <c r="CC330">
        <v>669257</v>
      </c>
      <c r="CD330">
        <v>518692</v>
      </c>
      <c r="CE330">
        <v>669242</v>
      </c>
      <c r="CF330">
        <v>571970</v>
      </c>
      <c r="CG330">
        <v>605141</v>
      </c>
      <c r="CH330">
        <v>571771</v>
      </c>
      <c r="CI330">
        <v>681624</v>
      </c>
      <c r="CJ330">
        <v>606192</v>
      </c>
      <c r="CK330">
        <v>53.76</v>
      </c>
      <c r="CL330" t="s">
        <v>97</v>
      </c>
      <c r="CM330">
        <v>0</v>
      </c>
      <c r="CN330">
        <v>0</v>
      </c>
      <c r="CO330">
        <v>1</v>
      </c>
      <c r="CP330">
        <v>0</v>
      </c>
      <c r="CQ330">
        <v>0</v>
      </c>
      <c r="CR330" t="s">
        <v>97</v>
      </c>
      <c r="CS330">
        <v>0</v>
      </c>
      <c r="CT330">
        <v>1</v>
      </c>
      <c r="CU330">
        <v>0</v>
      </c>
      <c r="CV330">
        <v>1</v>
      </c>
      <c r="CW330">
        <v>1</v>
      </c>
      <c r="CX330">
        <v>0</v>
      </c>
      <c r="CY330">
        <v>0</v>
      </c>
      <c r="CZ330">
        <v>1</v>
      </c>
      <c r="DA330" t="s">
        <v>107</v>
      </c>
      <c r="DB330" t="s">
        <v>107</v>
      </c>
      <c r="DC330">
        <v>133</v>
      </c>
      <c r="DD330">
        <v>-3.7999999999999999E-2</v>
      </c>
      <c r="DE330">
        <v>-0.16500000000000001</v>
      </c>
      <c r="DF330">
        <v>70.099999999999994</v>
      </c>
      <c r="DG330">
        <v>7.2</v>
      </c>
    </row>
    <row r="331" spans="1:111" x14ac:dyDescent="0.2">
      <c r="A331">
        <v>2025</v>
      </c>
      <c r="B331" s="1">
        <v>45954</v>
      </c>
      <c r="C331" t="s">
        <v>95</v>
      </c>
      <c r="D331">
        <v>605483</v>
      </c>
      <c r="E331">
        <v>665926</v>
      </c>
      <c r="F331">
        <v>0</v>
      </c>
      <c r="G331">
        <v>0</v>
      </c>
      <c r="H331">
        <v>2</v>
      </c>
      <c r="I331" t="s">
        <v>163</v>
      </c>
      <c r="J331">
        <v>19</v>
      </c>
      <c r="K331">
        <v>1</v>
      </c>
      <c r="L331" t="s">
        <v>97</v>
      </c>
      <c r="M331" t="s">
        <v>111</v>
      </c>
      <c r="N331" t="s">
        <v>112</v>
      </c>
      <c r="O331">
        <f t="shared" si="80"/>
        <v>0</v>
      </c>
      <c r="P331">
        <f t="shared" si="81"/>
        <v>0</v>
      </c>
      <c r="Q331">
        <f t="shared" si="82"/>
        <v>0</v>
      </c>
      <c r="R331">
        <f t="shared" si="83"/>
        <v>0</v>
      </c>
      <c r="S331">
        <f t="shared" si="84"/>
        <v>0</v>
      </c>
      <c r="T331">
        <f t="shared" si="85"/>
        <v>0</v>
      </c>
      <c r="U331">
        <f t="shared" si="86"/>
        <v>0</v>
      </c>
      <c r="V331">
        <f t="shared" si="87"/>
        <v>1</v>
      </c>
      <c r="W331">
        <f t="shared" si="88"/>
        <v>0</v>
      </c>
      <c r="X331">
        <f t="shared" si="89"/>
        <v>0</v>
      </c>
      <c r="Y331">
        <f t="shared" si="90"/>
        <v>0</v>
      </c>
      <c r="Z331">
        <f t="shared" si="91"/>
        <v>0</v>
      </c>
      <c r="AA331">
        <f t="shared" si="92"/>
        <v>0</v>
      </c>
      <c r="AB331">
        <f t="shared" si="93"/>
        <v>0</v>
      </c>
      <c r="AC331">
        <f t="shared" si="94"/>
        <v>0</v>
      </c>
      <c r="AD331">
        <f t="shared" si="95"/>
        <v>0</v>
      </c>
      <c r="AE331">
        <v>79.7</v>
      </c>
      <c r="AF331">
        <v>1.98</v>
      </c>
      <c r="AG331">
        <v>6.42</v>
      </c>
      <c r="AH331" t="s">
        <v>140</v>
      </c>
      <c r="AI331" t="s">
        <v>97</v>
      </c>
      <c r="AJ331" t="s">
        <v>97</v>
      </c>
      <c r="AK331" t="s">
        <v>97</v>
      </c>
      <c r="AL331" t="s">
        <v>97</v>
      </c>
      <c r="AM331">
        <v>13</v>
      </c>
      <c r="AN331" t="s">
        <v>141</v>
      </c>
      <c r="AO331" t="s">
        <v>213</v>
      </c>
      <c r="AP331" t="s">
        <v>103</v>
      </c>
      <c r="AQ331" t="s">
        <v>103</v>
      </c>
      <c r="AR331" t="s">
        <v>214</v>
      </c>
      <c r="AS331" t="s">
        <v>104</v>
      </c>
      <c r="AT331" t="s">
        <v>106</v>
      </c>
      <c r="AU331" t="s">
        <v>97</v>
      </c>
      <c r="AV331" t="s">
        <v>97</v>
      </c>
      <c r="AW331">
        <v>-1.1399999999999999</v>
      </c>
      <c r="AX331">
        <v>-0.94</v>
      </c>
      <c r="AY331">
        <v>-0.89</v>
      </c>
      <c r="AZ331">
        <v>0.51</v>
      </c>
      <c r="BA331" t="s">
        <v>97</v>
      </c>
      <c r="BB331" t="s">
        <v>97</v>
      </c>
      <c r="BC331">
        <v>676391</v>
      </c>
      <c r="BD331">
        <v>1</v>
      </c>
      <c r="BE331" t="s">
        <v>97</v>
      </c>
      <c r="BF331" t="s">
        <v>97</v>
      </c>
      <c r="BG331" t="s">
        <v>97</v>
      </c>
      <c r="BH331" t="s">
        <v>97</v>
      </c>
      <c r="BI331">
        <v>669257</v>
      </c>
      <c r="BJ331">
        <v>669257</v>
      </c>
      <c r="BK331" t="s">
        <v>97</v>
      </c>
      <c r="BL331" t="s">
        <v>97</v>
      </c>
      <c r="BM331">
        <v>-4.1989347720000003</v>
      </c>
      <c r="BN331">
        <v>-115.9296605</v>
      </c>
      <c r="BO331">
        <v>-4.352032898</v>
      </c>
      <c r="BP331">
        <v>-9.1731388680000006</v>
      </c>
      <c r="BQ331">
        <v>26.0098764</v>
      </c>
      <c r="BR331">
        <v>-39.832859710000001</v>
      </c>
      <c r="BS331">
        <v>3.33</v>
      </c>
      <c r="BT331">
        <v>1.5</v>
      </c>
      <c r="BU331" t="s">
        <v>97</v>
      </c>
      <c r="BV331" t="s">
        <v>97</v>
      </c>
      <c r="BW331" t="s">
        <v>97</v>
      </c>
      <c r="BX331">
        <v>79.7</v>
      </c>
      <c r="BY331">
        <v>2587</v>
      </c>
      <c r="BZ331">
        <v>6.8</v>
      </c>
      <c r="CA331">
        <v>813027</v>
      </c>
      <c r="CB331">
        <v>669257</v>
      </c>
      <c r="CC331">
        <v>669257</v>
      </c>
      <c r="CD331">
        <v>518692</v>
      </c>
      <c r="CE331">
        <v>669242</v>
      </c>
      <c r="CF331">
        <v>571970</v>
      </c>
      <c r="CG331">
        <v>605141</v>
      </c>
      <c r="CH331">
        <v>571771</v>
      </c>
      <c r="CI331">
        <v>681624</v>
      </c>
      <c r="CJ331">
        <v>606192</v>
      </c>
      <c r="CK331">
        <v>53.73</v>
      </c>
      <c r="CL331" t="s">
        <v>97</v>
      </c>
      <c r="CM331" t="s">
        <v>97</v>
      </c>
      <c r="CN331" t="s">
        <v>97</v>
      </c>
      <c r="CO331" t="s">
        <v>97</v>
      </c>
      <c r="CP331" t="s">
        <v>97</v>
      </c>
      <c r="CQ331" t="s">
        <v>97</v>
      </c>
      <c r="CR331" t="s">
        <v>97</v>
      </c>
      <c r="CS331">
        <v>0</v>
      </c>
      <c r="CT331">
        <v>1</v>
      </c>
      <c r="CU331">
        <v>0</v>
      </c>
      <c r="CV331">
        <v>1</v>
      </c>
      <c r="CW331">
        <v>1</v>
      </c>
      <c r="CX331">
        <v>0</v>
      </c>
      <c r="CY331">
        <v>0</v>
      </c>
      <c r="CZ331">
        <v>1</v>
      </c>
      <c r="DA331" t="s">
        <v>107</v>
      </c>
      <c r="DB331" t="s">
        <v>107</v>
      </c>
      <c r="DC331">
        <v>325</v>
      </c>
      <c r="DD331">
        <v>0</v>
      </c>
      <c r="DE331">
        <v>3.5000000000000003E-2</v>
      </c>
      <c r="DF331" t="s">
        <v>97</v>
      </c>
      <c r="DG331" t="s">
        <v>97</v>
      </c>
    </row>
    <row r="332" spans="1:111" x14ac:dyDescent="0.2">
      <c r="A332">
        <v>2025</v>
      </c>
      <c r="B332" s="1">
        <v>45954</v>
      </c>
      <c r="C332" t="s">
        <v>95</v>
      </c>
      <c r="D332">
        <v>605483</v>
      </c>
      <c r="E332">
        <v>665926</v>
      </c>
      <c r="F332">
        <v>1</v>
      </c>
      <c r="G332">
        <v>0</v>
      </c>
      <c r="H332">
        <v>2</v>
      </c>
      <c r="I332" t="s">
        <v>163</v>
      </c>
      <c r="J332">
        <v>19</v>
      </c>
      <c r="K332">
        <v>2</v>
      </c>
      <c r="L332" t="s">
        <v>97</v>
      </c>
      <c r="M332" t="s">
        <v>138</v>
      </c>
      <c r="N332" t="s">
        <v>139</v>
      </c>
      <c r="O332">
        <f t="shared" si="80"/>
        <v>0</v>
      </c>
      <c r="P332">
        <f t="shared" si="81"/>
        <v>0</v>
      </c>
      <c r="Q332">
        <f t="shared" si="82"/>
        <v>0</v>
      </c>
      <c r="R332">
        <f t="shared" si="83"/>
        <v>0</v>
      </c>
      <c r="S332">
        <f t="shared" si="84"/>
        <v>0</v>
      </c>
      <c r="T332">
        <f t="shared" si="85"/>
        <v>0</v>
      </c>
      <c r="U332">
        <f t="shared" si="86"/>
        <v>0</v>
      </c>
      <c r="V332">
        <f t="shared" si="87"/>
        <v>0</v>
      </c>
      <c r="W332">
        <f t="shared" si="88"/>
        <v>0</v>
      </c>
      <c r="X332">
        <f t="shared" si="89"/>
        <v>0</v>
      </c>
      <c r="Y332">
        <f t="shared" si="90"/>
        <v>0</v>
      </c>
      <c r="Z332">
        <f t="shared" si="91"/>
        <v>0</v>
      </c>
      <c r="AA332">
        <f t="shared" si="92"/>
        <v>1</v>
      </c>
      <c r="AB332">
        <f t="shared" si="93"/>
        <v>0</v>
      </c>
      <c r="AC332">
        <f t="shared" si="94"/>
        <v>0</v>
      </c>
      <c r="AD332">
        <f t="shared" si="95"/>
        <v>0</v>
      </c>
      <c r="AE332">
        <v>90.8</v>
      </c>
      <c r="AF332">
        <v>1.98</v>
      </c>
      <c r="AG332">
        <v>6.5</v>
      </c>
      <c r="AH332" t="s">
        <v>100</v>
      </c>
      <c r="AI332" t="s">
        <v>97</v>
      </c>
      <c r="AJ332" t="s">
        <v>97</v>
      </c>
      <c r="AK332" t="s">
        <v>97</v>
      </c>
      <c r="AL332" t="s">
        <v>97</v>
      </c>
      <c r="AM332">
        <v>11</v>
      </c>
      <c r="AN332" t="s">
        <v>101</v>
      </c>
      <c r="AO332" t="s">
        <v>213</v>
      </c>
      <c r="AP332" t="s">
        <v>103</v>
      </c>
      <c r="AQ332" t="s">
        <v>103</v>
      </c>
      <c r="AR332" t="s">
        <v>214</v>
      </c>
      <c r="AS332" t="s">
        <v>104</v>
      </c>
      <c r="AT332" t="s">
        <v>106</v>
      </c>
      <c r="AU332" t="s">
        <v>97</v>
      </c>
      <c r="AV332" t="s">
        <v>97</v>
      </c>
      <c r="AW332">
        <v>0.02</v>
      </c>
      <c r="AX332">
        <v>0.77</v>
      </c>
      <c r="AY332">
        <v>-0.15</v>
      </c>
      <c r="AZ332">
        <v>3.6</v>
      </c>
      <c r="BA332" t="s">
        <v>97</v>
      </c>
      <c r="BB332" t="s">
        <v>97</v>
      </c>
      <c r="BC332">
        <v>676391</v>
      </c>
      <c r="BD332">
        <v>1</v>
      </c>
      <c r="BE332" t="s">
        <v>97</v>
      </c>
      <c r="BF332" t="s">
        <v>97</v>
      </c>
      <c r="BG332" t="s">
        <v>97</v>
      </c>
      <c r="BH332" t="s">
        <v>97</v>
      </c>
      <c r="BI332">
        <v>669257</v>
      </c>
      <c r="BJ332">
        <v>669257</v>
      </c>
      <c r="BK332" t="s">
        <v>97</v>
      </c>
      <c r="BL332" t="s">
        <v>97</v>
      </c>
      <c r="BM332">
        <v>-5.4434170279999998</v>
      </c>
      <c r="BN332">
        <v>-132.14639550000001</v>
      </c>
      <c r="BO332">
        <v>-2.9768633339999999</v>
      </c>
      <c r="BP332">
        <v>1.4746263799999999</v>
      </c>
      <c r="BQ332">
        <v>30.191967550000001</v>
      </c>
      <c r="BR332">
        <v>-22.763664049999999</v>
      </c>
      <c r="BS332">
        <v>3.29</v>
      </c>
      <c r="BT332">
        <v>1.5</v>
      </c>
      <c r="BU332" t="s">
        <v>97</v>
      </c>
      <c r="BV332" t="s">
        <v>97</v>
      </c>
      <c r="BW332" t="s">
        <v>97</v>
      </c>
      <c r="BX332">
        <v>91.6</v>
      </c>
      <c r="BY332">
        <v>2353</v>
      </c>
      <c r="BZ332">
        <v>6.9</v>
      </c>
      <c r="CA332">
        <v>813027</v>
      </c>
      <c r="CB332">
        <v>669257</v>
      </c>
      <c r="CC332">
        <v>669257</v>
      </c>
      <c r="CD332">
        <v>518692</v>
      </c>
      <c r="CE332">
        <v>669242</v>
      </c>
      <c r="CF332">
        <v>571970</v>
      </c>
      <c r="CG332">
        <v>605141</v>
      </c>
      <c r="CH332">
        <v>571771</v>
      </c>
      <c r="CI332">
        <v>681624</v>
      </c>
      <c r="CJ332">
        <v>606192</v>
      </c>
      <c r="CK332">
        <v>53.55</v>
      </c>
      <c r="CL332" t="s">
        <v>97</v>
      </c>
      <c r="CM332" t="s">
        <v>97</v>
      </c>
      <c r="CN332" t="s">
        <v>97</v>
      </c>
      <c r="CO332" t="s">
        <v>97</v>
      </c>
      <c r="CP332" t="s">
        <v>97</v>
      </c>
      <c r="CQ332" t="s">
        <v>97</v>
      </c>
      <c r="CR332" t="s">
        <v>97</v>
      </c>
      <c r="CS332">
        <v>0</v>
      </c>
      <c r="CT332">
        <v>1</v>
      </c>
      <c r="CU332">
        <v>0</v>
      </c>
      <c r="CV332">
        <v>1</v>
      </c>
      <c r="CW332">
        <v>1</v>
      </c>
      <c r="CX332">
        <v>0</v>
      </c>
      <c r="CY332">
        <v>0</v>
      </c>
      <c r="CZ332">
        <v>1</v>
      </c>
      <c r="DA332" t="s">
        <v>107</v>
      </c>
      <c r="DB332" t="s">
        <v>107</v>
      </c>
      <c r="DC332">
        <v>176</v>
      </c>
      <c r="DD332">
        <v>0</v>
      </c>
      <c r="DE332">
        <v>6.9000000000000006E-2</v>
      </c>
      <c r="DF332" t="s">
        <v>97</v>
      </c>
      <c r="DG332" t="s">
        <v>97</v>
      </c>
    </row>
    <row r="333" spans="1:111" x14ac:dyDescent="0.2">
      <c r="A333">
        <v>2025</v>
      </c>
      <c r="B333" s="1">
        <v>45954</v>
      </c>
      <c r="C333" t="s">
        <v>95</v>
      </c>
      <c r="D333">
        <v>605483</v>
      </c>
      <c r="E333">
        <v>665926</v>
      </c>
      <c r="F333">
        <v>2</v>
      </c>
      <c r="G333">
        <v>0</v>
      </c>
      <c r="H333">
        <v>2</v>
      </c>
      <c r="I333" t="s">
        <v>163</v>
      </c>
      <c r="J333">
        <v>19</v>
      </c>
      <c r="K333">
        <v>3</v>
      </c>
      <c r="L333" t="s">
        <v>97</v>
      </c>
      <c r="M333" t="s">
        <v>138</v>
      </c>
      <c r="N333" t="s">
        <v>139</v>
      </c>
      <c r="O333">
        <f t="shared" si="80"/>
        <v>0</v>
      </c>
      <c r="P333">
        <f t="shared" si="81"/>
        <v>0</v>
      </c>
      <c r="Q333">
        <f t="shared" si="82"/>
        <v>0</v>
      </c>
      <c r="R333">
        <f t="shared" si="83"/>
        <v>0</v>
      </c>
      <c r="S333">
        <f t="shared" si="84"/>
        <v>0</v>
      </c>
      <c r="T333">
        <f t="shared" si="85"/>
        <v>0</v>
      </c>
      <c r="U333">
        <f t="shared" si="86"/>
        <v>0</v>
      </c>
      <c r="V333">
        <f t="shared" si="87"/>
        <v>0</v>
      </c>
      <c r="W333">
        <f t="shared" si="88"/>
        <v>0</v>
      </c>
      <c r="X333">
        <f t="shared" si="89"/>
        <v>0</v>
      </c>
      <c r="Y333">
        <f t="shared" si="90"/>
        <v>0</v>
      </c>
      <c r="Z333">
        <f t="shared" si="91"/>
        <v>0</v>
      </c>
      <c r="AA333">
        <f t="shared" si="92"/>
        <v>1</v>
      </c>
      <c r="AB333">
        <f t="shared" si="93"/>
        <v>0</v>
      </c>
      <c r="AC333">
        <f t="shared" si="94"/>
        <v>0</v>
      </c>
      <c r="AD333">
        <f t="shared" si="95"/>
        <v>0</v>
      </c>
      <c r="AE333">
        <v>89.5</v>
      </c>
      <c r="AF333">
        <v>2.0499999999999998</v>
      </c>
      <c r="AG333">
        <v>6.47</v>
      </c>
      <c r="AH333" t="s">
        <v>113</v>
      </c>
      <c r="AI333" t="s">
        <v>97</v>
      </c>
      <c r="AJ333" t="s">
        <v>97</v>
      </c>
      <c r="AK333" t="s">
        <v>97</v>
      </c>
      <c r="AL333" t="s">
        <v>97</v>
      </c>
      <c r="AM333">
        <v>5</v>
      </c>
      <c r="AN333" t="s">
        <v>114</v>
      </c>
      <c r="AO333" t="s">
        <v>213</v>
      </c>
      <c r="AP333" t="s">
        <v>103</v>
      </c>
      <c r="AQ333" t="s">
        <v>103</v>
      </c>
      <c r="AR333" t="s">
        <v>214</v>
      </c>
      <c r="AS333" t="s">
        <v>104</v>
      </c>
      <c r="AT333" t="s">
        <v>110</v>
      </c>
      <c r="AU333" t="s">
        <v>97</v>
      </c>
      <c r="AV333" t="s">
        <v>97</v>
      </c>
      <c r="AW333">
        <v>-0.34</v>
      </c>
      <c r="AX333">
        <v>0.75</v>
      </c>
      <c r="AY333">
        <v>-0.09</v>
      </c>
      <c r="AZ333">
        <v>2.2999999999999998</v>
      </c>
      <c r="BA333" t="s">
        <v>97</v>
      </c>
      <c r="BB333" t="s">
        <v>97</v>
      </c>
      <c r="BC333">
        <v>676391</v>
      </c>
      <c r="BD333">
        <v>1</v>
      </c>
      <c r="BE333" t="s">
        <v>97</v>
      </c>
      <c r="BF333" t="s">
        <v>97</v>
      </c>
      <c r="BG333" t="s">
        <v>97</v>
      </c>
      <c r="BH333" t="s">
        <v>97</v>
      </c>
      <c r="BI333">
        <v>669257</v>
      </c>
      <c r="BJ333">
        <v>669257</v>
      </c>
      <c r="BK333" t="s">
        <v>97</v>
      </c>
      <c r="BL333" t="s">
        <v>97</v>
      </c>
      <c r="BM333">
        <v>-4.6311845219999999</v>
      </c>
      <c r="BN333">
        <v>-130.12822629999999</v>
      </c>
      <c r="BO333">
        <v>-5.8917155350000003</v>
      </c>
      <c r="BP333">
        <v>-2.7969866730000001</v>
      </c>
      <c r="BQ333">
        <v>28.17812425</v>
      </c>
      <c r="BR333">
        <v>-22.559142990000002</v>
      </c>
      <c r="BS333">
        <v>3.3</v>
      </c>
      <c r="BT333">
        <v>1.52</v>
      </c>
      <c r="BU333" t="s">
        <v>97</v>
      </c>
      <c r="BV333" t="s">
        <v>97</v>
      </c>
      <c r="BW333" t="s">
        <v>97</v>
      </c>
      <c r="BX333">
        <v>90.4</v>
      </c>
      <c r="BY333">
        <v>2259</v>
      </c>
      <c r="BZ333">
        <v>6.9</v>
      </c>
      <c r="CA333">
        <v>813027</v>
      </c>
      <c r="CB333">
        <v>669257</v>
      </c>
      <c r="CC333">
        <v>669257</v>
      </c>
      <c r="CD333">
        <v>518692</v>
      </c>
      <c r="CE333">
        <v>669242</v>
      </c>
      <c r="CF333">
        <v>571970</v>
      </c>
      <c r="CG333">
        <v>605141</v>
      </c>
      <c r="CH333">
        <v>571771</v>
      </c>
      <c r="CI333">
        <v>681624</v>
      </c>
      <c r="CJ333">
        <v>606192</v>
      </c>
      <c r="CK333">
        <v>53.57</v>
      </c>
      <c r="CL333" t="s">
        <v>97</v>
      </c>
      <c r="CM333" t="s">
        <v>97</v>
      </c>
      <c r="CN333" t="s">
        <v>97</v>
      </c>
      <c r="CO333" t="s">
        <v>97</v>
      </c>
      <c r="CP333" t="s">
        <v>97</v>
      </c>
      <c r="CQ333" t="s">
        <v>97</v>
      </c>
      <c r="CR333" t="s">
        <v>97</v>
      </c>
      <c r="CS333">
        <v>0</v>
      </c>
      <c r="CT333">
        <v>1</v>
      </c>
      <c r="CU333">
        <v>0</v>
      </c>
      <c r="CV333">
        <v>1</v>
      </c>
      <c r="CW333">
        <v>1</v>
      </c>
      <c r="CX333">
        <v>0</v>
      </c>
      <c r="CY333">
        <v>0</v>
      </c>
      <c r="CZ333">
        <v>1</v>
      </c>
      <c r="DA333" t="s">
        <v>107</v>
      </c>
      <c r="DB333" t="s">
        <v>107</v>
      </c>
      <c r="DC333">
        <v>169</v>
      </c>
      <c r="DD333">
        <v>0</v>
      </c>
      <c r="DE333">
        <v>-6.2E-2</v>
      </c>
      <c r="DF333">
        <v>75.400000000000006</v>
      </c>
      <c r="DG333">
        <v>7.8</v>
      </c>
    </row>
    <row r="334" spans="1:111" x14ac:dyDescent="0.2">
      <c r="A334">
        <v>2025</v>
      </c>
      <c r="B334" s="1">
        <v>45954</v>
      </c>
      <c r="C334" t="s">
        <v>95</v>
      </c>
      <c r="D334">
        <v>605483</v>
      </c>
      <c r="E334">
        <v>665926</v>
      </c>
      <c r="F334">
        <v>2</v>
      </c>
      <c r="G334">
        <v>1</v>
      </c>
      <c r="H334">
        <v>2</v>
      </c>
      <c r="I334" t="s">
        <v>163</v>
      </c>
      <c r="J334">
        <v>19</v>
      </c>
      <c r="K334">
        <v>4</v>
      </c>
      <c r="L334" t="s">
        <v>97</v>
      </c>
      <c r="M334" t="s">
        <v>138</v>
      </c>
      <c r="N334" t="s">
        <v>139</v>
      </c>
      <c r="O334">
        <f t="shared" si="80"/>
        <v>0</v>
      </c>
      <c r="P334">
        <f t="shared" si="81"/>
        <v>0</v>
      </c>
      <c r="Q334">
        <f t="shared" si="82"/>
        <v>0</v>
      </c>
      <c r="R334">
        <f t="shared" si="83"/>
        <v>0</v>
      </c>
      <c r="S334">
        <f t="shared" si="84"/>
        <v>0</v>
      </c>
      <c r="T334">
        <f t="shared" si="85"/>
        <v>0</v>
      </c>
      <c r="U334">
        <f t="shared" si="86"/>
        <v>0</v>
      </c>
      <c r="V334">
        <f t="shared" si="87"/>
        <v>0</v>
      </c>
      <c r="W334">
        <f t="shared" si="88"/>
        <v>0</v>
      </c>
      <c r="X334">
        <f t="shared" si="89"/>
        <v>0</v>
      </c>
      <c r="Y334">
        <f t="shared" si="90"/>
        <v>0</v>
      </c>
      <c r="Z334">
        <f t="shared" si="91"/>
        <v>0</v>
      </c>
      <c r="AA334">
        <f t="shared" si="92"/>
        <v>0</v>
      </c>
      <c r="AB334">
        <f t="shared" si="93"/>
        <v>1</v>
      </c>
      <c r="AC334">
        <f t="shared" si="94"/>
        <v>0</v>
      </c>
      <c r="AD334">
        <f t="shared" si="95"/>
        <v>0</v>
      </c>
      <c r="AE334">
        <v>89.4</v>
      </c>
      <c r="AF334">
        <v>2</v>
      </c>
      <c r="AG334">
        <v>6.47</v>
      </c>
      <c r="AH334" t="s">
        <v>129</v>
      </c>
      <c r="AI334" t="s">
        <v>97</v>
      </c>
      <c r="AJ334" t="s">
        <v>97</v>
      </c>
      <c r="AK334" t="s">
        <v>97</v>
      </c>
      <c r="AL334" t="s">
        <v>97</v>
      </c>
      <c r="AM334">
        <v>8</v>
      </c>
      <c r="AN334" t="s">
        <v>130</v>
      </c>
      <c r="AO334" t="s">
        <v>213</v>
      </c>
      <c r="AP334" t="s">
        <v>103</v>
      </c>
      <c r="AQ334" t="s">
        <v>103</v>
      </c>
      <c r="AR334" t="s">
        <v>214</v>
      </c>
      <c r="AS334" t="s">
        <v>104</v>
      </c>
      <c r="AT334" t="s">
        <v>110</v>
      </c>
      <c r="AU334" t="s">
        <v>97</v>
      </c>
      <c r="AV334" t="s">
        <v>97</v>
      </c>
      <c r="AW334">
        <v>0.03</v>
      </c>
      <c r="AX334">
        <v>0.71</v>
      </c>
      <c r="AY334">
        <v>0.24</v>
      </c>
      <c r="AZ334">
        <v>2</v>
      </c>
      <c r="BA334" t="s">
        <v>97</v>
      </c>
      <c r="BB334" t="s">
        <v>97</v>
      </c>
      <c r="BC334">
        <v>676391</v>
      </c>
      <c r="BD334">
        <v>1</v>
      </c>
      <c r="BE334" t="s">
        <v>97</v>
      </c>
      <c r="BF334" t="s">
        <v>97</v>
      </c>
      <c r="BG334" t="s">
        <v>97</v>
      </c>
      <c r="BH334" t="s">
        <v>97</v>
      </c>
      <c r="BI334">
        <v>669257</v>
      </c>
      <c r="BJ334">
        <v>669257</v>
      </c>
      <c r="BK334" t="s">
        <v>97</v>
      </c>
      <c r="BL334" t="s">
        <v>97</v>
      </c>
      <c r="BM334">
        <v>-4.425464925</v>
      </c>
      <c r="BN334">
        <v>-129.9589829</v>
      </c>
      <c r="BO334">
        <v>-6.5204178019999999</v>
      </c>
      <c r="BP334">
        <v>1.2792553440000001</v>
      </c>
      <c r="BQ334">
        <v>29.25487772</v>
      </c>
      <c r="BR334">
        <v>-22.871918449999999</v>
      </c>
      <c r="BS334">
        <v>3.3</v>
      </c>
      <c r="BT334">
        <v>1.52</v>
      </c>
      <c r="BU334">
        <v>3</v>
      </c>
      <c r="BV334">
        <v>83.8</v>
      </c>
      <c r="BW334">
        <v>-30</v>
      </c>
      <c r="BX334">
        <v>89.7</v>
      </c>
      <c r="BY334">
        <v>2269</v>
      </c>
      <c r="BZ334">
        <v>6.7</v>
      </c>
      <c r="CA334">
        <v>813027</v>
      </c>
      <c r="CB334">
        <v>669257</v>
      </c>
      <c r="CC334">
        <v>669257</v>
      </c>
      <c r="CD334">
        <v>518692</v>
      </c>
      <c r="CE334">
        <v>669242</v>
      </c>
      <c r="CF334">
        <v>571970</v>
      </c>
      <c r="CG334">
        <v>605141</v>
      </c>
      <c r="CH334">
        <v>571771</v>
      </c>
      <c r="CI334">
        <v>681624</v>
      </c>
      <c r="CJ334">
        <v>606192</v>
      </c>
      <c r="CK334">
        <v>53.79</v>
      </c>
      <c r="CL334" t="s">
        <v>97</v>
      </c>
      <c r="CM334" t="s">
        <v>97</v>
      </c>
      <c r="CN334" t="s">
        <v>97</v>
      </c>
      <c r="CO334" t="s">
        <v>97</v>
      </c>
      <c r="CP334" t="s">
        <v>97</v>
      </c>
      <c r="CQ334" t="s">
        <v>97</v>
      </c>
      <c r="CR334" t="s">
        <v>97</v>
      </c>
      <c r="CS334">
        <v>0</v>
      </c>
      <c r="CT334">
        <v>1</v>
      </c>
      <c r="CU334">
        <v>0</v>
      </c>
      <c r="CV334">
        <v>1</v>
      </c>
      <c r="CW334">
        <v>1</v>
      </c>
      <c r="CX334">
        <v>0</v>
      </c>
      <c r="CY334">
        <v>0</v>
      </c>
      <c r="CZ334">
        <v>1</v>
      </c>
      <c r="DA334" t="s">
        <v>107</v>
      </c>
      <c r="DB334" t="s">
        <v>107</v>
      </c>
      <c r="DC334">
        <v>168</v>
      </c>
      <c r="DD334">
        <v>0</v>
      </c>
      <c r="DE334">
        <v>-7.4999999999999997E-2</v>
      </c>
      <c r="DF334">
        <v>65.5</v>
      </c>
      <c r="DG334">
        <v>7.4</v>
      </c>
    </row>
    <row r="335" spans="1:111" x14ac:dyDescent="0.2">
      <c r="A335">
        <v>2025</v>
      </c>
      <c r="B335" s="1">
        <v>45954</v>
      </c>
      <c r="C335" t="s">
        <v>95</v>
      </c>
      <c r="D335">
        <v>605483</v>
      </c>
      <c r="E335">
        <v>665926</v>
      </c>
      <c r="F335">
        <v>2</v>
      </c>
      <c r="G335">
        <v>2</v>
      </c>
      <c r="H335">
        <v>2</v>
      </c>
      <c r="I335" t="s">
        <v>163</v>
      </c>
      <c r="J335">
        <v>19</v>
      </c>
      <c r="K335">
        <v>5</v>
      </c>
      <c r="L335" t="s">
        <v>116</v>
      </c>
      <c r="M335" t="s">
        <v>98</v>
      </c>
      <c r="N335" t="s">
        <v>99</v>
      </c>
      <c r="O335">
        <f t="shared" si="80"/>
        <v>0</v>
      </c>
      <c r="P335">
        <f t="shared" si="81"/>
        <v>0</v>
      </c>
      <c r="Q335">
        <f t="shared" si="82"/>
        <v>1</v>
      </c>
      <c r="R335">
        <f t="shared" si="83"/>
        <v>0</v>
      </c>
      <c r="S335">
        <f t="shared" si="84"/>
        <v>0</v>
      </c>
      <c r="T335">
        <f t="shared" si="85"/>
        <v>0</v>
      </c>
      <c r="U335">
        <f t="shared" si="86"/>
        <v>0</v>
      </c>
      <c r="V335">
        <f t="shared" si="87"/>
        <v>0</v>
      </c>
      <c r="W335">
        <f t="shared" si="88"/>
        <v>0</v>
      </c>
      <c r="X335">
        <f t="shared" si="89"/>
        <v>0</v>
      </c>
      <c r="Y335">
        <f t="shared" si="90"/>
        <v>0</v>
      </c>
      <c r="Z335">
        <f t="shared" si="91"/>
        <v>0</v>
      </c>
      <c r="AA335">
        <f t="shared" si="92"/>
        <v>0</v>
      </c>
      <c r="AB335">
        <f t="shared" si="93"/>
        <v>0</v>
      </c>
      <c r="AC335">
        <f t="shared" si="94"/>
        <v>0</v>
      </c>
      <c r="AD335">
        <f t="shared" si="95"/>
        <v>0</v>
      </c>
      <c r="AE335">
        <v>95.7</v>
      </c>
      <c r="AF335">
        <v>2.08</v>
      </c>
      <c r="AG335">
        <v>6.48</v>
      </c>
      <c r="AH335" t="s">
        <v>145</v>
      </c>
      <c r="AI335" t="s">
        <v>97</v>
      </c>
      <c r="AJ335" t="s">
        <v>97</v>
      </c>
      <c r="AK335" t="s">
        <v>97</v>
      </c>
      <c r="AL335" t="s">
        <v>97</v>
      </c>
      <c r="AM335">
        <v>11</v>
      </c>
      <c r="AN335" t="s">
        <v>224</v>
      </c>
      <c r="AO335" t="s">
        <v>213</v>
      </c>
      <c r="AP335" t="s">
        <v>103</v>
      </c>
      <c r="AQ335" t="s">
        <v>103</v>
      </c>
      <c r="AR335" t="s">
        <v>214</v>
      </c>
      <c r="AS335" t="s">
        <v>104</v>
      </c>
      <c r="AT335" t="s">
        <v>110</v>
      </c>
      <c r="AU335">
        <v>2</v>
      </c>
      <c r="AV335" t="s">
        <v>97</v>
      </c>
      <c r="AW335">
        <v>0.31</v>
      </c>
      <c r="AX335">
        <v>1.0900000000000001</v>
      </c>
      <c r="AY335">
        <v>-0.09</v>
      </c>
      <c r="AZ335">
        <v>3.96</v>
      </c>
      <c r="BA335" t="s">
        <v>97</v>
      </c>
      <c r="BB335" t="s">
        <v>97</v>
      </c>
      <c r="BC335">
        <v>676391</v>
      </c>
      <c r="BD335">
        <v>1</v>
      </c>
      <c r="BE335" t="s">
        <v>97</v>
      </c>
      <c r="BF335" t="s">
        <v>97</v>
      </c>
      <c r="BG335" t="s">
        <v>97</v>
      </c>
      <c r="BH335" t="s">
        <v>97</v>
      </c>
      <c r="BI335">
        <v>669257</v>
      </c>
      <c r="BJ335">
        <v>669257</v>
      </c>
      <c r="BK335" t="s">
        <v>97</v>
      </c>
      <c r="BL335" t="s">
        <v>97</v>
      </c>
      <c r="BM335">
        <v>-6.4976931909999998</v>
      </c>
      <c r="BN335">
        <v>-139.21332749999999</v>
      </c>
      <c r="BO335">
        <v>-3.4865810260000001</v>
      </c>
      <c r="BP335">
        <v>5.5650135379999996</v>
      </c>
      <c r="BQ335">
        <v>33.113275620000003</v>
      </c>
      <c r="BR335">
        <v>-17.483089979999999</v>
      </c>
      <c r="BS335">
        <v>3.3</v>
      </c>
      <c r="BT335">
        <v>1.52</v>
      </c>
      <c r="BU335" t="s">
        <v>97</v>
      </c>
      <c r="BV335" t="s">
        <v>97</v>
      </c>
      <c r="BW335" t="s">
        <v>97</v>
      </c>
      <c r="BX335">
        <v>96.6</v>
      </c>
      <c r="BY335">
        <v>2397</v>
      </c>
      <c r="BZ335">
        <v>7</v>
      </c>
      <c r="CA335">
        <v>813027</v>
      </c>
      <c r="CB335">
        <v>669257</v>
      </c>
      <c r="CC335">
        <v>669257</v>
      </c>
      <c r="CD335">
        <v>518692</v>
      </c>
      <c r="CE335">
        <v>669242</v>
      </c>
      <c r="CF335">
        <v>571970</v>
      </c>
      <c r="CG335">
        <v>605141</v>
      </c>
      <c r="CH335">
        <v>571771</v>
      </c>
      <c r="CI335">
        <v>681624</v>
      </c>
      <c r="CJ335">
        <v>606192</v>
      </c>
      <c r="CK335">
        <v>53.52</v>
      </c>
      <c r="CL335" t="s">
        <v>97</v>
      </c>
      <c r="CM335">
        <v>0</v>
      </c>
      <c r="CN335">
        <v>0</v>
      </c>
      <c r="CO335">
        <v>1</v>
      </c>
      <c r="CP335">
        <v>0</v>
      </c>
      <c r="CQ335">
        <v>0</v>
      </c>
      <c r="CR335" t="s">
        <v>97</v>
      </c>
      <c r="CS335">
        <v>0</v>
      </c>
      <c r="CT335">
        <v>1</v>
      </c>
      <c r="CU335">
        <v>0</v>
      </c>
      <c r="CV335">
        <v>1</v>
      </c>
      <c r="CW335">
        <v>1</v>
      </c>
      <c r="CX335">
        <v>0</v>
      </c>
      <c r="CY335">
        <v>0</v>
      </c>
      <c r="CZ335">
        <v>1</v>
      </c>
      <c r="DA335" t="s">
        <v>107</v>
      </c>
      <c r="DB335" t="s">
        <v>107</v>
      </c>
      <c r="DC335">
        <v>164</v>
      </c>
      <c r="DD335">
        <v>-3.2000000000000001E-2</v>
      </c>
      <c r="DE335">
        <v>-0.221</v>
      </c>
      <c r="DF335">
        <v>28.1</v>
      </c>
      <c r="DG335">
        <v>4.4000000000000004</v>
      </c>
    </row>
    <row r="336" spans="1:111" x14ac:dyDescent="0.2">
      <c r="A336">
        <v>2025</v>
      </c>
      <c r="B336" s="1">
        <v>45954</v>
      </c>
      <c r="C336" t="s">
        <v>95</v>
      </c>
      <c r="D336">
        <v>605483</v>
      </c>
      <c r="E336">
        <v>543807</v>
      </c>
      <c r="F336">
        <v>0</v>
      </c>
      <c r="G336">
        <v>0</v>
      </c>
      <c r="H336">
        <v>2</v>
      </c>
      <c r="I336" t="s">
        <v>163</v>
      </c>
      <c r="J336">
        <v>20</v>
      </c>
      <c r="K336">
        <v>1</v>
      </c>
      <c r="L336" t="s">
        <v>155</v>
      </c>
      <c r="M336" t="s">
        <v>132</v>
      </c>
      <c r="N336" t="s">
        <v>133</v>
      </c>
      <c r="O336">
        <f t="shared" si="80"/>
        <v>0</v>
      </c>
      <c r="P336">
        <f t="shared" si="81"/>
        <v>0</v>
      </c>
      <c r="Q336">
        <f t="shared" si="82"/>
        <v>0</v>
      </c>
      <c r="R336">
        <f t="shared" si="83"/>
        <v>0</v>
      </c>
      <c r="S336">
        <f t="shared" si="84"/>
        <v>0</v>
      </c>
      <c r="T336">
        <f t="shared" si="85"/>
        <v>0</v>
      </c>
      <c r="U336">
        <f t="shared" si="86"/>
        <v>0</v>
      </c>
      <c r="V336">
        <f t="shared" si="87"/>
        <v>0</v>
      </c>
      <c r="W336">
        <f t="shared" si="88"/>
        <v>0</v>
      </c>
      <c r="X336">
        <f t="shared" si="89"/>
        <v>0</v>
      </c>
      <c r="Y336">
        <f t="shared" si="90"/>
        <v>1</v>
      </c>
      <c r="Z336">
        <f t="shared" si="91"/>
        <v>0</v>
      </c>
      <c r="AA336">
        <f t="shared" si="92"/>
        <v>0</v>
      </c>
      <c r="AB336">
        <f t="shared" si="93"/>
        <v>0</v>
      </c>
      <c r="AC336">
        <f t="shared" si="94"/>
        <v>0</v>
      </c>
      <c r="AD336">
        <f t="shared" si="95"/>
        <v>0</v>
      </c>
      <c r="AE336">
        <v>87</v>
      </c>
      <c r="AF336">
        <v>2.21</v>
      </c>
      <c r="AG336">
        <v>6.35</v>
      </c>
      <c r="AH336" t="s">
        <v>120</v>
      </c>
      <c r="AI336" t="s">
        <v>97</v>
      </c>
      <c r="AJ336" t="s">
        <v>97</v>
      </c>
      <c r="AK336" t="s">
        <v>97</v>
      </c>
      <c r="AL336" t="s">
        <v>97</v>
      </c>
      <c r="AM336">
        <v>9</v>
      </c>
      <c r="AN336" t="s">
        <v>225</v>
      </c>
      <c r="AO336" t="s">
        <v>213</v>
      </c>
      <c r="AP336" t="s">
        <v>122</v>
      </c>
      <c r="AQ336" t="s">
        <v>103</v>
      </c>
      <c r="AR336" t="s">
        <v>214</v>
      </c>
      <c r="AS336" t="s">
        <v>104</v>
      </c>
      <c r="AT336" t="s">
        <v>123</v>
      </c>
      <c r="AU336">
        <v>3</v>
      </c>
      <c r="AV336" t="s">
        <v>127</v>
      </c>
      <c r="AW336">
        <v>1.33</v>
      </c>
      <c r="AX336">
        <v>0.97</v>
      </c>
      <c r="AY336">
        <v>0.35</v>
      </c>
      <c r="AZ336">
        <v>2.0299999999999998</v>
      </c>
      <c r="BA336" t="s">
        <v>97</v>
      </c>
      <c r="BB336" t="s">
        <v>97</v>
      </c>
      <c r="BC336">
        <v>676391</v>
      </c>
      <c r="BD336">
        <v>2</v>
      </c>
      <c r="BE336">
        <v>141.09</v>
      </c>
      <c r="BF336">
        <v>172.89</v>
      </c>
      <c r="BG336" t="s">
        <v>97</v>
      </c>
      <c r="BH336" t="s">
        <v>97</v>
      </c>
      <c r="BI336">
        <v>669257</v>
      </c>
      <c r="BJ336">
        <v>669257</v>
      </c>
      <c r="BK336" t="s">
        <v>97</v>
      </c>
      <c r="BL336" t="s">
        <v>97</v>
      </c>
      <c r="BM336">
        <v>-7.2591760799999996</v>
      </c>
      <c r="BN336">
        <v>-126.38701570000001</v>
      </c>
      <c r="BO336">
        <v>-6.1683163150000002</v>
      </c>
      <c r="BP336">
        <v>15.71740102</v>
      </c>
      <c r="BQ336">
        <v>27.59950529</v>
      </c>
      <c r="BR336">
        <v>-20.69605039</v>
      </c>
      <c r="BS336">
        <v>3.55</v>
      </c>
      <c r="BT336">
        <v>1.64</v>
      </c>
      <c r="BU336">
        <v>4</v>
      </c>
      <c r="BV336">
        <v>47.4</v>
      </c>
      <c r="BW336">
        <v>-29</v>
      </c>
      <c r="BX336">
        <v>87.6</v>
      </c>
      <c r="BY336">
        <v>1930</v>
      </c>
      <c r="BZ336">
        <v>6.9</v>
      </c>
      <c r="CA336">
        <v>813027</v>
      </c>
      <c r="CB336">
        <v>669257</v>
      </c>
      <c r="CC336">
        <v>669257</v>
      </c>
      <c r="CD336">
        <v>518692</v>
      </c>
      <c r="CE336">
        <v>669242</v>
      </c>
      <c r="CF336">
        <v>571970</v>
      </c>
      <c r="CG336">
        <v>605141</v>
      </c>
      <c r="CH336">
        <v>571771</v>
      </c>
      <c r="CI336">
        <v>681624</v>
      </c>
      <c r="CJ336">
        <v>606192</v>
      </c>
      <c r="CK336">
        <v>53.56</v>
      </c>
      <c r="CL336">
        <v>0.19400000000000001</v>
      </c>
      <c r="CM336">
        <v>0.186</v>
      </c>
      <c r="CN336">
        <v>0.9</v>
      </c>
      <c r="CO336">
        <v>1</v>
      </c>
      <c r="CP336">
        <v>1</v>
      </c>
      <c r="CQ336">
        <v>0</v>
      </c>
      <c r="CR336">
        <v>1</v>
      </c>
      <c r="CS336">
        <v>0</v>
      </c>
      <c r="CT336">
        <v>1</v>
      </c>
      <c r="CU336">
        <v>0</v>
      </c>
      <c r="CV336">
        <v>1</v>
      </c>
      <c r="CW336">
        <v>1</v>
      </c>
      <c r="CX336">
        <v>0</v>
      </c>
      <c r="CY336">
        <v>0</v>
      </c>
      <c r="CZ336">
        <v>1</v>
      </c>
      <c r="DA336" t="s">
        <v>107</v>
      </c>
      <c r="DB336" t="s">
        <v>107</v>
      </c>
      <c r="DC336">
        <v>131</v>
      </c>
      <c r="DD336">
        <v>-2.5000000000000001E-2</v>
      </c>
      <c r="DE336">
        <v>0.34599999999999997</v>
      </c>
      <c r="DF336" t="s">
        <v>97</v>
      </c>
      <c r="DG336" t="s">
        <v>97</v>
      </c>
    </row>
    <row r="337" spans="1:111" x14ac:dyDescent="0.2">
      <c r="A337">
        <v>2025</v>
      </c>
      <c r="B337" s="1">
        <v>45954</v>
      </c>
      <c r="C337" t="s">
        <v>95</v>
      </c>
      <c r="D337">
        <v>605483</v>
      </c>
      <c r="E337">
        <v>676914</v>
      </c>
      <c r="F337">
        <v>0</v>
      </c>
      <c r="G337">
        <v>0</v>
      </c>
      <c r="H337">
        <v>3</v>
      </c>
      <c r="I337" t="s">
        <v>163</v>
      </c>
      <c r="J337">
        <v>26</v>
      </c>
      <c r="K337">
        <v>1</v>
      </c>
      <c r="L337" t="s">
        <v>97</v>
      </c>
      <c r="M337" t="s">
        <v>111</v>
      </c>
      <c r="N337" t="s">
        <v>112</v>
      </c>
      <c r="O337">
        <f t="shared" si="80"/>
        <v>0</v>
      </c>
      <c r="P337">
        <f t="shared" si="81"/>
        <v>0</v>
      </c>
      <c r="Q337">
        <f t="shared" si="82"/>
        <v>0</v>
      </c>
      <c r="R337">
        <f t="shared" si="83"/>
        <v>0</v>
      </c>
      <c r="S337">
        <f t="shared" si="84"/>
        <v>0</v>
      </c>
      <c r="T337">
        <f t="shared" si="85"/>
        <v>1</v>
      </c>
      <c r="U337">
        <f t="shared" si="86"/>
        <v>0</v>
      </c>
      <c r="V337">
        <f t="shared" si="87"/>
        <v>0</v>
      </c>
      <c r="W337">
        <f t="shared" si="88"/>
        <v>0</v>
      </c>
      <c r="X337">
        <f t="shared" si="89"/>
        <v>0</v>
      </c>
      <c r="Y337">
        <f t="shared" si="90"/>
        <v>0</v>
      </c>
      <c r="Z337">
        <f t="shared" si="91"/>
        <v>0</v>
      </c>
      <c r="AA337">
        <f t="shared" si="92"/>
        <v>0</v>
      </c>
      <c r="AB337">
        <f t="shared" si="93"/>
        <v>0</v>
      </c>
      <c r="AC337">
        <f t="shared" si="94"/>
        <v>0</v>
      </c>
      <c r="AD337">
        <f t="shared" si="95"/>
        <v>0</v>
      </c>
      <c r="AE337">
        <v>78.400000000000006</v>
      </c>
      <c r="AF337">
        <v>2.1</v>
      </c>
      <c r="AG337">
        <v>6.54</v>
      </c>
      <c r="AH337" t="s">
        <v>108</v>
      </c>
      <c r="AI337" t="s">
        <v>97</v>
      </c>
      <c r="AJ337" t="s">
        <v>97</v>
      </c>
      <c r="AK337" t="s">
        <v>97</v>
      </c>
      <c r="AL337" t="s">
        <v>97</v>
      </c>
      <c r="AM337">
        <v>6</v>
      </c>
      <c r="AN337" t="s">
        <v>109</v>
      </c>
      <c r="AO337" t="s">
        <v>213</v>
      </c>
      <c r="AP337" t="s">
        <v>122</v>
      </c>
      <c r="AQ337" t="s">
        <v>103</v>
      </c>
      <c r="AR337" t="s">
        <v>214</v>
      </c>
      <c r="AS337" t="s">
        <v>104</v>
      </c>
      <c r="AT337" t="s">
        <v>110</v>
      </c>
      <c r="AU337" t="s">
        <v>97</v>
      </c>
      <c r="AV337" t="s">
        <v>97</v>
      </c>
      <c r="AW337">
        <v>-0.92</v>
      </c>
      <c r="AX337">
        <v>-0.63</v>
      </c>
      <c r="AY337">
        <v>0.65</v>
      </c>
      <c r="AZ337">
        <v>2.78</v>
      </c>
      <c r="BA337" t="s">
        <v>97</v>
      </c>
      <c r="BB337" t="s">
        <v>97</v>
      </c>
      <c r="BC337" t="s">
        <v>97</v>
      </c>
      <c r="BD337">
        <v>0</v>
      </c>
      <c r="BE337" t="s">
        <v>97</v>
      </c>
      <c r="BF337" t="s">
        <v>97</v>
      </c>
      <c r="BG337" t="s">
        <v>97</v>
      </c>
      <c r="BH337" t="s">
        <v>97</v>
      </c>
      <c r="BI337">
        <v>669257</v>
      </c>
      <c r="BJ337">
        <v>669257</v>
      </c>
      <c r="BK337" t="s">
        <v>97</v>
      </c>
      <c r="BL337" t="s">
        <v>97</v>
      </c>
      <c r="BM337">
        <v>-1.436070921</v>
      </c>
      <c r="BN337">
        <v>-114.0411601</v>
      </c>
      <c r="BO337">
        <v>-2.472513E-3</v>
      </c>
      <c r="BP337">
        <v>-7.6060371389999997</v>
      </c>
      <c r="BQ337">
        <v>23.88727561</v>
      </c>
      <c r="BR337">
        <v>-37.868879079999999</v>
      </c>
      <c r="BS337">
        <v>3.33</v>
      </c>
      <c r="BT337">
        <v>1.55</v>
      </c>
      <c r="BU337" t="s">
        <v>97</v>
      </c>
      <c r="BV337" t="s">
        <v>97</v>
      </c>
      <c r="BW337" t="s">
        <v>97</v>
      </c>
      <c r="BX337">
        <v>78.3</v>
      </c>
      <c r="BY337">
        <v>2526</v>
      </c>
      <c r="BZ337">
        <v>6.5</v>
      </c>
      <c r="CA337">
        <v>813027</v>
      </c>
      <c r="CB337">
        <v>669257</v>
      </c>
      <c r="CC337">
        <v>669257</v>
      </c>
      <c r="CD337">
        <v>518692</v>
      </c>
      <c r="CE337">
        <v>669242</v>
      </c>
      <c r="CF337">
        <v>571970</v>
      </c>
      <c r="CG337">
        <v>605141</v>
      </c>
      <c r="CH337">
        <v>571771</v>
      </c>
      <c r="CI337">
        <v>681624</v>
      </c>
      <c r="CJ337">
        <v>606192</v>
      </c>
      <c r="CK337">
        <v>53.97</v>
      </c>
      <c r="CL337" t="s">
        <v>97</v>
      </c>
      <c r="CM337" t="s">
        <v>97</v>
      </c>
      <c r="CN337" t="s">
        <v>97</v>
      </c>
      <c r="CO337" t="s">
        <v>97</v>
      </c>
      <c r="CP337" t="s">
        <v>97</v>
      </c>
      <c r="CQ337" t="s">
        <v>97</v>
      </c>
      <c r="CR337" t="s">
        <v>97</v>
      </c>
      <c r="CS337">
        <v>0</v>
      </c>
      <c r="CT337">
        <v>2</v>
      </c>
      <c r="CU337">
        <v>0</v>
      </c>
      <c r="CV337">
        <v>2</v>
      </c>
      <c r="CW337">
        <v>2</v>
      </c>
      <c r="CX337">
        <v>0</v>
      </c>
      <c r="CY337">
        <v>0</v>
      </c>
      <c r="CZ337">
        <v>2</v>
      </c>
      <c r="DA337" t="s">
        <v>107</v>
      </c>
      <c r="DB337" t="s">
        <v>107</v>
      </c>
      <c r="DC337">
        <v>326</v>
      </c>
      <c r="DD337">
        <v>0</v>
      </c>
      <c r="DE337">
        <v>-3.9E-2</v>
      </c>
      <c r="DF337" t="s">
        <v>97</v>
      </c>
      <c r="DG337" t="s">
        <v>97</v>
      </c>
    </row>
    <row r="338" spans="1:111" x14ac:dyDescent="0.2">
      <c r="A338">
        <v>2025</v>
      </c>
      <c r="B338" s="1">
        <v>45954</v>
      </c>
      <c r="C338" t="s">
        <v>95</v>
      </c>
      <c r="D338">
        <v>605483</v>
      </c>
      <c r="E338">
        <v>676914</v>
      </c>
      <c r="F338">
        <v>0</v>
      </c>
      <c r="G338">
        <v>1</v>
      </c>
      <c r="H338">
        <v>3</v>
      </c>
      <c r="I338" t="s">
        <v>163</v>
      </c>
      <c r="J338">
        <v>26</v>
      </c>
      <c r="K338">
        <v>2</v>
      </c>
      <c r="L338" t="s">
        <v>97</v>
      </c>
      <c r="M338" t="s">
        <v>98</v>
      </c>
      <c r="N338" t="s">
        <v>99</v>
      </c>
      <c r="O338">
        <f t="shared" si="80"/>
        <v>0</v>
      </c>
      <c r="P338">
        <f t="shared" si="81"/>
        <v>0</v>
      </c>
      <c r="Q338">
        <f t="shared" si="82"/>
        <v>1</v>
      </c>
      <c r="R338">
        <f t="shared" si="83"/>
        <v>0</v>
      </c>
      <c r="S338">
        <f t="shared" si="84"/>
        <v>0</v>
      </c>
      <c r="T338">
        <f t="shared" si="85"/>
        <v>0</v>
      </c>
      <c r="U338">
        <f t="shared" si="86"/>
        <v>0</v>
      </c>
      <c r="V338">
        <f t="shared" si="87"/>
        <v>0</v>
      </c>
      <c r="W338">
        <f t="shared" si="88"/>
        <v>0</v>
      </c>
      <c r="X338">
        <f t="shared" si="89"/>
        <v>0</v>
      </c>
      <c r="Y338">
        <f t="shared" si="90"/>
        <v>0</v>
      </c>
      <c r="Z338">
        <f t="shared" si="91"/>
        <v>0</v>
      </c>
      <c r="AA338">
        <f t="shared" si="92"/>
        <v>0</v>
      </c>
      <c r="AB338">
        <f t="shared" si="93"/>
        <v>0</v>
      </c>
      <c r="AC338">
        <f t="shared" si="94"/>
        <v>0</v>
      </c>
      <c r="AD338">
        <f t="shared" si="95"/>
        <v>0</v>
      </c>
      <c r="AE338">
        <v>94.4</v>
      </c>
      <c r="AF338">
        <v>2.16</v>
      </c>
      <c r="AG338">
        <v>6.47</v>
      </c>
      <c r="AH338" t="s">
        <v>100</v>
      </c>
      <c r="AI338" t="s">
        <v>97</v>
      </c>
      <c r="AJ338" t="s">
        <v>97</v>
      </c>
      <c r="AK338" t="s">
        <v>97</v>
      </c>
      <c r="AL338" t="s">
        <v>97</v>
      </c>
      <c r="AM338">
        <v>12</v>
      </c>
      <c r="AN338" t="s">
        <v>101</v>
      </c>
      <c r="AO338" t="s">
        <v>213</v>
      </c>
      <c r="AP338" t="s">
        <v>122</v>
      </c>
      <c r="AQ338" t="s">
        <v>103</v>
      </c>
      <c r="AR338" t="s">
        <v>214</v>
      </c>
      <c r="AS338" t="s">
        <v>104</v>
      </c>
      <c r="AT338" t="s">
        <v>106</v>
      </c>
      <c r="AU338" t="s">
        <v>97</v>
      </c>
      <c r="AV338" t="s">
        <v>97</v>
      </c>
      <c r="AW338">
        <v>0.25</v>
      </c>
      <c r="AX338">
        <v>1.64</v>
      </c>
      <c r="AY338">
        <v>0.88</v>
      </c>
      <c r="AZ338">
        <v>3.63</v>
      </c>
      <c r="BA338" t="s">
        <v>97</v>
      </c>
      <c r="BB338" t="s">
        <v>97</v>
      </c>
      <c r="BC338" t="s">
        <v>97</v>
      </c>
      <c r="BD338">
        <v>0</v>
      </c>
      <c r="BE338" t="s">
        <v>97</v>
      </c>
      <c r="BF338" t="s">
        <v>97</v>
      </c>
      <c r="BG338" t="s">
        <v>97</v>
      </c>
      <c r="BH338" t="s">
        <v>97</v>
      </c>
      <c r="BI338">
        <v>669257</v>
      </c>
      <c r="BJ338">
        <v>669257</v>
      </c>
      <c r="BK338" t="s">
        <v>97</v>
      </c>
      <c r="BL338" t="s">
        <v>97</v>
      </c>
      <c r="BM338">
        <v>-3.9122494749999999</v>
      </c>
      <c r="BN338">
        <v>-137.33324300000001</v>
      </c>
      <c r="BO338">
        <v>-5.3177147160000002</v>
      </c>
      <c r="BP338">
        <v>4.063715932</v>
      </c>
      <c r="BQ338">
        <v>34.321579319999998</v>
      </c>
      <c r="BR338">
        <v>-10.480099879999999</v>
      </c>
      <c r="BS338">
        <v>3.11</v>
      </c>
      <c r="BT338">
        <v>1.49</v>
      </c>
      <c r="BU338" t="s">
        <v>97</v>
      </c>
      <c r="BV338" t="s">
        <v>97</v>
      </c>
      <c r="BW338" t="s">
        <v>97</v>
      </c>
      <c r="BX338">
        <v>94.8</v>
      </c>
      <c r="BY338">
        <v>2443</v>
      </c>
      <c r="BZ338">
        <v>6.8</v>
      </c>
      <c r="CA338">
        <v>813027</v>
      </c>
      <c r="CB338">
        <v>669257</v>
      </c>
      <c r="CC338">
        <v>669257</v>
      </c>
      <c r="CD338">
        <v>518692</v>
      </c>
      <c r="CE338">
        <v>669242</v>
      </c>
      <c r="CF338">
        <v>571970</v>
      </c>
      <c r="CG338">
        <v>605141</v>
      </c>
      <c r="CH338">
        <v>571771</v>
      </c>
      <c r="CI338">
        <v>681624</v>
      </c>
      <c r="CJ338">
        <v>606192</v>
      </c>
      <c r="CK338">
        <v>53.69</v>
      </c>
      <c r="CL338" t="s">
        <v>97</v>
      </c>
      <c r="CM338" t="s">
        <v>97</v>
      </c>
      <c r="CN338" t="s">
        <v>97</v>
      </c>
      <c r="CO338" t="s">
        <v>97</v>
      </c>
      <c r="CP338" t="s">
        <v>97</v>
      </c>
      <c r="CQ338" t="s">
        <v>97</v>
      </c>
      <c r="CR338" t="s">
        <v>97</v>
      </c>
      <c r="CS338">
        <v>0</v>
      </c>
      <c r="CT338">
        <v>2</v>
      </c>
      <c r="CU338">
        <v>0</v>
      </c>
      <c r="CV338">
        <v>2</v>
      </c>
      <c r="CW338">
        <v>2</v>
      </c>
      <c r="CX338">
        <v>0</v>
      </c>
      <c r="CY338">
        <v>0</v>
      </c>
      <c r="CZ338">
        <v>2</v>
      </c>
      <c r="DA338" t="s">
        <v>107</v>
      </c>
      <c r="DB338" t="s">
        <v>107</v>
      </c>
      <c r="DC338">
        <v>159</v>
      </c>
      <c r="DD338">
        <v>0</v>
      </c>
      <c r="DE338">
        <v>3.1E-2</v>
      </c>
      <c r="DF338" t="s">
        <v>97</v>
      </c>
      <c r="DG338" t="s">
        <v>97</v>
      </c>
    </row>
    <row r="339" spans="1:111" x14ac:dyDescent="0.2">
      <c r="A339">
        <v>2025</v>
      </c>
      <c r="B339" s="1">
        <v>45954</v>
      </c>
      <c r="C339" t="s">
        <v>95</v>
      </c>
      <c r="D339">
        <v>605483</v>
      </c>
      <c r="E339">
        <v>676914</v>
      </c>
      <c r="F339">
        <v>1</v>
      </c>
      <c r="G339">
        <v>1</v>
      </c>
      <c r="H339">
        <v>3</v>
      </c>
      <c r="I339" t="s">
        <v>163</v>
      </c>
      <c r="J339">
        <v>26</v>
      </c>
      <c r="K339">
        <v>3</v>
      </c>
      <c r="L339" t="s">
        <v>97</v>
      </c>
      <c r="M339" t="s">
        <v>132</v>
      </c>
      <c r="N339" t="s">
        <v>133</v>
      </c>
      <c r="O339">
        <f t="shared" si="80"/>
        <v>0</v>
      </c>
      <c r="P339">
        <f t="shared" si="81"/>
        <v>0</v>
      </c>
      <c r="Q339">
        <f t="shared" si="82"/>
        <v>0</v>
      </c>
      <c r="R339">
        <f t="shared" si="83"/>
        <v>0</v>
      </c>
      <c r="S339">
        <f t="shared" si="84"/>
        <v>0</v>
      </c>
      <c r="T339">
        <f t="shared" si="85"/>
        <v>0</v>
      </c>
      <c r="U339">
        <f t="shared" si="86"/>
        <v>0</v>
      </c>
      <c r="V339">
        <f t="shared" si="87"/>
        <v>0</v>
      </c>
      <c r="W339">
        <f t="shared" si="88"/>
        <v>1</v>
      </c>
      <c r="X339">
        <f t="shared" si="89"/>
        <v>0</v>
      </c>
      <c r="Y339">
        <f t="shared" si="90"/>
        <v>0</v>
      </c>
      <c r="Z339">
        <f t="shared" si="91"/>
        <v>0</v>
      </c>
      <c r="AA339">
        <f t="shared" si="92"/>
        <v>0</v>
      </c>
      <c r="AB339">
        <f t="shared" si="93"/>
        <v>0</v>
      </c>
      <c r="AC339">
        <f t="shared" si="94"/>
        <v>0</v>
      </c>
      <c r="AD339">
        <f t="shared" si="95"/>
        <v>0</v>
      </c>
      <c r="AE339">
        <v>85.4</v>
      </c>
      <c r="AF339">
        <v>2.37</v>
      </c>
      <c r="AG339">
        <v>6.26</v>
      </c>
      <c r="AH339" t="s">
        <v>100</v>
      </c>
      <c r="AI339" t="s">
        <v>97</v>
      </c>
      <c r="AJ339" t="s">
        <v>97</v>
      </c>
      <c r="AK339" t="s">
        <v>97</v>
      </c>
      <c r="AL339" t="s">
        <v>97</v>
      </c>
      <c r="AM339">
        <v>14</v>
      </c>
      <c r="AN339" t="s">
        <v>101</v>
      </c>
      <c r="AO339" t="s">
        <v>213</v>
      </c>
      <c r="AP339" t="s">
        <v>122</v>
      </c>
      <c r="AQ339" t="s">
        <v>103</v>
      </c>
      <c r="AR339" t="s">
        <v>214</v>
      </c>
      <c r="AS339" t="s">
        <v>104</v>
      </c>
      <c r="AT339" t="s">
        <v>106</v>
      </c>
      <c r="AU339" t="s">
        <v>97</v>
      </c>
      <c r="AV339" t="s">
        <v>97</v>
      </c>
      <c r="AW339">
        <v>1.1599999999999999</v>
      </c>
      <c r="AX339">
        <v>1.1299999999999999</v>
      </c>
      <c r="AY339">
        <v>0.35</v>
      </c>
      <c r="AZ339">
        <v>1.1000000000000001</v>
      </c>
      <c r="BA339" t="s">
        <v>97</v>
      </c>
      <c r="BB339" t="s">
        <v>97</v>
      </c>
      <c r="BC339" t="s">
        <v>97</v>
      </c>
      <c r="BD339">
        <v>0</v>
      </c>
      <c r="BE339" t="s">
        <v>97</v>
      </c>
      <c r="BF339" t="s">
        <v>97</v>
      </c>
      <c r="BG339" t="s">
        <v>97</v>
      </c>
      <c r="BH339" t="s">
        <v>97</v>
      </c>
      <c r="BI339">
        <v>669257</v>
      </c>
      <c r="BJ339">
        <v>669257</v>
      </c>
      <c r="BK339" t="s">
        <v>97</v>
      </c>
      <c r="BL339" t="s">
        <v>97</v>
      </c>
      <c r="BM339">
        <v>-7.1676321119999997</v>
      </c>
      <c r="BN339">
        <v>-123.9644279</v>
      </c>
      <c r="BO339">
        <v>-8.1684006010000001</v>
      </c>
      <c r="BP339">
        <v>13.44912119</v>
      </c>
      <c r="BQ339">
        <v>25.522115939999999</v>
      </c>
      <c r="BR339">
        <v>-19.011812679999998</v>
      </c>
      <c r="BS339">
        <v>3.19</v>
      </c>
      <c r="BT339">
        <v>1.51</v>
      </c>
      <c r="BU339" t="s">
        <v>97</v>
      </c>
      <c r="BV339" t="s">
        <v>97</v>
      </c>
      <c r="BW339" t="s">
        <v>97</v>
      </c>
      <c r="BX339">
        <v>86.1</v>
      </c>
      <c r="BY339">
        <v>1886</v>
      </c>
      <c r="BZ339">
        <v>6.9</v>
      </c>
      <c r="CA339">
        <v>813027</v>
      </c>
      <c r="CB339">
        <v>669257</v>
      </c>
      <c r="CC339">
        <v>669257</v>
      </c>
      <c r="CD339">
        <v>518692</v>
      </c>
      <c r="CE339">
        <v>669242</v>
      </c>
      <c r="CF339">
        <v>571970</v>
      </c>
      <c r="CG339">
        <v>605141</v>
      </c>
      <c r="CH339">
        <v>571771</v>
      </c>
      <c r="CI339">
        <v>681624</v>
      </c>
      <c r="CJ339">
        <v>606192</v>
      </c>
      <c r="CK339">
        <v>53.58</v>
      </c>
      <c r="CL339" t="s">
        <v>97</v>
      </c>
      <c r="CM339" t="s">
        <v>97</v>
      </c>
      <c r="CN339" t="s">
        <v>97</v>
      </c>
      <c r="CO339" t="s">
        <v>97</v>
      </c>
      <c r="CP339" t="s">
        <v>97</v>
      </c>
      <c r="CQ339" t="s">
        <v>97</v>
      </c>
      <c r="CR339" t="s">
        <v>97</v>
      </c>
      <c r="CS339">
        <v>0</v>
      </c>
      <c r="CT339">
        <v>2</v>
      </c>
      <c r="CU339">
        <v>0</v>
      </c>
      <c r="CV339">
        <v>2</v>
      </c>
      <c r="CW339">
        <v>2</v>
      </c>
      <c r="CX339">
        <v>0</v>
      </c>
      <c r="CY339">
        <v>0</v>
      </c>
      <c r="CZ339">
        <v>2</v>
      </c>
      <c r="DA339" t="s">
        <v>107</v>
      </c>
      <c r="DB339" t="s">
        <v>107</v>
      </c>
      <c r="DC339">
        <v>130</v>
      </c>
      <c r="DD339">
        <v>0</v>
      </c>
      <c r="DE339">
        <v>5.5E-2</v>
      </c>
      <c r="DF339" t="s">
        <v>97</v>
      </c>
      <c r="DG339" t="s">
        <v>97</v>
      </c>
    </row>
    <row r="340" spans="1:111" x14ac:dyDescent="0.2">
      <c r="A340">
        <v>2025</v>
      </c>
      <c r="B340" s="1">
        <v>45954</v>
      </c>
      <c r="C340" t="s">
        <v>95</v>
      </c>
      <c r="D340">
        <v>605483</v>
      </c>
      <c r="E340">
        <v>676914</v>
      </c>
      <c r="F340">
        <v>2</v>
      </c>
      <c r="G340">
        <v>1</v>
      </c>
      <c r="H340">
        <v>3</v>
      </c>
      <c r="I340" t="s">
        <v>163</v>
      </c>
      <c r="J340">
        <v>26</v>
      </c>
      <c r="K340">
        <v>4</v>
      </c>
      <c r="L340" t="s">
        <v>97</v>
      </c>
      <c r="M340" t="s">
        <v>132</v>
      </c>
      <c r="N340" t="s">
        <v>133</v>
      </c>
      <c r="O340">
        <f t="shared" si="80"/>
        <v>0</v>
      </c>
      <c r="P340">
        <f t="shared" si="81"/>
        <v>0</v>
      </c>
      <c r="Q340">
        <f t="shared" si="82"/>
        <v>0</v>
      </c>
      <c r="R340">
        <f t="shared" si="83"/>
        <v>0</v>
      </c>
      <c r="S340">
        <f t="shared" si="84"/>
        <v>0</v>
      </c>
      <c r="T340">
        <f t="shared" si="85"/>
        <v>0</v>
      </c>
      <c r="U340">
        <f t="shared" si="86"/>
        <v>0</v>
      </c>
      <c r="V340">
        <f t="shared" si="87"/>
        <v>0</v>
      </c>
      <c r="W340">
        <f t="shared" si="88"/>
        <v>1</v>
      </c>
      <c r="X340">
        <f t="shared" si="89"/>
        <v>0</v>
      </c>
      <c r="Y340">
        <f t="shared" si="90"/>
        <v>0</v>
      </c>
      <c r="Z340">
        <f t="shared" si="91"/>
        <v>0</v>
      </c>
      <c r="AA340">
        <f t="shared" si="92"/>
        <v>0</v>
      </c>
      <c r="AB340">
        <f t="shared" si="93"/>
        <v>0</v>
      </c>
      <c r="AC340">
        <f t="shared" si="94"/>
        <v>0</v>
      </c>
      <c r="AD340">
        <f t="shared" si="95"/>
        <v>0</v>
      </c>
      <c r="AE340">
        <v>86.5</v>
      </c>
      <c r="AF340">
        <v>2.34</v>
      </c>
      <c r="AG340">
        <v>6.32</v>
      </c>
      <c r="AH340" t="s">
        <v>113</v>
      </c>
      <c r="AI340" t="s">
        <v>97</v>
      </c>
      <c r="AJ340" t="s">
        <v>97</v>
      </c>
      <c r="AK340" t="s">
        <v>97</v>
      </c>
      <c r="AL340" t="s">
        <v>97</v>
      </c>
      <c r="AM340">
        <v>14</v>
      </c>
      <c r="AN340" t="s">
        <v>114</v>
      </c>
      <c r="AO340" t="s">
        <v>213</v>
      </c>
      <c r="AP340" t="s">
        <v>122</v>
      </c>
      <c r="AQ340" t="s">
        <v>103</v>
      </c>
      <c r="AR340" t="s">
        <v>214</v>
      </c>
      <c r="AS340" t="s">
        <v>104</v>
      </c>
      <c r="AT340" t="s">
        <v>110</v>
      </c>
      <c r="AU340" t="s">
        <v>97</v>
      </c>
      <c r="AV340" t="s">
        <v>97</v>
      </c>
      <c r="AW340">
        <v>1.34</v>
      </c>
      <c r="AX340">
        <v>1.01</v>
      </c>
      <c r="AY340">
        <v>1.1200000000000001</v>
      </c>
      <c r="AZ340">
        <v>1.73</v>
      </c>
      <c r="BA340" t="s">
        <v>97</v>
      </c>
      <c r="BB340" t="s">
        <v>97</v>
      </c>
      <c r="BC340" t="s">
        <v>97</v>
      </c>
      <c r="BD340">
        <v>0</v>
      </c>
      <c r="BE340" t="s">
        <v>97</v>
      </c>
      <c r="BF340" t="s">
        <v>97</v>
      </c>
      <c r="BG340" t="s">
        <v>97</v>
      </c>
      <c r="BH340" t="s">
        <v>97</v>
      </c>
      <c r="BI340">
        <v>669257</v>
      </c>
      <c r="BJ340">
        <v>669257</v>
      </c>
      <c r="BK340" t="s">
        <v>97</v>
      </c>
      <c r="BL340" t="s">
        <v>97</v>
      </c>
      <c r="BM340">
        <v>-5.7077445600000001</v>
      </c>
      <c r="BN340">
        <v>-125.6143426</v>
      </c>
      <c r="BO340">
        <v>-6.780353163</v>
      </c>
      <c r="BP340">
        <v>15.371250059999999</v>
      </c>
      <c r="BQ340">
        <v>27.53698443</v>
      </c>
      <c r="BR340">
        <v>-20.236357430000002</v>
      </c>
      <c r="BS340">
        <v>3.1</v>
      </c>
      <c r="BT340">
        <v>1.53</v>
      </c>
      <c r="BU340" t="s">
        <v>97</v>
      </c>
      <c r="BV340" t="s">
        <v>97</v>
      </c>
      <c r="BW340" t="s">
        <v>97</v>
      </c>
      <c r="BX340">
        <v>87</v>
      </c>
      <c r="BY340">
        <v>2000</v>
      </c>
      <c r="BZ340">
        <v>6.9</v>
      </c>
      <c r="CA340">
        <v>813027</v>
      </c>
      <c r="CB340">
        <v>669257</v>
      </c>
      <c r="CC340">
        <v>669257</v>
      </c>
      <c r="CD340">
        <v>518692</v>
      </c>
      <c r="CE340">
        <v>669242</v>
      </c>
      <c r="CF340">
        <v>571970</v>
      </c>
      <c r="CG340">
        <v>605141</v>
      </c>
      <c r="CH340">
        <v>571771</v>
      </c>
      <c r="CI340">
        <v>681624</v>
      </c>
      <c r="CJ340">
        <v>606192</v>
      </c>
      <c r="CK340">
        <v>53.61</v>
      </c>
      <c r="CL340" t="s">
        <v>97</v>
      </c>
      <c r="CM340" t="s">
        <v>97</v>
      </c>
      <c r="CN340" t="s">
        <v>97</v>
      </c>
      <c r="CO340" t="s">
        <v>97</v>
      </c>
      <c r="CP340" t="s">
        <v>97</v>
      </c>
      <c r="CQ340" t="s">
        <v>97</v>
      </c>
      <c r="CR340" t="s">
        <v>97</v>
      </c>
      <c r="CS340">
        <v>0</v>
      </c>
      <c r="CT340">
        <v>2</v>
      </c>
      <c r="CU340">
        <v>0</v>
      </c>
      <c r="CV340">
        <v>2</v>
      </c>
      <c r="CW340">
        <v>2</v>
      </c>
      <c r="CX340">
        <v>0</v>
      </c>
      <c r="CY340">
        <v>0</v>
      </c>
      <c r="CZ340">
        <v>2</v>
      </c>
      <c r="DA340" t="s">
        <v>107</v>
      </c>
      <c r="DB340" t="s">
        <v>107</v>
      </c>
      <c r="DC340">
        <v>133</v>
      </c>
      <c r="DD340">
        <v>0</v>
      </c>
      <c r="DE340">
        <v>-7.2999999999999995E-2</v>
      </c>
      <c r="DF340">
        <v>71.400000000000006</v>
      </c>
      <c r="DG340">
        <v>8</v>
      </c>
    </row>
    <row r="341" spans="1:111" x14ac:dyDescent="0.2">
      <c r="A341">
        <v>2025</v>
      </c>
      <c r="B341" s="1">
        <v>45954</v>
      </c>
      <c r="C341" t="s">
        <v>95</v>
      </c>
      <c r="D341">
        <v>605483</v>
      </c>
      <c r="E341">
        <v>676914</v>
      </c>
      <c r="F341">
        <v>2</v>
      </c>
      <c r="G341">
        <v>2</v>
      </c>
      <c r="H341">
        <v>3</v>
      </c>
      <c r="I341" t="s">
        <v>163</v>
      </c>
      <c r="J341">
        <v>26</v>
      </c>
      <c r="K341">
        <v>5</v>
      </c>
      <c r="L341" t="s">
        <v>97</v>
      </c>
      <c r="M341" t="s">
        <v>132</v>
      </c>
      <c r="N341" t="s">
        <v>133</v>
      </c>
      <c r="O341">
        <f t="shared" si="80"/>
        <v>0</v>
      </c>
      <c r="P341">
        <f t="shared" si="81"/>
        <v>0</v>
      </c>
      <c r="Q341">
        <f t="shared" si="82"/>
        <v>0</v>
      </c>
      <c r="R341">
        <f t="shared" si="83"/>
        <v>0</v>
      </c>
      <c r="S341">
        <f t="shared" si="84"/>
        <v>0</v>
      </c>
      <c r="T341">
        <f t="shared" si="85"/>
        <v>0</v>
      </c>
      <c r="U341">
        <f t="shared" si="86"/>
        <v>0</v>
      </c>
      <c r="V341">
        <f t="shared" si="87"/>
        <v>0</v>
      </c>
      <c r="W341">
        <f t="shared" si="88"/>
        <v>1</v>
      </c>
      <c r="X341">
        <f t="shared" si="89"/>
        <v>0</v>
      </c>
      <c r="Y341">
        <f t="shared" si="90"/>
        <v>0</v>
      </c>
      <c r="Z341">
        <f t="shared" si="91"/>
        <v>0</v>
      </c>
      <c r="AA341">
        <f t="shared" si="92"/>
        <v>0</v>
      </c>
      <c r="AB341">
        <f t="shared" si="93"/>
        <v>0</v>
      </c>
      <c r="AC341">
        <f t="shared" si="94"/>
        <v>0</v>
      </c>
      <c r="AD341">
        <f t="shared" si="95"/>
        <v>0</v>
      </c>
      <c r="AE341">
        <v>83.4</v>
      </c>
      <c r="AF341">
        <v>2.1800000000000002</v>
      </c>
      <c r="AG341">
        <v>6.3</v>
      </c>
      <c r="AH341" t="s">
        <v>100</v>
      </c>
      <c r="AI341" t="s">
        <v>97</v>
      </c>
      <c r="AJ341" t="s">
        <v>97</v>
      </c>
      <c r="AK341" t="s">
        <v>97</v>
      </c>
      <c r="AL341" t="s">
        <v>97</v>
      </c>
      <c r="AM341">
        <v>14</v>
      </c>
      <c r="AN341" t="s">
        <v>101</v>
      </c>
      <c r="AO341" t="s">
        <v>213</v>
      </c>
      <c r="AP341" t="s">
        <v>122</v>
      </c>
      <c r="AQ341" t="s">
        <v>103</v>
      </c>
      <c r="AR341" t="s">
        <v>214</v>
      </c>
      <c r="AS341" t="s">
        <v>104</v>
      </c>
      <c r="AT341" t="s">
        <v>106</v>
      </c>
      <c r="AU341" t="s">
        <v>97</v>
      </c>
      <c r="AV341" t="s">
        <v>97</v>
      </c>
      <c r="AW341">
        <v>1.37</v>
      </c>
      <c r="AX341">
        <v>0.61</v>
      </c>
      <c r="AY341">
        <v>1.06</v>
      </c>
      <c r="AZ341">
        <v>0.56999999999999995</v>
      </c>
      <c r="BA341" t="s">
        <v>97</v>
      </c>
      <c r="BB341" t="s">
        <v>97</v>
      </c>
      <c r="BC341" t="s">
        <v>97</v>
      </c>
      <c r="BD341">
        <v>0</v>
      </c>
      <c r="BE341" t="s">
        <v>97</v>
      </c>
      <c r="BF341" t="s">
        <v>97</v>
      </c>
      <c r="BG341" t="s">
        <v>97</v>
      </c>
      <c r="BH341" t="s">
        <v>97</v>
      </c>
      <c r="BI341">
        <v>669257</v>
      </c>
      <c r="BJ341">
        <v>669257</v>
      </c>
      <c r="BK341" t="s">
        <v>97</v>
      </c>
      <c r="BL341" t="s">
        <v>97</v>
      </c>
      <c r="BM341">
        <v>-5.3276623360000004</v>
      </c>
      <c r="BN341">
        <v>-121.06931299999999</v>
      </c>
      <c r="BO341">
        <v>-7.9107090659999999</v>
      </c>
      <c r="BP341">
        <v>14.470310960000001</v>
      </c>
      <c r="BQ341">
        <v>26.137458970000001</v>
      </c>
      <c r="BR341">
        <v>-24.74676899</v>
      </c>
      <c r="BS341">
        <v>3.11</v>
      </c>
      <c r="BT341">
        <v>1.49</v>
      </c>
      <c r="BU341" t="s">
        <v>97</v>
      </c>
      <c r="BV341" t="s">
        <v>97</v>
      </c>
      <c r="BW341" t="s">
        <v>97</v>
      </c>
      <c r="BX341">
        <v>84</v>
      </c>
      <c r="BY341">
        <v>1794</v>
      </c>
      <c r="BZ341">
        <v>7</v>
      </c>
      <c r="CA341">
        <v>813027</v>
      </c>
      <c r="CB341">
        <v>669257</v>
      </c>
      <c r="CC341">
        <v>669257</v>
      </c>
      <c r="CD341">
        <v>518692</v>
      </c>
      <c r="CE341">
        <v>669242</v>
      </c>
      <c r="CF341">
        <v>571970</v>
      </c>
      <c r="CG341">
        <v>605141</v>
      </c>
      <c r="CH341">
        <v>571771</v>
      </c>
      <c r="CI341">
        <v>681624</v>
      </c>
      <c r="CJ341">
        <v>606192</v>
      </c>
      <c r="CK341">
        <v>53.47</v>
      </c>
      <c r="CL341" t="s">
        <v>97</v>
      </c>
      <c r="CM341" t="s">
        <v>97</v>
      </c>
      <c r="CN341" t="s">
        <v>97</v>
      </c>
      <c r="CO341" t="s">
        <v>97</v>
      </c>
      <c r="CP341" t="s">
        <v>97</v>
      </c>
      <c r="CQ341" t="s">
        <v>97</v>
      </c>
      <c r="CR341" t="s">
        <v>97</v>
      </c>
      <c r="CS341">
        <v>0</v>
      </c>
      <c r="CT341">
        <v>2</v>
      </c>
      <c r="CU341">
        <v>0</v>
      </c>
      <c r="CV341">
        <v>2</v>
      </c>
      <c r="CW341">
        <v>2</v>
      </c>
      <c r="CX341">
        <v>0</v>
      </c>
      <c r="CY341">
        <v>0</v>
      </c>
      <c r="CZ341">
        <v>2</v>
      </c>
      <c r="DA341" t="s">
        <v>107</v>
      </c>
      <c r="DB341" t="s">
        <v>107</v>
      </c>
      <c r="DC341">
        <v>133</v>
      </c>
      <c r="DD341">
        <v>0</v>
      </c>
      <c r="DE341">
        <v>0.112</v>
      </c>
      <c r="DF341" t="s">
        <v>97</v>
      </c>
      <c r="DG341" t="s">
        <v>97</v>
      </c>
    </row>
    <row r="342" spans="1:111" x14ac:dyDescent="0.2">
      <c r="A342">
        <v>2025</v>
      </c>
      <c r="B342" s="1">
        <v>45954</v>
      </c>
      <c r="C342" t="s">
        <v>95</v>
      </c>
      <c r="D342">
        <v>605483</v>
      </c>
      <c r="E342">
        <v>676914</v>
      </c>
      <c r="F342">
        <v>3</v>
      </c>
      <c r="G342">
        <v>2</v>
      </c>
      <c r="H342">
        <v>3</v>
      </c>
      <c r="I342" t="s">
        <v>163</v>
      </c>
      <c r="J342">
        <v>26</v>
      </c>
      <c r="K342">
        <v>6</v>
      </c>
      <c r="L342" t="s">
        <v>116</v>
      </c>
      <c r="M342" t="s">
        <v>132</v>
      </c>
      <c r="N342" t="s">
        <v>133</v>
      </c>
      <c r="O342">
        <f t="shared" si="80"/>
        <v>0</v>
      </c>
      <c r="P342">
        <f t="shared" si="81"/>
        <v>0</v>
      </c>
      <c r="Q342">
        <f t="shared" si="82"/>
        <v>0</v>
      </c>
      <c r="R342">
        <f t="shared" si="83"/>
        <v>0</v>
      </c>
      <c r="S342">
        <f t="shared" si="84"/>
        <v>0</v>
      </c>
      <c r="T342">
        <f t="shared" si="85"/>
        <v>0</v>
      </c>
      <c r="U342">
        <f t="shared" si="86"/>
        <v>0</v>
      </c>
      <c r="V342">
        <f t="shared" si="87"/>
        <v>0</v>
      </c>
      <c r="W342">
        <f t="shared" si="88"/>
        <v>0</v>
      </c>
      <c r="X342">
        <f t="shared" si="89"/>
        <v>1</v>
      </c>
      <c r="Y342">
        <f t="shared" si="90"/>
        <v>0</v>
      </c>
      <c r="Z342">
        <f t="shared" si="91"/>
        <v>0</v>
      </c>
      <c r="AA342">
        <f t="shared" si="92"/>
        <v>0</v>
      </c>
      <c r="AB342">
        <f t="shared" si="93"/>
        <v>0</v>
      </c>
      <c r="AC342">
        <f t="shared" si="94"/>
        <v>0</v>
      </c>
      <c r="AD342">
        <f t="shared" si="95"/>
        <v>0</v>
      </c>
      <c r="AE342">
        <v>87.4</v>
      </c>
      <c r="AF342">
        <v>2.1800000000000002</v>
      </c>
      <c r="AG342">
        <v>6.29</v>
      </c>
      <c r="AH342" t="s">
        <v>113</v>
      </c>
      <c r="AI342" t="s">
        <v>97</v>
      </c>
      <c r="AJ342" t="s">
        <v>97</v>
      </c>
      <c r="AK342" t="s">
        <v>97</v>
      </c>
      <c r="AL342" t="s">
        <v>97</v>
      </c>
      <c r="AM342">
        <v>8</v>
      </c>
      <c r="AN342" t="s">
        <v>226</v>
      </c>
      <c r="AO342" t="s">
        <v>213</v>
      </c>
      <c r="AP342" t="s">
        <v>122</v>
      </c>
      <c r="AQ342" t="s">
        <v>103</v>
      </c>
      <c r="AR342" t="s">
        <v>214</v>
      </c>
      <c r="AS342" t="s">
        <v>104</v>
      </c>
      <c r="AT342" t="s">
        <v>110</v>
      </c>
      <c r="AU342">
        <v>2</v>
      </c>
      <c r="AV342" t="s">
        <v>97</v>
      </c>
      <c r="AW342">
        <v>1.0900000000000001</v>
      </c>
      <c r="AX342">
        <v>1.2</v>
      </c>
      <c r="AY342">
        <v>-0.2</v>
      </c>
      <c r="AZ342">
        <v>1.49</v>
      </c>
      <c r="BA342" t="s">
        <v>97</v>
      </c>
      <c r="BB342" t="s">
        <v>97</v>
      </c>
      <c r="BC342" t="s">
        <v>97</v>
      </c>
      <c r="BD342">
        <v>0</v>
      </c>
      <c r="BE342" t="s">
        <v>97</v>
      </c>
      <c r="BF342" t="s">
        <v>97</v>
      </c>
      <c r="BG342" t="s">
        <v>97</v>
      </c>
      <c r="BH342" t="s">
        <v>97</v>
      </c>
      <c r="BI342">
        <v>669257</v>
      </c>
      <c r="BJ342">
        <v>669257</v>
      </c>
      <c r="BK342" t="s">
        <v>97</v>
      </c>
      <c r="BL342" t="s">
        <v>97</v>
      </c>
      <c r="BM342">
        <v>-8.0927642970000004</v>
      </c>
      <c r="BN342">
        <v>-126.75762570000001</v>
      </c>
      <c r="BO342">
        <v>-7.8986321930000001</v>
      </c>
      <c r="BP342">
        <v>13.483192109999999</v>
      </c>
      <c r="BQ342">
        <v>27.158849199999999</v>
      </c>
      <c r="BR342">
        <v>-17.764763769999998</v>
      </c>
      <c r="BS342">
        <v>3.1</v>
      </c>
      <c r="BT342">
        <v>1.53</v>
      </c>
      <c r="BU342" t="s">
        <v>97</v>
      </c>
      <c r="BV342" t="s">
        <v>97</v>
      </c>
      <c r="BW342" t="s">
        <v>97</v>
      </c>
      <c r="BX342">
        <v>88.1</v>
      </c>
      <c r="BY342">
        <v>2045</v>
      </c>
      <c r="BZ342">
        <v>7</v>
      </c>
      <c r="CA342">
        <v>813027</v>
      </c>
      <c r="CB342">
        <v>669257</v>
      </c>
      <c r="CC342">
        <v>669257</v>
      </c>
      <c r="CD342">
        <v>518692</v>
      </c>
      <c r="CE342">
        <v>669242</v>
      </c>
      <c r="CF342">
        <v>571970</v>
      </c>
      <c r="CG342">
        <v>605141</v>
      </c>
      <c r="CH342">
        <v>571771</v>
      </c>
      <c r="CI342">
        <v>681624</v>
      </c>
      <c r="CJ342">
        <v>606192</v>
      </c>
      <c r="CK342">
        <v>53.47</v>
      </c>
      <c r="CL342" t="s">
        <v>97</v>
      </c>
      <c r="CM342">
        <v>0</v>
      </c>
      <c r="CN342">
        <v>0</v>
      </c>
      <c r="CO342">
        <v>1</v>
      </c>
      <c r="CP342">
        <v>0</v>
      </c>
      <c r="CQ342">
        <v>0</v>
      </c>
      <c r="CR342" t="s">
        <v>97</v>
      </c>
      <c r="CS342">
        <v>0</v>
      </c>
      <c r="CT342">
        <v>2</v>
      </c>
      <c r="CU342">
        <v>0</v>
      </c>
      <c r="CV342">
        <v>2</v>
      </c>
      <c r="CW342">
        <v>2</v>
      </c>
      <c r="CX342">
        <v>0</v>
      </c>
      <c r="CY342">
        <v>0</v>
      </c>
      <c r="CZ342">
        <v>2</v>
      </c>
      <c r="DA342" t="s">
        <v>107</v>
      </c>
      <c r="DB342" t="s">
        <v>107</v>
      </c>
      <c r="DC342">
        <v>135</v>
      </c>
      <c r="DD342">
        <v>-2.5999999999999999E-2</v>
      </c>
      <c r="DE342">
        <v>-0.34499999999999997</v>
      </c>
      <c r="DF342">
        <v>74.099999999999994</v>
      </c>
      <c r="DG342">
        <v>8.1</v>
      </c>
    </row>
    <row r="343" spans="1:111" x14ac:dyDescent="0.2">
      <c r="A343">
        <v>2025</v>
      </c>
      <c r="B343" s="1">
        <v>45954</v>
      </c>
      <c r="C343" t="s">
        <v>95</v>
      </c>
      <c r="D343">
        <v>605483</v>
      </c>
      <c r="E343">
        <v>665489</v>
      </c>
      <c r="F343">
        <v>0</v>
      </c>
      <c r="G343">
        <v>0</v>
      </c>
      <c r="H343">
        <v>3</v>
      </c>
      <c r="I343" t="s">
        <v>163</v>
      </c>
      <c r="J343">
        <v>27</v>
      </c>
      <c r="K343">
        <v>1</v>
      </c>
      <c r="L343" t="s">
        <v>97</v>
      </c>
      <c r="M343" t="s">
        <v>98</v>
      </c>
      <c r="N343" t="s">
        <v>99</v>
      </c>
      <c r="O343">
        <f t="shared" si="80"/>
        <v>0</v>
      </c>
      <c r="P343">
        <f t="shared" si="81"/>
        <v>0</v>
      </c>
      <c r="Q343">
        <f t="shared" si="82"/>
        <v>1</v>
      </c>
      <c r="R343">
        <f t="shared" si="83"/>
        <v>0</v>
      </c>
      <c r="S343">
        <f t="shared" si="84"/>
        <v>0</v>
      </c>
      <c r="T343">
        <f t="shared" si="85"/>
        <v>0</v>
      </c>
      <c r="U343">
        <f t="shared" si="86"/>
        <v>0</v>
      </c>
      <c r="V343">
        <f t="shared" si="87"/>
        <v>0</v>
      </c>
      <c r="W343">
        <f t="shared" si="88"/>
        <v>0</v>
      </c>
      <c r="X343">
        <f t="shared" si="89"/>
        <v>0</v>
      </c>
      <c r="Y343">
        <f t="shared" si="90"/>
        <v>0</v>
      </c>
      <c r="Z343">
        <f t="shared" si="91"/>
        <v>0</v>
      </c>
      <c r="AA343">
        <f t="shared" si="92"/>
        <v>0</v>
      </c>
      <c r="AB343">
        <f t="shared" si="93"/>
        <v>0</v>
      </c>
      <c r="AC343">
        <f t="shared" si="94"/>
        <v>0</v>
      </c>
      <c r="AD343">
        <f t="shared" si="95"/>
        <v>0</v>
      </c>
      <c r="AE343">
        <v>95.9</v>
      </c>
      <c r="AF343">
        <v>2.0299999999999998</v>
      </c>
      <c r="AG343">
        <v>6.46</v>
      </c>
      <c r="AH343" t="s">
        <v>100</v>
      </c>
      <c r="AI343" t="s">
        <v>97</v>
      </c>
      <c r="AJ343" t="s">
        <v>97</v>
      </c>
      <c r="AK343" t="s">
        <v>97</v>
      </c>
      <c r="AL343" t="s">
        <v>97</v>
      </c>
      <c r="AM343">
        <v>2</v>
      </c>
      <c r="AN343" t="s">
        <v>101</v>
      </c>
      <c r="AO343" t="s">
        <v>213</v>
      </c>
      <c r="AP343" t="s">
        <v>122</v>
      </c>
      <c r="AQ343" t="s">
        <v>103</v>
      </c>
      <c r="AR343" t="s">
        <v>214</v>
      </c>
      <c r="AS343" t="s">
        <v>104</v>
      </c>
      <c r="AT343" t="s">
        <v>106</v>
      </c>
      <c r="AU343" t="s">
        <v>97</v>
      </c>
      <c r="AV343" t="s">
        <v>97</v>
      </c>
      <c r="AW343">
        <v>0.64</v>
      </c>
      <c r="AX343">
        <v>1.51</v>
      </c>
      <c r="AY343">
        <v>0.14000000000000001</v>
      </c>
      <c r="AZ343">
        <v>3.7</v>
      </c>
      <c r="BA343" t="s">
        <v>97</v>
      </c>
      <c r="BB343" t="s">
        <v>97</v>
      </c>
      <c r="BC343" t="s">
        <v>97</v>
      </c>
      <c r="BD343">
        <v>1</v>
      </c>
      <c r="BE343" t="s">
        <v>97</v>
      </c>
      <c r="BF343" t="s">
        <v>97</v>
      </c>
      <c r="BG343" t="s">
        <v>97</v>
      </c>
      <c r="BH343" t="s">
        <v>97</v>
      </c>
      <c r="BI343">
        <v>669257</v>
      </c>
      <c r="BJ343">
        <v>669257</v>
      </c>
      <c r="BK343" t="s">
        <v>97</v>
      </c>
      <c r="BL343" t="s">
        <v>97</v>
      </c>
      <c r="BM343">
        <v>-6.5210053779999999</v>
      </c>
      <c r="BN343">
        <v>-139.39937330000001</v>
      </c>
      <c r="BO343">
        <v>-5.1112639870000001</v>
      </c>
      <c r="BP343">
        <v>9.8957910499999997</v>
      </c>
      <c r="BQ343">
        <v>35.117140569999997</v>
      </c>
      <c r="BR343">
        <v>-11.54782441</v>
      </c>
      <c r="BS343">
        <v>3.64</v>
      </c>
      <c r="BT343">
        <v>1.57</v>
      </c>
      <c r="BU343" t="s">
        <v>97</v>
      </c>
      <c r="BV343" t="s">
        <v>97</v>
      </c>
      <c r="BW343" t="s">
        <v>97</v>
      </c>
      <c r="BX343">
        <v>96.5</v>
      </c>
      <c r="BY343">
        <v>2436</v>
      </c>
      <c r="BZ343">
        <v>7</v>
      </c>
      <c r="CA343">
        <v>813027</v>
      </c>
      <c r="CB343">
        <v>669257</v>
      </c>
      <c r="CC343">
        <v>669257</v>
      </c>
      <c r="CD343">
        <v>518692</v>
      </c>
      <c r="CE343">
        <v>669242</v>
      </c>
      <c r="CF343">
        <v>571970</v>
      </c>
      <c r="CG343">
        <v>605141</v>
      </c>
      <c r="CH343">
        <v>571771</v>
      </c>
      <c r="CI343">
        <v>681624</v>
      </c>
      <c r="CJ343">
        <v>606192</v>
      </c>
      <c r="CK343">
        <v>53.54</v>
      </c>
      <c r="CL343" t="s">
        <v>97</v>
      </c>
      <c r="CM343" t="s">
        <v>97</v>
      </c>
      <c r="CN343" t="s">
        <v>97</v>
      </c>
      <c r="CO343" t="s">
        <v>97</v>
      </c>
      <c r="CP343" t="s">
        <v>97</v>
      </c>
      <c r="CQ343" t="s">
        <v>97</v>
      </c>
      <c r="CR343" t="s">
        <v>97</v>
      </c>
      <c r="CS343">
        <v>0</v>
      </c>
      <c r="CT343">
        <v>2</v>
      </c>
      <c r="CU343">
        <v>0</v>
      </c>
      <c r="CV343">
        <v>2</v>
      </c>
      <c r="CW343">
        <v>2</v>
      </c>
      <c r="CX343">
        <v>0</v>
      </c>
      <c r="CY343">
        <v>0</v>
      </c>
      <c r="CZ343">
        <v>2</v>
      </c>
      <c r="DA343" t="s">
        <v>107</v>
      </c>
      <c r="DB343" t="s">
        <v>107</v>
      </c>
      <c r="DC343">
        <v>158</v>
      </c>
      <c r="DD343">
        <v>0</v>
      </c>
      <c r="DE343">
        <v>3.9E-2</v>
      </c>
      <c r="DF343" t="s">
        <v>97</v>
      </c>
      <c r="DG343" t="s">
        <v>97</v>
      </c>
    </row>
    <row r="344" spans="1:111" x14ac:dyDescent="0.2">
      <c r="A344">
        <v>2025</v>
      </c>
      <c r="B344" s="1">
        <v>45954</v>
      </c>
      <c r="C344" t="s">
        <v>95</v>
      </c>
      <c r="D344">
        <v>605483</v>
      </c>
      <c r="E344">
        <v>665489</v>
      </c>
      <c r="F344">
        <v>1</v>
      </c>
      <c r="G344">
        <v>0</v>
      </c>
      <c r="H344">
        <v>3</v>
      </c>
      <c r="I344" t="s">
        <v>163</v>
      </c>
      <c r="J344">
        <v>27</v>
      </c>
      <c r="K344">
        <v>2</v>
      </c>
      <c r="L344" t="s">
        <v>97</v>
      </c>
      <c r="M344" t="s">
        <v>132</v>
      </c>
      <c r="N344" t="s">
        <v>133</v>
      </c>
      <c r="O344">
        <f t="shared" si="80"/>
        <v>0</v>
      </c>
      <c r="P344">
        <f t="shared" si="81"/>
        <v>0</v>
      </c>
      <c r="Q344">
        <f t="shared" si="82"/>
        <v>0</v>
      </c>
      <c r="R344">
        <f t="shared" si="83"/>
        <v>0</v>
      </c>
      <c r="S344">
        <f t="shared" si="84"/>
        <v>0</v>
      </c>
      <c r="T344">
        <f t="shared" si="85"/>
        <v>0</v>
      </c>
      <c r="U344">
        <f t="shared" si="86"/>
        <v>0</v>
      </c>
      <c r="V344">
        <f t="shared" si="87"/>
        <v>0</v>
      </c>
      <c r="W344">
        <f t="shared" si="88"/>
        <v>0</v>
      </c>
      <c r="X344">
        <f t="shared" si="89"/>
        <v>1</v>
      </c>
      <c r="Y344">
        <f t="shared" si="90"/>
        <v>0</v>
      </c>
      <c r="Z344">
        <f t="shared" si="91"/>
        <v>0</v>
      </c>
      <c r="AA344">
        <f t="shared" si="92"/>
        <v>0</v>
      </c>
      <c r="AB344">
        <f t="shared" si="93"/>
        <v>0</v>
      </c>
      <c r="AC344">
        <f t="shared" si="94"/>
        <v>0</v>
      </c>
      <c r="AD344">
        <f t="shared" si="95"/>
        <v>0</v>
      </c>
      <c r="AE344">
        <v>86.7</v>
      </c>
      <c r="AF344">
        <v>2.2999999999999998</v>
      </c>
      <c r="AG344">
        <v>6.24</v>
      </c>
      <c r="AH344" t="s">
        <v>108</v>
      </c>
      <c r="AI344" t="s">
        <v>97</v>
      </c>
      <c r="AJ344" t="s">
        <v>97</v>
      </c>
      <c r="AK344" t="s">
        <v>97</v>
      </c>
      <c r="AL344" t="s">
        <v>97</v>
      </c>
      <c r="AM344">
        <v>8</v>
      </c>
      <c r="AN344" t="s">
        <v>109</v>
      </c>
      <c r="AO344" t="s">
        <v>213</v>
      </c>
      <c r="AP344" t="s">
        <v>122</v>
      </c>
      <c r="AQ344" t="s">
        <v>103</v>
      </c>
      <c r="AR344" t="s">
        <v>214</v>
      </c>
      <c r="AS344" t="s">
        <v>104</v>
      </c>
      <c r="AT344" t="s">
        <v>110</v>
      </c>
      <c r="AU344" t="s">
        <v>97</v>
      </c>
      <c r="AV344" t="s">
        <v>97</v>
      </c>
      <c r="AW344">
        <v>1.27</v>
      </c>
      <c r="AX344">
        <v>1.0900000000000001</v>
      </c>
      <c r="AY344">
        <v>-0.25</v>
      </c>
      <c r="AZ344">
        <v>1.59</v>
      </c>
      <c r="BA344" t="s">
        <v>97</v>
      </c>
      <c r="BB344" t="s">
        <v>97</v>
      </c>
      <c r="BC344" t="s">
        <v>97</v>
      </c>
      <c r="BD344">
        <v>1</v>
      </c>
      <c r="BE344" t="s">
        <v>97</v>
      </c>
      <c r="BF344" t="s">
        <v>97</v>
      </c>
      <c r="BG344" t="s">
        <v>97</v>
      </c>
      <c r="BH344" t="s">
        <v>97</v>
      </c>
      <c r="BI344">
        <v>669257</v>
      </c>
      <c r="BJ344">
        <v>669257</v>
      </c>
      <c r="BK344" t="s">
        <v>97</v>
      </c>
      <c r="BL344" t="s">
        <v>97</v>
      </c>
      <c r="BM344">
        <v>-8.7955927660000004</v>
      </c>
      <c r="BN344">
        <v>-125.73174969999999</v>
      </c>
      <c r="BO344">
        <v>-7.1399450059999996</v>
      </c>
      <c r="BP344">
        <v>15.34792839</v>
      </c>
      <c r="BQ344">
        <v>27.385487810000001</v>
      </c>
      <c r="BR344">
        <v>-19.220666919999999</v>
      </c>
      <c r="BS344">
        <v>3.61</v>
      </c>
      <c r="BT344">
        <v>1.55</v>
      </c>
      <c r="BU344" t="s">
        <v>97</v>
      </c>
      <c r="BV344" t="s">
        <v>97</v>
      </c>
      <c r="BW344" t="s">
        <v>97</v>
      </c>
      <c r="BX344">
        <v>87.3</v>
      </c>
      <c r="BY344">
        <v>1943</v>
      </c>
      <c r="BZ344">
        <v>7</v>
      </c>
      <c r="CA344">
        <v>813027</v>
      </c>
      <c r="CB344">
        <v>669257</v>
      </c>
      <c r="CC344">
        <v>669257</v>
      </c>
      <c r="CD344">
        <v>518692</v>
      </c>
      <c r="CE344">
        <v>669242</v>
      </c>
      <c r="CF344">
        <v>571970</v>
      </c>
      <c r="CG344">
        <v>605141</v>
      </c>
      <c r="CH344">
        <v>571771</v>
      </c>
      <c r="CI344">
        <v>681624</v>
      </c>
      <c r="CJ344">
        <v>606192</v>
      </c>
      <c r="CK344">
        <v>53.5</v>
      </c>
      <c r="CL344" t="s">
        <v>97</v>
      </c>
      <c r="CM344" t="s">
        <v>97</v>
      </c>
      <c r="CN344" t="s">
        <v>97</v>
      </c>
      <c r="CO344" t="s">
        <v>97</v>
      </c>
      <c r="CP344" t="s">
        <v>97</v>
      </c>
      <c r="CQ344" t="s">
        <v>97</v>
      </c>
      <c r="CR344" t="s">
        <v>97</v>
      </c>
      <c r="CS344">
        <v>0</v>
      </c>
      <c r="CT344">
        <v>2</v>
      </c>
      <c r="CU344">
        <v>0</v>
      </c>
      <c r="CV344">
        <v>2</v>
      </c>
      <c r="CW344">
        <v>2</v>
      </c>
      <c r="CX344">
        <v>0</v>
      </c>
      <c r="CY344">
        <v>0</v>
      </c>
      <c r="CZ344">
        <v>2</v>
      </c>
      <c r="DA344" t="s">
        <v>107</v>
      </c>
      <c r="DB344" t="s">
        <v>107</v>
      </c>
      <c r="DC344">
        <v>133</v>
      </c>
      <c r="DD344">
        <v>0</v>
      </c>
      <c r="DE344">
        <v>-0.05</v>
      </c>
      <c r="DF344" t="s">
        <v>97</v>
      </c>
      <c r="DG344" t="s">
        <v>97</v>
      </c>
    </row>
    <row r="345" spans="1:111" x14ac:dyDescent="0.2">
      <c r="A345">
        <v>2025</v>
      </c>
      <c r="B345" s="1">
        <v>45954</v>
      </c>
      <c r="C345" t="s">
        <v>95</v>
      </c>
      <c r="D345">
        <v>605483</v>
      </c>
      <c r="E345">
        <v>665489</v>
      </c>
      <c r="F345">
        <v>1</v>
      </c>
      <c r="G345">
        <v>1</v>
      </c>
      <c r="H345">
        <v>3</v>
      </c>
      <c r="I345" t="s">
        <v>163</v>
      </c>
      <c r="J345">
        <v>27</v>
      </c>
      <c r="K345">
        <v>3</v>
      </c>
      <c r="L345" t="s">
        <v>97</v>
      </c>
      <c r="M345" t="s">
        <v>98</v>
      </c>
      <c r="N345" t="s">
        <v>99</v>
      </c>
      <c r="O345">
        <f t="shared" si="80"/>
        <v>0</v>
      </c>
      <c r="P345">
        <f t="shared" si="81"/>
        <v>0</v>
      </c>
      <c r="Q345">
        <f t="shared" si="82"/>
        <v>0</v>
      </c>
      <c r="R345">
        <f t="shared" si="83"/>
        <v>1</v>
      </c>
      <c r="S345">
        <f t="shared" si="84"/>
        <v>0</v>
      </c>
      <c r="T345">
        <f t="shared" si="85"/>
        <v>0</v>
      </c>
      <c r="U345">
        <f t="shared" si="86"/>
        <v>0</v>
      </c>
      <c r="V345">
        <f t="shared" si="87"/>
        <v>0</v>
      </c>
      <c r="W345">
        <f t="shared" si="88"/>
        <v>0</v>
      </c>
      <c r="X345">
        <f t="shared" si="89"/>
        <v>0</v>
      </c>
      <c r="Y345">
        <f t="shared" si="90"/>
        <v>0</v>
      </c>
      <c r="Z345">
        <f t="shared" si="91"/>
        <v>0</v>
      </c>
      <c r="AA345">
        <f t="shared" si="92"/>
        <v>0</v>
      </c>
      <c r="AB345">
        <f t="shared" si="93"/>
        <v>0</v>
      </c>
      <c r="AC345">
        <f t="shared" si="94"/>
        <v>0</v>
      </c>
      <c r="AD345">
        <f t="shared" si="95"/>
        <v>0</v>
      </c>
      <c r="AE345">
        <v>94.7</v>
      </c>
      <c r="AF345">
        <v>1.98</v>
      </c>
      <c r="AG345">
        <v>6.48</v>
      </c>
      <c r="AH345" t="s">
        <v>129</v>
      </c>
      <c r="AI345" t="s">
        <v>97</v>
      </c>
      <c r="AJ345" t="s">
        <v>97</v>
      </c>
      <c r="AK345" t="s">
        <v>97</v>
      </c>
      <c r="AL345" t="s">
        <v>97</v>
      </c>
      <c r="AM345">
        <v>1</v>
      </c>
      <c r="AN345" t="s">
        <v>130</v>
      </c>
      <c r="AO345" t="s">
        <v>213</v>
      </c>
      <c r="AP345" t="s">
        <v>122</v>
      </c>
      <c r="AQ345" t="s">
        <v>103</v>
      </c>
      <c r="AR345" t="s">
        <v>214</v>
      </c>
      <c r="AS345" t="s">
        <v>104</v>
      </c>
      <c r="AT345" t="s">
        <v>110</v>
      </c>
      <c r="AU345" t="s">
        <v>97</v>
      </c>
      <c r="AV345" t="s">
        <v>97</v>
      </c>
      <c r="AW345">
        <v>0.45</v>
      </c>
      <c r="AX345">
        <v>1.49</v>
      </c>
      <c r="AY345">
        <v>-0.44</v>
      </c>
      <c r="AZ345">
        <v>3.25</v>
      </c>
      <c r="BA345" t="s">
        <v>97</v>
      </c>
      <c r="BB345" t="s">
        <v>97</v>
      </c>
      <c r="BC345" t="s">
        <v>97</v>
      </c>
      <c r="BD345">
        <v>1</v>
      </c>
      <c r="BE345" t="s">
        <v>97</v>
      </c>
      <c r="BF345" t="s">
        <v>97</v>
      </c>
      <c r="BG345" t="s">
        <v>97</v>
      </c>
      <c r="BH345" t="s">
        <v>97</v>
      </c>
      <c r="BI345">
        <v>669257</v>
      </c>
      <c r="BJ345">
        <v>669257</v>
      </c>
      <c r="BK345" t="s">
        <v>97</v>
      </c>
      <c r="BL345" t="s">
        <v>97</v>
      </c>
      <c r="BM345">
        <v>-7.3816086580000002</v>
      </c>
      <c r="BN345">
        <v>-137.5551767</v>
      </c>
      <c r="BO345">
        <v>-6.0377145140000001</v>
      </c>
      <c r="BP345">
        <v>7.4539081830000002</v>
      </c>
      <c r="BQ345">
        <v>34.493093700000003</v>
      </c>
      <c r="BR345">
        <v>-12.13262656</v>
      </c>
      <c r="BS345">
        <v>3.65</v>
      </c>
      <c r="BT345">
        <v>1.62</v>
      </c>
      <c r="BU345">
        <v>157</v>
      </c>
      <c r="BV345">
        <v>64.099999999999994</v>
      </c>
      <c r="BW345">
        <v>58</v>
      </c>
      <c r="BX345">
        <v>95</v>
      </c>
      <c r="BY345">
        <v>2430</v>
      </c>
      <c r="BZ345">
        <v>6.8</v>
      </c>
      <c r="CA345">
        <v>813027</v>
      </c>
      <c r="CB345">
        <v>669257</v>
      </c>
      <c r="CC345">
        <v>669257</v>
      </c>
      <c r="CD345">
        <v>518692</v>
      </c>
      <c r="CE345">
        <v>669242</v>
      </c>
      <c r="CF345">
        <v>571970</v>
      </c>
      <c r="CG345">
        <v>605141</v>
      </c>
      <c r="CH345">
        <v>571771</v>
      </c>
      <c r="CI345">
        <v>681624</v>
      </c>
      <c r="CJ345">
        <v>606192</v>
      </c>
      <c r="CK345">
        <v>53.65</v>
      </c>
      <c r="CL345" t="s">
        <v>97</v>
      </c>
      <c r="CM345" t="s">
        <v>97</v>
      </c>
      <c r="CN345" t="s">
        <v>97</v>
      </c>
      <c r="CO345" t="s">
        <v>97</v>
      </c>
      <c r="CP345" t="s">
        <v>97</v>
      </c>
      <c r="CQ345" t="s">
        <v>97</v>
      </c>
      <c r="CR345" t="s">
        <v>97</v>
      </c>
      <c r="CS345">
        <v>0</v>
      </c>
      <c r="CT345">
        <v>2</v>
      </c>
      <c r="CU345">
        <v>0</v>
      </c>
      <c r="CV345">
        <v>2</v>
      </c>
      <c r="CW345">
        <v>2</v>
      </c>
      <c r="CX345">
        <v>0</v>
      </c>
      <c r="CY345">
        <v>0</v>
      </c>
      <c r="CZ345">
        <v>2</v>
      </c>
      <c r="DA345" t="s">
        <v>107</v>
      </c>
      <c r="DB345" t="s">
        <v>107</v>
      </c>
      <c r="DC345">
        <v>160</v>
      </c>
      <c r="DD345">
        <v>0</v>
      </c>
      <c r="DE345">
        <v>-6.4000000000000001E-2</v>
      </c>
      <c r="DF345">
        <v>73.7</v>
      </c>
      <c r="DG345">
        <v>6.5</v>
      </c>
    </row>
    <row r="346" spans="1:111" x14ac:dyDescent="0.2">
      <c r="A346">
        <v>2025</v>
      </c>
      <c r="B346" s="1">
        <v>45954</v>
      </c>
      <c r="C346" t="s">
        <v>95</v>
      </c>
      <c r="D346">
        <v>605483</v>
      </c>
      <c r="E346">
        <v>665489</v>
      </c>
      <c r="F346">
        <v>1</v>
      </c>
      <c r="G346">
        <v>2</v>
      </c>
      <c r="H346">
        <v>3</v>
      </c>
      <c r="I346" t="s">
        <v>163</v>
      </c>
      <c r="J346">
        <v>27</v>
      </c>
      <c r="K346">
        <v>4</v>
      </c>
      <c r="L346" t="s">
        <v>97</v>
      </c>
      <c r="M346" t="s">
        <v>138</v>
      </c>
      <c r="N346" t="s">
        <v>139</v>
      </c>
      <c r="O346">
        <f t="shared" si="80"/>
        <v>0</v>
      </c>
      <c r="P346">
        <f t="shared" si="81"/>
        <v>0</v>
      </c>
      <c r="Q346">
        <f t="shared" si="82"/>
        <v>0</v>
      </c>
      <c r="R346">
        <f t="shared" si="83"/>
        <v>0</v>
      </c>
      <c r="S346">
        <f t="shared" si="84"/>
        <v>0</v>
      </c>
      <c r="T346">
        <f t="shared" si="85"/>
        <v>0</v>
      </c>
      <c r="U346">
        <f t="shared" si="86"/>
        <v>0</v>
      </c>
      <c r="V346">
        <f t="shared" si="87"/>
        <v>0</v>
      </c>
      <c r="W346">
        <f t="shared" si="88"/>
        <v>0</v>
      </c>
      <c r="X346">
        <f t="shared" si="89"/>
        <v>0</v>
      </c>
      <c r="Y346">
        <f t="shared" si="90"/>
        <v>0</v>
      </c>
      <c r="Z346">
        <f t="shared" si="91"/>
        <v>0</v>
      </c>
      <c r="AA346">
        <f t="shared" si="92"/>
        <v>0</v>
      </c>
      <c r="AB346">
        <f t="shared" si="93"/>
        <v>1</v>
      </c>
      <c r="AC346">
        <f t="shared" si="94"/>
        <v>0</v>
      </c>
      <c r="AD346">
        <f t="shared" si="95"/>
        <v>0</v>
      </c>
      <c r="AE346">
        <v>90.7</v>
      </c>
      <c r="AF346">
        <v>2.08</v>
      </c>
      <c r="AG346">
        <v>6.41</v>
      </c>
      <c r="AH346" t="s">
        <v>100</v>
      </c>
      <c r="AI346" t="s">
        <v>97</v>
      </c>
      <c r="AJ346" t="s">
        <v>97</v>
      </c>
      <c r="AK346" t="s">
        <v>97</v>
      </c>
      <c r="AL346" t="s">
        <v>97</v>
      </c>
      <c r="AM346">
        <v>13</v>
      </c>
      <c r="AN346" t="s">
        <v>101</v>
      </c>
      <c r="AO346" t="s">
        <v>213</v>
      </c>
      <c r="AP346" t="s">
        <v>122</v>
      </c>
      <c r="AQ346" t="s">
        <v>103</v>
      </c>
      <c r="AR346" t="s">
        <v>214</v>
      </c>
      <c r="AS346" t="s">
        <v>104</v>
      </c>
      <c r="AT346" t="s">
        <v>106</v>
      </c>
      <c r="AU346" t="s">
        <v>97</v>
      </c>
      <c r="AV346" t="s">
        <v>97</v>
      </c>
      <c r="AW346">
        <v>-0.39</v>
      </c>
      <c r="AX346">
        <v>0.8</v>
      </c>
      <c r="AY346">
        <v>-1.04</v>
      </c>
      <c r="AZ346">
        <v>-0.21</v>
      </c>
      <c r="BA346" t="s">
        <v>97</v>
      </c>
      <c r="BB346" t="s">
        <v>97</v>
      </c>
      <c r="BC346" t="s">
        <v>97</v>
      </c>
      <c r="BD346">
        <v>1</v>
      </c>
      <c r="BE346" t="s">
        <v>97</v>
      </c>
      <c r="BF346" t="s">
        <v>97</v>
      </c>
      <c r="BG346" t="s">
        <v>97</v>
      </c>
      <c r="BH346" t="s">
        <v>97</v>
      </c>
      <c r="BI346">
        <v>669257</v>
      </c>
      <c r="BJ346">
        <v>669257</v>
      </c>
      <c r="BK346" t="s">
        <v>97</v>
      </c>
      <c r="BL346" t="s">
        <v>97</v>
      </c>
      <c r="BM346">
        <v>-7.0342858420000001</v>
      </c>
      <c r="BN346">
        <v>-131.3386624</v>
      </c>
      <c r="BO346">
        <v>-12.366007079999999</v>
      </c>
      <c r="BP346">
        <v>-2.8141294970000001</v>
      </c>
      <c r="BQ346">
        <v>30.86759661</v>
      </c>
      <c r="BR346">
        <v>-20.202228120000001</v>
      </c>
      <c r="BS346">
        <v>3.61</v>
      </c>
      <c r="BT346">
        <v>1.45</v>
      </c>
      <c r="BU346" t="s">
        <v>97</v>
      </c>
      <c r="BV346" t="s">
        <v>97</v>
      </c>
      <c r="BW346" t="s">
        <v>97</v>
      </c>
      <c r="BX346">
        <v>91.2</v>
      </c>
      <c r="BY346">
        <v>2315</v>
      </c>
      <c r="BZ346">
        <v>7.1</v>
      </c>
      <c r="CA346">
        <v>813027</v>
      </c>
      <c r="CB346">
        <v>669257</v>
      </c>
      <c r="CC346">
        <v>669257</v>
      </c>
      <c r="CD346">
        <v>518692</v>
      </c>
      <c r="CE346">
        <v>669242</v>
      </c>
      <c r="CF346">
        <v>571970</v>
      </c>
      <c r="CG346">
        <v>605141</v>
      </c>
      <c r="CH346">
        <v>571771</v>
      </c>
      <c r="CI346">
        <v>681624</v>
      </c>
      <c r="CJ346">
        <v>606192</v>
      </c>
      <c r="CK346">
        <v>53.39</v>
      </c>
      <c r="CL346" t="s">
        <v>97</v>
      </c>
      <c r="CM346" t="s">
        <v>97</v>
      </c>
      <c r="CN346" t="s">
        <v>97</v>
      </c>
      <c r="CO346" t="s">
        <v>97</v>
      </c>
      <c r="CP346" t="s">
        <v>97</v>
      </c>
      <c r="CQ346" t="s">
        <v>97</v>
      </c>
      <c r="CR346" t="s">
        <v>97</v>
      </c>
      <c r="CS346">
        <v>0</v>
      </c>
      <c r="CT346">
        <v>2</v>
      </c>
      <c r="CU346">
        <v>0</v>
      </c>
      <c r="CV346">
        <v>2</v>
      </c>
      <c r="CW346">
        <v>2</v>
      </c>
      <c r="CX346">
        <v>0</v>
      </c>
      <c r="CY346">
        <v>0</v>
      </c>
      <c r="CZ346">
        <v>2</v>
      </c>
      <c r="DA346" t="s">
        <v>107</v>
      </c>
      <c r="DB346" t="s">
        <v>107</v>
      </c>
      <c r="DC346">
        <v>152</v>
      </c>
      <c r="DD346">
        <v>0</v>
      </c>
      <c r="DE346">
        <v>4.8000000000000001E-2</v>
      </c>
      <c r="DF346" t="s">
        <v>97</v>
      </c>
      <c r="DG346" t="s">
        <v>97</v>
      </c>
    </row>
    <row r="347" spans="1:111" x14ac:dyDescent="0.2">
      <c r="A347">
        <v>2025</v>
      </c>
      <c r="B347" s="1">
        <v>45954</v>
      </c>
      <c r="C347" t="s">
        <v>95</v>
      </c>
      <c r="D347">
        <v>605483</v>
      </c>
      <c r="E347">
        <v>665489</v>
      </c>
      <c r="F347">
        <v>2</v>
      </c>
      <c r="G347">
        <v>2</v>
      </c>
      <c r="H347">
        <v>3</v>
      </c>
      <c r="I347" t="s">
        <v>163</v>
      </c>
      <c r="J347">
        <v>27</v>
      </c>
      <c r="K347">
        <v>5</v>
      </c>
      <c r="L347" t="s">
        <v>97</v>
      </c>
      <c r="M347" t="s">
        <v>98</v>
      </c>
      <c r="N347" t="s">
        <v>99</v>
      </c>
      <c r="O347">
        <f t="shared" si="80"/>
        <v>0</v>
      </c>
      <c r="P347">
        <f t="shared" si="81"/>
        <v>0</v>
      </c>
      <c r="Q347">
        <f t="shared" si="82"/>
        <v>1</v>
      </c>
      <c r="R347">
        <f t="shared" si="83"/>
        <v>0</v>
      </c>
      <c r="S347">
        <f t="shared" si="84"/>
        <v>0</v>
      </c>
      <c r="T347">
        <f t="shared" si="85"/>
        <v>0</v>
      </c>
      <c r="U347">
        <f t="shared" si="86"/>
        <v>0</v>
      </c>
      <c r="V347">
        <f t="shared" si="87"/>
        <v>0</v>
      </c>
      <c r="W347">
        <f t="shared" si="88"/>
        <v>0</v>
      </c>
      <c r="X347">
        <f t="shared" si="89"/>
        <v>0</v>
      </c>
      <c r="Y347">
        <f t="shared" si="90"/>
        <v>0</v>
      </c>
      <c r="Z347">
        <f t="shared" si="91"/>
        <v>0</v>
      </c>
      <c r="AA347">
        <f t="shared" si="92"/>
        <v>0</v>
      </c>
      <c r="AB347">
        <f t="shared" si="93"/>
        <v>0</v>
      </c>
      <c r="AC347">
        <f t="shared" si="94"/>
        <v>0</v>
      </c>
      <c r="AD347">
        <f t="shared" si="95"/>
        <v>0</v>
      </c>
      <c r="AE347">
        <v>96.2</v>
      </c>
      <c r="AF347">
        <v>1.94</v>
      </c>
      <c r="AG347">
        <v>6.48</v>
      </c>
      <c r="AH347" t="s">
        <v>100</v>
      </c>
      <c r="AI347" t="s">
        <v>97</v>
      </c>
      <c r="AJ347" t="s">
        <v>97</v>
      </c>
      <c r="AK347" t="s">
        <v>97</v>
      </c>
      <c r="AL347" t="s">
        <v>97</v>
      </c>
      <c r="AM347">
        <v>12</v>
      </c>
      <c r="AN347" t="s">
        <v>101</v>
      </c>
      <c r="AO347" t="s">
        <v>213</v>
      </c>
      <c r="AP347" t="s">
        <v>122</v>
      </c>
      <c r="AQ347" t="s">
        <v>103</v>
      </c>
      <c r="AR347" t="s">
        <v>214</v>
      </c>
      <c r="AS347" t="s">
        <v>104</v>
      </c>
      <c r="AT347" t="s">
        <v>106</v>
      </c>
      <c r="AU347" t="s">
        <v>97</v>
      </c>
      <c r="AV347" t="s">
        <v>97</v>
      </c>
      <c r="AW347">
        <v>0.3</v>
      </c>
      <c r="AX347">
        <v>1.47</v>
      </c>
      <c r="AY347">
        <v>0.8</v>
      </c>
      <c r="AZ347">
        <v>3.97</v>
      </c>
      <c r="BA347" t="s">
        <v>97</v>
      </c>
      <c r="BB347" t="s">
        <v>97</v>
      </c>
      <c r="BC347" t="s">
        <v>97</v>
      </c>
      <c r="BD347">
        <v>1</v>
      </c>
      <c r="BE347" t="s">
        <v>97</v>
      </c>
      <c r="BF347" t="s">
        <v>97</v>
      </c>
      <c r="BG347" t="s">
        <v>97</v>
      </c>
      <c r="BH347" t="s">
        <v>97</v>
      </c>
      <c r="BI347">
        <v>669257</v>
      </c>
      <c r="BJ347">
        <v>669257</v>
      </c>
      <c r="BK347" t="s">
        <v>97</v>
      </c>
      <c r="BL347" t="s">
        <v>97</v>
      </c>
      <c r="BM347">
        <v>-3.744179345</v>
      </c>
      <c r="BN347">
        <v>-139.9201534</v>
      </c>
      <c r="BO347">
        <v>-4.3829176040000002</v>
      </c>
      <c r="BP347">
        <v>4.8792231629999998</v>
      </c>
      <c r="BQ347">
        <v>34.075123019999999</v>
      </c>
      <c r="BR347">
        <v>-12.197770670000001</v>
      </c>
      <c r="BS347">
        <v>3.64</v>
      </c>
      <c r="BT347">
        <v>1.51</v>
      </c>
      <c r="BU347" t="s">
        <v>97</v>
      </c>
      <c r="BV347" t="s">
        <v>97</v>
      </c>
      <c r="BW347" t="s">
        <v>97</v>
      </c>
      <c r="BX347">
        <v>96.8</v>
      </c>
      <c r="BY347">
        <v>2400</v>
      </c>
      <c r="BZ347">
        <v>6.8</v>
      </c>
      <c r="CA347">
        <v>813027</v>
      </c>
      <c r="CB347">
        <v>669257</v>
      </c>
      <c r="CC347">
        <v>669257</v>
      </c>
      <c r="CD347">
        <v>518692</v>
      </c>
      <c r="CE347">
        <v>669242</v>
      </c>
      <c r="CF347">
        <v>571970</v>
      </c>
      <c r="CG347">
        <v>605141</v>
      </c>
      <c r="CH347">
        <v>571771</v>
      </c>
      <c r="CI347">
        <v>681624</v>
      </c>
      <c r="CJ347">
        <v>606192</v>
      </c>
      <c r="CK347">
        <v>53.69</v>
      </c>
      <c r="CL347" t="s">
        <v>97</v>
      </c>
      <c r="CM347" t="s">
        <v>97</v>
      </c>
      <c r="CN347" t="s">
        <v>97</v>
      </c>
      <c r="CO347" t="s">
        <v>97</v>
      </c>
      <c r="CP347" t="s">
        <v>97</v>
      </c>
      <c r="CQ347" t="s">
        <v>97</v>
      </c>
      <c r="CR347" t="s">
        <v>97</v>
      </c>
      <c r="CS347">
        <v>0</v>
      </c>
      <c r="CT347">
        <v>2</v>
      </c>
      <c r="CU347">
        <v>0</v>
      </c>
      <c r="CV347">
        <v>2</v>
      </c>
      <c r="CW347">
        <v>2</v>
      </c>
      <c r="CX347">
        <v>0</v>
      </c>
      <c r="CY347">
        <v>0</v>
      </c>
      <c r="CZ347">
        <v>2</v>
      </c>
      <c r="DA347" t="s">
        <v>107</v>
      </c>
      <c r="DB347" t="s">
        <v>107</v>
      </c>
      <c r="DC347">
        <v>162</v>
      </c>
      <c r="DD347">
        <v>0</v>
      </c>
      <c r="DE347">
        <v>0.104</v>
      </c>
      <c r="DF347" t="s">
        <v>97</v>
      </c>
      <c r="DG347" t="s">
        <v>97</v>
      </c>
    </row>
    <row r="348" spans="1:111" x14ac:dyDescent="0.2">
      <c r="A348">
        <v>2025</v>
      </c>
      <c r="B348" s="1">
        <v>45954</v>
      </c>
      <c r="C348" t="s">
        <v>95</v>
      </c>
      <c r="D348">
        <v>605483</v>
      </c>
      <c r="E348">
        <v>665489</v>
      </c>
      <c r="F348">
        <v>3</v>
      </c>
      <c r="G348">
        <v>2</v>
      </c>
      <c r="H348">
        <v>3</v>
      </c>
      <c r="I348" t="s">
        <v>163</v>
      </c>
      <c r="J348">
        <v>27</v>
      </c>
      <c r="K348">
        <v>6</v>
      </c>
      <c r="L348" t="s">
        <v>155</v>
      </c>
      <c r="M348" t="s">
        <v>132</v>
      </c>
      <c r="N348" t="s">
        <v>133</v>
      </c>
      <c r="O348">
        <f t="shared" si="80"/>
        <v>0</v>
      </c>
      <c r="P348">
        <f t="shared" si="81"/>
        <v>0</v>
      </c>
      <c r="Q348">
        <f t="shared" si="82"/>
        <v>0</v>
      </c>
      <c r="R348">
        <f t="shared" si="83"/>
        <v>0</v>
      </c>
      <c r="S348">
        <f t="shared" si="84"/>
        <v>0</v>
      </c>
      <c r="T348">
        <f t="shared" si="85"/>
        <v>0</v>
      </c>
      <c r="U348">
        <f t="shared" si="86"/>
        <v>0</v>
      </c>
      <c r="V348">
        <f t="shared" si="87"/>
        <v>0</v>
      </c>
      <c r="W348">
        <f t="shared" si="88"/>
        <v>0</v>
      </c>
      <c r="X348">
        <f t="shared" si="89"/>
        <v>1</v>
      </c>
      <c r="Y348">
        <f t="shared" si="90"/>
        <v>0</v>
      </c>
      <c r="Z348">
        <f t="shared" si="91"/>
        <v>0</v>
      </c>
      <c r="AA348">
        <f t="shared" si="92"/>
        <v>0</v>
      </c>
      <c r="AB348">
        <f t="shared" si="93"/>
        <v>0</v>
      </c>
      <c r="AC348">
        <f t="shared" si="94"/>
        <v>0</v>
      </c>
      <c r="AD348">
        <f t="shared" si="95"/>
        <v>0</v>
      </c>
      <c r="AE348">
        <v>86.2</v>
      </c>
      <c r="AF348">
        <v>2.21</v>
      </c>
      <c r="AG348">
        <v>6.3</v>
      </c>
      <c r="AH348" t="s">
        <v>120</v>
      </c>
      <c r="AI348" t="s">
        <v>97</v>
      </c>
      <c r="AJ348" t="s">
        <v>97</v>
      </c>
      <c r="AK348" t="s">
        <v>97</v>
      </c>
      <c r="AL348" t="s">
        <v>97</v>
      </c>
      <c r="AM348">
        <v>9</v>
      </c>
      <c r="AN348" t="s">
        <v>227</v>
      </c>
      <c r="AO348" t="s">
        <v>213</v>
      </c>
      <c r="AP348" t="s">
        <v>122</v>
      </c>
      <c r="AQ348" t="s">
        <v>103</v>
      </c>
      <c r="AR348" t="s">
        <v>214</v>
      </c>
      <c r="AS348" t="s">
        <v>104</v>
      </c>
      <c r="AT348" t="s">
        <v>123</v>
      </c>
      <c r="AU348">
        <v>7</v>
      </c>
      <c r="AV348" t="s">
        <v>127</v>
      </c>
      <c r="AW348">
        <v>1.1599999999999999</v>
      </c>
      <c r="AX348">
        <v>1.1499999999999999</v>
      </c>
      <c r="AY348">
        <v>0.59</v>
      </c>
      <c r="AZ348">
        <v>2.1</v>
      </c>
      <c r="BA348" t="s">
        <v>97</v>
      </c>
      <c r="BB348" t="s">
        <v>97</v>
      </c>
      <c r="BC348" t="s">
        <v>97</v>
      </c>
      <c r="BD348">
        <v>1</v>
      </c>
      <c r="BE348">
        <v>104.78</v>
      </c>
      <c r="BF348">
        <v>161.12</v>
      </c>
      <c r="BG348" t="s">
        <v>97</v>
      </c>
      <c r="BH348" t="s">
        <v>97</v>
      </c>
      <c r="BI348">
        <v>669257</v>
      </c>
      <c r="BJ348">
        <v>669257</v>
      </c>
      <c r="BK348" t="s">
        <v>97</v>
      </c>
      <c r="BL348" t="s">
        <v>97</v>
      </c>
      <c r="BM348">
        <v>-6.2839171260000004</v>
      </c>
      <c r="BN348">
        <v>-125.2086037</v>
      </c>
      <c r="BO348">
        <v>-6.1067240380000003</v>
      </c>
      <c r="BP348">
        <v>13.50127868</v>
      </c>
      <c r="BQ348">
        <v>25.979593269999999</v>
      </c>
      <c r="BR348">
        <v>-19.010507</v>
      </c>
      <c r="BS348">
        <v>3.65</v>
      </c>
      <c r="BT348">
        <v>1.62</v>
      </c>
      <c r="BU348">
        <v>69</v>
      </c>
      <c r="BV348">
        <v>101.9</v>
      </c>
      <c r="BW348">
        <v>2</v>
      </c>
      <c r="BX348">
        <v>87</v>
      </c>
      <c r="BY348">
        <v>1891</v>
      </c>
      <c r="BZ348">
        <v>7</v>
      </c>
      <c r="CA348">
        <v>813027</v>
      </c>
      <c r="CB348">
        <v>669257</v>
      </c>
      <c r="CC348">
        <v>669257</v>
      </c>
      <c r="CD348">
        <v>518692</v>
      </c>
      <c r="CE348">
        <v>669242</v>
      </c>
      <c r="CF348">
        <v>571970</v>
      </c>
      <c r="CG348">
        <v>605141</v>
      </c>
      <c r="CH348">
        <v>571771</v>
      </c>
      <c r="CI348">
        <v>681624</v>
      </c>
      <c r="CJ348">
        <v>606192</v>
      </c>
      <c r="CK348">
        <v>53.54</v>
      </c>
      <c r="CL348">
        <v>0.53100000000000003</v>
      </c>
      <c r="CM348">
        <v>0.504</v>
      </c>
      <c r="CN348">
        <v>0.9</v>
      </c>
      <c r="CO348">
        <v>1</v>
      </c>
      <c r="CP348">
        <v>1</v>
      </c>
      <c r="CQ348">
        <v>0</v>
      </c>
      <c r="CR348">
        <v>4</v>
      </c>
      <c r="CS348">
        <v>0</v>
      </c>
      <c r="CT348">
        <v>2</v>
      </c>
      <c r="CU348">
        <v>0</v>
      </c>
      <c r="CV348">
        <v>2</v>
      </c>
      <c r="CW348">
        <v>2</v>
      </c>
      <c r="CX348">
        <v>0</v>
      </c>
      <c r="CY348">
        <v>0</v>
      </c>
      <c r="CZ348">
        <v>2</v>
      </c>
      <c r="DA348" t="s">
        <v>107</v>
      </c>
      <c r="DB348" t="s">
        <v>107</v>
      </c>
      <c r="DC348">
        <v>132</v>
      </c>
      <c r="DD348">
        <v>0.03</v>
      </c>
      <c r="DE348">
        <v>0.33700000000000002</v>
      </c>
      <c r="DF348">
        <v>73.900000000000006</v>
      </c>
      <c r="DG348">
        <v>8</v>
      </c>
    </row>
    <row r="349" spans="1:111" x14ac:dyDescent="0.2">
      <c r="A349">
        <v>2025</v>
      </c>
      <c r="B349" s="1">
        <v>45954</v>
      </c>
      <c r="C349" t="s">
        <v>95</v>
      </c>
      <c r="D349">
        <v>605483</v>
      </c>
      <c r="E349">
        <v>666182</v>
      </c>
      <c r="F349">
        <v>0</v>
      </c>
      <c r="G349">
        <v>0</v>
      </c>
      <c r="H349">
        <v>3</v>
      </c>
      <c r="I349" t="s">
        <v>163</v>
      </c>
      <c r="J349">
        <v>28</v>
      </c>
      <c r="K349">
        <v>1</v>
      </c>
      <c r="L349" t="s">
        <v>97</v>
      </c>
      <c r="M349" t="s">
        <v>98</v>
      </c>
      <c r="N349" t="s">
        <v>99</v>
      </c>
      <c r="O349">
        <f t="shared" si="80"/>
        <v>0</v>
      </c>
      <c r="P349">
        <f t="shared" si="81"/>
        <v>0</v>
      </c>
      <c r="Q349">
        <f t="shared" si="82"/>
        <v>1</v>
      </c>
      <c r="R349">
        <f t="shared" si="83"/>
        <v>0</v>
      </c>
      <c r="S349">
        <f t="shared" si="84"/>
        <v>0</v>
      </c>
      <c r="T349">
        <f t="shared" si="85"/>
        <v>0</v>
      </c>
      <c r="U349">
        <f t="shared" si="86"/>
        <v>0</v>
      </c>
      <c r="V349">
        <f t="shared" si="87"/>
        <v>0</v>
      </c>
      <c r="W349">
        <f t="shared" si="88"/>
        <v>0</v>
      </c>
      <c r="X349">
        <f t="shared" si="89"/>
        <v>0</v>
      </c>
      <c r="Y349">
        <f t="shared" si="90"/>
        <v>0</v>
      </c>
      <c r="Z349">
        <f t="shared" si="91"/>
        <v>0</v>
      </c>
      <c r="AA349">
        <f t="shared" si="92"/>
        <v>0</v>
      </c>
      <c r="AB349">
        <f t="shared" si="93"/>
        <v>0</v>
      </c>
      <c r="AC349">
        <f t="shared" si="94"/>
        <v>0</v>
      </c>
      <c r="AD349">
        <f t="shared" si="95"/>
        <v>0</v>
      </c>
      <c r="AE349">
        <v>96.7</v>
      </c>
      <c r="AF349">
        <v>2.09</v>
      </c>
      <c r="AG349">
        <v>6.42</v>
      </c>
      <c r="AH349" t="s">
        <v>113</v>
      </c>
      <c r="AI349" t="s">
        <v>97</v>
      </c>
      <c r="AJ349" t="s">
        <v>97</v>
      </c>
      <c r="AK349" t="s">
        <v>97</v>
      </c>
      <c r="AL349" t="s">
        <v>97</v>
      </c>
      <c r="AM349">
        <v>2</v>
      </c>
      <c r="AN349" t="s">
        <v>114</v>
      </c>
      <c r="AO349" t="s">
        <v>213</v>
      </c>
      <c r="AP349" t="s">
        <v>122</v>
      </c>
      <c r="AQ349" t="s">
        <v>103</v>
      </c>
      <c r="AR349" t="s">
        <v>214</v>
      </c>
      <c r="AS349" t="s">
        <v>104</v>
      </c>
      <c r="AT349" t="s">
        <v>110</v>
      </c>
      <c r="AU349" t="s">
        <v>97</v>
      </c>
      <c r="AV349" t="s">
        <v>97</v>
      </c>
      <c r="AW349">
        <v>0.43</v>
      </c>
      <c r="AX349">
        <v>1.67</v>
      </c>
      <c r="AY349">
        <v>-0.14000000000000001</v>
      </c>
      <c r="AZ349">
        <v>3.52</v>
      </c>
      <c r="BA349" t="s">
        <v>97</v>
      </c>
      <c r="BB349" t="s">
        <v>97</v>
      </c>
      <c r="BC349">
        <v>665489</v>
      </c>
      <c r="BD349">
        <v>1</v>
      </c>
      <c r="BE349" t="s">
        <v>97</v>
      </c>
      <c r="BF349" t="s">
        <v>97</v>
      </c>
      <c r="BG349" t="s">
        <v>97</v>
      </c>
      <c r="BH349" t="s">
        <v>97</v>
      </c>
      <c r="BI349">
        <v>669257</v>
      </c>
      <c r="BJ349">
        <v>669257</v>
      </c>
      <c r="BK349" t="s">
        <v>97</v>
      </c>
      <c r="BL349" t="s">
        <v>97</v>
      </c>
      <c r="BM349">
        <v>-7.0155679060000002</v>
      </c>
      <c r="BN349">
        <v>-140.49832900000001</v>
      </c>
      <c r="BO349">
        <v>-5.9798431760000001</v>
      </c>
      <c r="BP349">
        <v>7.5172334469999997</v>
      </c>
      <c r="BQ349">
        <v>36.886933919999997</v>
      </c>
      <c r="BR349">
        <v>-8.9017179599999992</v>
      </c>
      <c r="BS349">
        <v>3.66</v>
      </c>
      <c r="BT349">
        <v>1.71</v>
      </c>
      <c r="BU349" t="s">
        <v>97</v>
      </c>
      <c r="BV349" t="s">
        <v>97</v>
      </c>
      <c r="BW349" t="s">
        <v>97</v>
      </c>
      <c r="BX349">
        <v>97.1</v>
      </c>
      <c r="BY349">
        <v>2430</v>
      </c>
      <c r="BZ349">
        <v>7</v>
      </c>
      <c r="CA349">
        <v>813027</v>
      </c>
      <c r="CB349">
        <v>669257</v>
      </c>
      <c r="CC349">
        <v>669257</v>
      </c>
      <c r="CD349">
        <v>518692</v>
      </c>
      <c r="CE349">
        <v>669242</v>
      </c>
      <c r="CF349">
        <v>571970</v>
      </c>
      <c r="CG349">
        <v>605141</v>
      </c>
      <c r="CH349">
        <v>571771</v>
      </c>
      <c r="CI349">
        <v>681624</v>
      </c>
      <c r="CJ349">
        <v>606192</v>
      </c>
      <c r="CK349">
        <v>53.51</v>
      </c>
      <c r="CL349" t="s">
        <v>97</v>
      </c>
      <c r="CM349" t="s">
        <v>97</v>
      </c>
      <c r="CN349" t="s">
        <v>97</v>
      </c>
      <c r="CO349" t="s">
        <v>97</v>
      </c>
      <c r="CP349" t="s">
        <v>97</v>
      </c>
      <c r="CQ349" t="s">
        <v>97</v>
      </c>
      <c r="CR349" t="s">
        <v>97</v>
      </c>
      <c r="CS349">
        <v>0</v>
      </c>
      <c r="CT349">
        <v>2</v>
      </c>
      <c r="CU349">
        <v>0</v>
      </c>
      <c r="CV349">
        <v>2</v>
      </c>
      <c r="CW349">
        <v>2</v>
      </c>
      <c r="CX349">
        <v>0</v>
      </c>
      <c r="CY349">
        <v>0</v>
      </c>
      <c r="CZ349">
        <v>2</v>
      </c>
      <c r="DA349" t="s">
        <v>107</v>
      </c>
      <c r="DB349" t="s">
        <v>107</v>
      </c>
      <c r="DC349">
        <v>160</v>
      </c>
      <c r="DD349">
        <v>0</v>
      </c>
      <c r="DE349">
        <v>-0.04</v>
      </c>
      <c r="DF349">
        <v>64</v>
      </c>
      <c r="DG349">
        <v>5.6</v>
      </c>
    </row>
    <row r="350" spans="1:111" x14ac:dyDescent="0.2">
      <c r="A350">
        <v>2025</v>
      </c>
      <c r="B350" s="1">
        <v>45954</v>
      </c>
      <c r="C350" t="s">
        <v>95</v>
      </c>
      <c r="D350">
        <v>605483</v>
      </c>
      <c r="E350">
        <v>666182</v>
      </c>
      <c r="F350">
        <v>0</v>
      </c>
      <c r="G350">
        <v>1</v>
      </c>
      <c r="H350">
        <v>3</v>
      </c>
      <c r="I350" t="s">
        <v>163</v>
      </c>
      <c r="J350">
        <v>28</v>
      </c>
      <c r="K350">
        <v>2</v>
      </c>
      <c r="L350" t="s">
        <v>228</v>
      </c>
      <c r="M350" t="s">
        <v>132</v>
      </c>
      <c r="N350" t="s">
        <v>133</v>
      </c>
      <c r="O350">
        <f t="shared" si="80"/>
        <v>0</v>
      </c>
      <c r="P350">
        <f t="shared" si="81"/>
        <v>0</v>
      </c>
      <c r="Q350">
        <f t="shared" si="82"/>
        <v>0</v>
      </c>
      <c r="R350">
        <f t="shared" si="83"/>
        <v>0</v>
      </c>
      <c r="S350">
        <f t="shared" si="84"/>
        <v>0</v>
      </c>
      <c r="T350">
        <f t="shared" si="85"/>
        <v>0</v>
      </c>
      <c r="U350">
        <f t="shared" si="86"/>
        <v>0</v>
      </c>
      <c r="V350">
        <f t="shared" si="87"/>
        <v>0</v>
      </c>
      <c r="W350">
        <f t="shared" si="88"/>
        <v>0</v>
      </c>
      <c r="X350">
        <f t="shared" si="89"/>
        <v>0</v>
      </c>
      <c r="Y350">
        <f t="shared" si="90"/>
        <v>1</v>
      </c>
      <c r="Z350">
        <f t="shared" si="91"/>
        <v>0</v>
      </c>
      <c r="AA350">
        <f t="shared" si="92"/>
        <v>0</v>
      </c>
      <c r="AB350">
        <f t="shared" si="93"/>
        <v>0</v>
      </c>
      <c r="AC350">
        <f t="shared" si="94"/>
        <v>0</v>
      </c>
      <c r="AD350">
        <f t="shared" si="95"/>
        <v>0</v>
      </c>
      <c r="AE350">
        <v>86.4</v>
      </c>
      <c r="AF350">
        <v>2.2799999999999998</v>
      </c>
      <c r="AG350">
        <v>6.21</v>
      </c>
      <c r="AH350" t="s">
        <v>120</v>
      </c>
      <c r="AI350" t="s">
        <v>97</v>
      </c>
      <c r="AJ350" t="s">
        <v>97</v>
      </c>
      <c r="AK350" t="s">
        <v>97</v>
      </c>
      <c r="AL350" t="s">
        <v>97</v>
      </c>
      <c r="AM350">
        <v>14</v>
      </c>
      <c r="AN350" t="s">
        <v>229</v>
      </c>
      <c r="AO350" t="s">
        <v>213</v>
      </c>
      <c r="AP350" t="s">
        <v>122</v>
      </c>
      <c r="AQ350" t="s">
        <v>103</v>
      </c>
      <c r="AR350" t="s">
        <v>214</v>
      </c>
      <c r="AS350" t="s">
        <v>104</v>
      </c>
      <c r="AT350" t="s">
        <v>123</v>
      </c>
      <c r="AU350">
        <v>3</v>
      </c>
      <c r="AV350" t="s">
        <v>127</v>
      </c>
      <c r="AW350">
        <v>1.05</v>
      </c>
      <c r="AX350">
        <v>0.64</v>
      </c>
      <c r="AY350">
        <v>0.95</v>
      </c>
      <c r="AZ350">
        <v>1.4</v>
      </c>
      <c r="BA350" t="s">
        <v>97</v>
      </c>
      <c r="BB350" t="s">
        <v>97</v>
      </c>
      <c r="BC350">
        <v>665489</v>
      </c>
      <c r="BD350">
        <v>1</v>
      </c>
      <c r="BE350">
        <v>147.44999999999999</v>
      </c>
      <c r="BF350">
        <v>176.93</v>
      </c>
      <c r="BG350" t="s">
        <v>97</v>
      </c>
      <c r="BH350" t="s">
        <v>97</v>
      </c>
      <c r="BI350">
        <v>669257</v>
      </c>
      <c r="BJ350">
        <v>669257</v>
      </c>
      <c r="BK350" t="s">
        <v>97</v>
      </c>
      <c r="BL350" t="s">
        <v>97</v>
      </c>
      <c r="BM350">
        <v>-5.4102944559999999</v>
      </c>
      <c r="BN350">
        <v>-125.5904006</v>
      </c>
      <c r="BO350">
        <v>-6.5618302350000004</v>
      </c>
      <c r="BP350">
        <v>12.281014259999999</v>
      </c>
      <c r="BQ350">
        <v>27.78772794</v>
      </c>
      <c r="BR350">
        <v>-24.208589289999999</v>
      </c>
      <c r="BS350">
        <v>3.66</v>
      </c>
      <c r="BT350">
        <v>1.71</v>
      </c>
      <c r="BU350">
        <v>18</v>
      </c>
      <c r="BV350">
        <v>67.900000000000006</v>
      </c>
      <c r="BW350">
        <v>-3</v>
      </c>
      <c r="BX350">
        <v>87.4</v>
      </c>
      <c r="BY350">
        <v>1947</v>
      </c>
      <c r="BZ350">
        <v>7.2</v>
      </c>
      <c r="CA350">
        <v>813027</v>
      </c>
      <c r="CB350">
        <v>669257</v>
      </c>
      <c r="CC350">
        <v>669257</v>
      </c>
      <c r="CD350">
        <v>518692</v>
      </c>
      <c r="CE350">
        <v>669242</v>
      </c>
      <c r="CF350">
        <v>571970</v>
      </c>
      <c r="CG350">
        <v>605141</v>
      </c>
      <c r="CH350">
        <v>571771</v>
      </c>
      <c r="CI350">
        <v>681624</v>
      </c>
      <c r="CJ350">
        <v>606192</v>
      </c>
      <c r="CK350">
        <v>53.32</v>
      </c>
      <c r="CL350">
        <v>0.1</v>
      </c>
      <c r="CM350">
        <v>8.7999999999999995E-2</v>
      </c>
      <c r="CN350">
        <v>0</v>
      </c>
      <c r="CO350">
        <v>1</v>
      </c>
      <c r="CP350">
        <v>0</v>
      </c>
      <c r="CQ350">
        <v>0</v>
      </c>
      <c r="CR350">
        <v>2</v>
      </c>
      <c r="CS350">
        <v>0</v>
      </c>
      <c r="CT350">
        <v>2</v>
      </c>
      <c r="CU350">
        <v>0</v>
      </c>
      <c r="CV350">
        <v>2</v>
      </c>
      <c r="CW350">
        <v>2</v>
      </c>
      <c r="CX350">
        <v>0</v>
      </c>
      <c r="CY350">
        <v>0</v>
      </c>
      <c r="CZ350">
        <v>2</v>
      </c>
      <c r="DA350" t="s">
        <v>107</v>
      </c>
      <c r="DB350" t="s">
        <v>107</v>
      </c>
      <c r="DC350">
        <v>133</v>
      </c>
      <c r="DD350">
        <v>-5.8999999999999997E-2</v>
      </c>
      <c r="DE350">
        <v>-0.27800000000000002</v>
      </c>
      <c r="DF350">
        <v>68.900000000000006</v>
      </c>
      <c r="DG350">
        <v>8.3000000000000007</v>
      </c>
    </row>
    <row r="351" spans="1:111" x14ac:dyDescent="0.2">
      <c r="A351">
        <v>2025</v>
      </c>
      <c r="B351" s="1">
        <v>45954</v>
      </c>
      <c r="C351" t="s">
        <v>95</v>
      </c>
      <c r="D351">
        <v>605483</v>
      </c>
      <c r="E351">
        <v>672386</v>
      </c>
      <c r="F351">
        <v>0</v>
      </c>
      <c r="G351">
        <v>0</v>
      </c>
      <c r="H351">
        <v>4</v>
      </c>
      <c r="I351" t="s">
        <v>163</v>
      </c>
      <c r="J351">
        <v>32</v>
      </c>
      <c r="K351">
        <v>1</v>
      </c>
      <c r="L351" t="s">
        <v>97</v>
      </c>
      <c r="M351" t="s">
        <v>111</v>
      </c>
      <c r="N351" t="s">
        <v>112</v>
      </c>
      <c r="O351">
        <f t="shared" si="80"/>
        <v>0</v>
      </c>
      <c r="P351">
        <f t="shared" si="81"/>
        <v>0</v>
      </c>
      <c r="Q351">
        <f t="shared" si="82"/>
        <v>0</v>
      </c>
      <c r="R351">
        <f t="shared" si="83"/>
        <v>0</v>
      </c>
      <c r="S351">
        <f t="shared" si="84"/>
        <v>0</v>
      </c>
      <c r="T351">
        <f t="shared" si="85"/>
        <v>0</v>
      </c>
      <c r="U351">
        <f t="shared" si="86"/>
        <v>1</v>
      </c>
      <c r="V351">
        <f t="shared" si="87"/>
        <v>0</v>
      </c>
      <c r="W351">
        <f t="shared" si="88"/>
        <v>0</v>
      </c>
      <c r="X351">
        <f t="shared" si="89"/>
        <v>0</v>
      </c>
      <c r="Y351">
        <f t="shared" si="90"/>
        <v>0</v>
      </c>
      <c r="Z351">
        <f t="shared" si="91"/>
        <v>0</v>
      </c>
      <c r="AA351">
        <f t="shared" si="92"/>
        <v>0</v>
      </c>
      <c r="AB351">
        <f t="shared" si="93"/>
        <v>0</v>
      </c>
      <c r="AC351">
        <f t="shared" si="94"/>
        <v>0</v>
      </c>
      <c r="AD351">
        <f t="shared" si="95"/>
        <v>0</v>
      </c>
      <c r="AE351">
        <v>79.5</v>
      </c>
      <c r="AF351">
        <v>2.06</v>
      </c>
      <c r="AG351">
        <v>6.49</v>
      </c>
      <c r="AH351" t="s">
        <v>108</v>
      </c>
      <c r="AI351" t="s">
        <v>97</v>
      </c>
      <c r="AJ351" t="s">
        <v>97</v>
      </c>
      <c r="AK351" t="s">
        <v>97</v>
      </c>
      <c r="AL351" t="s">
        <v>97</v>
      </c>
      <c r="AM351">
        <v>6</v>
      </c>
      <c r="AN351" t="s">
        <v>109</v>
      </c>
      <c r="AO351" t="s">
        <v>213</v>
      </c>
      <c r="AP351" t="s">
        <v>122</v>
      </c>
      <c r="AQ351" t="s">
        <v>103</v>
      </c>
      <c r="AR351" t="s">
        <v>214</v>
      </c>
      <c r="AS351" t="s">
        <v>104</v>
      </c>
      <c r="AT351" t="s">
        <v>110</v>
      </c>
      <c r="AU351" t="s">
        <v>97</v>
      </c>
      <c r="AV351" t="s">
        <v>97</v>
      </c>
      <c r="AW351">
        <v>-0.84</v>
      </c>
      <c r="AX351">
        <v>-0.66</v>
      </c>
      <c r="AY351">
        <v>0.63</v>
      </c>
      <c r="AZ351">
        <v>2.11</v>
      </c>
      <c r="BA351" t="s">
        <v>97</v>
      </c>
      <c r="BB351" t="s">
        <v>97</v>
      </c>
      <c r="BC351" t="s">
        <v>97</v>
      </c>
      <c r="BD351">
        <v>0</v>
      </c>
      <c r="BE351" t="s">
        <v>97</v>
      </c>
      <c r="BF351" t="s">
        <v>97</v>
      </c>
      <c r="BG351" t="s">
        <v>97</v>
      </c>
      <c r="BH351" t="s">
        <v>97</v>
      </c>
      <c r="BI351">
        <v>669257</v>
      </c>
      <c r="BJ351">
        <v>669257</v>
      </c>
      <c r="BK351" t="s">
        <v>97</v>
      </c>
      <c r="BL351" t="s">
        <v>97</v>
      </c>
      <c r="BM351">
        <v>-1.558317379</v>
      </c>
      <c r="BN351">
        <v>-115.6441714</v>
      </c>
      <c r="BO351">
        <v>-1.5002795019999999</v>
      </c>
      <c r="BP351">
        <v>-7.1416813640000001</v>
      </c>
      <c r="BQ351">
        <v>24.704847669999999</v>
      </c>
      <c r="BR351">
        <v>-37.9851435</v>
      </c>
      <c r="BS351">
        <v>3.07</v>
      </c>
      <c r="BT351">
        <v>1.45</v>
      </c>
      <c r="BU351" t="s">
        <v>97</v>
      </c>
      <c r="BV351" t="s">
        <v>97</v>
      </c>
      <c r="BW351" t="s">
        <v>97</v>
      </c>
      <c r="BX351">
        <v>79.599999999999994</v>
      </c>
      <c r="BY351">
        <v>2484</v>
      </c>
      <c r="BZ351">
        <v>6.7</v>
      </c>
      <c r="CA351">
        <v>813027</v>
      </c>
      <c r="CB351">
        <v>669257</v>
      </c>
      <c r="CC351">
        <v>669257</v>
      </c>
      <c r="CD351">
        <v>518692</v>
      </c>
      <c r="CE351">
        <v>669242</v>
      </c>
      <c r="CF351">
        <v>571970</v>
      </c>
      <c r="CG351">
        <v>605141</v>
      </c>
      <c r="CH351">
        <v>571771</v>
      </c>
      <c r="CI351">
        <v>681624</v>
      </c>
      <c r="CJ351">
        <v>606192</v>
      </c>
      <c r="CK351">
        <v>53.82</v>
      </c>
      <c r="CL351" t="s">
        <v>97</v>
      </c>
      <c r="CM351" t="s">
        <v>97</v>
      </c>
      <c r="CN351" t="s">
        <v>97</v>
      </c>
      <c r="CO351" t="s">
        <v>97</v>
      </c>
      <c r="CP351" t="s">
        <v>97</v>
      </c>
      <c r="CQ351" t="s">
        <v>97</v>
      </c>
      <c r="CR351" t="s">
        <v>97</v>
      </c>
      <c r="CS351">
        <v>0</v>
      </c>
      <c r="CT351">
        <v>2</v>
      </c>
      <c r="CU351">
        <v>0</v>
      </c>
      <c r="CV351">
        <v>2</v>
      </c>
      <c r="CW351">
        <v>2</v>
      </c>
      <c r="CX351">
        <v>0</v>
      </c>
      <c r="CY351">
        <v>0</v>
      </c>
      <c r="CZ351">
        <v>2</v>
      </c>
      <c r="DA351" t="s">
        <v>107</v>
      </c>
      <c r="DB351" t="s">
        <v>107</v>
      </c>
      <c r="DC351">
        <v>325</v>
      </c>
      <c r="DD351">
        <v>0</v>
      </c>
      <c r="DE351">
        <v>-3.9E-2</v>
      </c>
      <c r="DF351" t="s">
        <v>97</v>
      </c>
      <c r="DG351" t="s">
        <v>97</v>
      </c>
    </row>
    <row r="352" spans="1:111" x14ac:dyDescent="0.2">
      <c r="A352">
        <v>2025</v>
      </c>
      <c r="B352" s="1">
        <v>45954</v>
      </c>
      <c r="C352" t="s">
        <v>95</v>
      </c>
      <c r="D352">
        <v>605483</v>
      </c>
      <c r="E352">
        <v>672386</v>
      </c>
      <c r="F352">
        <v>0</v>
      </c>
      <c r="G352">
        <v>1</v>
      </c>
      <c r="H352">
        <v>4</v>
      </c>
      <c r="I352" t="s">
        <v>163</v>
      </c>
      <c r="J352">
        <v>32</v>
      </c>
      <c r="K352">
        <v>2</v>
      </c>
      <c r="L352" t="s">
        <v>97</v>
      </c>
      <c r="M352" t="s">
        <v>132</v>
      </c>
      <c r="N352" t="s">
        <v>133</v>
      </c>
      <c r="O352">
        <f t="shared" si="80"/>
        <v>0</v>
      </c>
      <c r="P352">
        <f t="shared" si="81"/>
        <v>0</v>
      </c>
      <c r="Q352">
        <f t="shared" si="82"/>
        <v>0</v>
      </c>
      <c r="R352">
        <f t="shared" si="83"/>
        <v>0</v>
      </c>
      <c r="S352">
        <f t="shared" si="84"/>
        <v>0</v>
      </c>
      <c r="T352">
        <f t="shared" si="85"/>
        <v>0</v>
      </c>
      <c r="U352">
        <f t="shared" si="86"/>
        <v>0</v>
      </c>
      <c r="V352">
        <f t="shared" si="87"/>
        <v>0</v>
      </c>
      <c r="W352">
        <f t="shared" si="88"/>
        <v>0</v>
      </c>
      <c r="X352">
        <f t="shared" si="89"/>
        <v>1</v>
      </c>
      <c r="Y352">
        <f t="shared" si="90"/>
        <v>0</v>
      </c>
      <c r="Z352">
        <f t="shared" si="91"/>
        <v>0</v>
      </c>
      <c r="AA352">
        <f t="shared" si="92"/>
        <v>0</v>
      </c>
      <c r="AB352">
        <f t="shared" si="93"/>
        <v>0</v>
      </c>
      <c r="AC352">
        <f t="shared" si="94"/>
        <v>0</v>
      </c>
      <c r="AD352">
        <f t="shared" si="95"/>
        <v>0</v>
      </c>
      <c r="AE352">
        <v>83.7</v>
      </c>
      <c r="AF352">
        <v>2.3199999999999998</v>
      </c>
      <c r="AG352">
        <v>6.23</v>
      </c>
      <c r="AH352" t="s">
        <v>129</v>
      </c>
      <c r="AI352" t="s">
        <v>97</v>
      </c>
      <c r="AJ352" t="s">
        <v>97</v>
      </c>
      <c r="AK352" t="s">
        <v>97</v>
      </c>
      <c r="AL352" t="s">
        <v>97</v>
      </c>
      <c r="AM352">
        <v>14</v>
      </c>
      <c r="AN352" t="s">
        <v>130</v>
      </c>
      <c r="AO352" t="s">
        <v>213</v>
      </c>
      <c r="AP352" t="s">
        <v>122</v>
      </c>
      <c r="AQ352" t="s">
        <v>103</v>
      </c>
      <c r="AR352" t="s">
        <v>214</v>
      </c>
      <c r="AS352" t="s">
        <v>104</v>
      </c>
      <c r="AT352" t="s">
        <v>110</v>
      </c>
      <c r="AU352" t="s">
        <v>97</v>
      </c>
      <c r="AV352" t="s">
        <v>97</v>
      </c>
      <c r="AW352">
        <v>1.44</v>
      </c>
      <c r="AX352">
        <v>0.59</v>
      </c>
      <c r="AY352">
        <v>0.4</v>
      </c>
      <c r="AZ352">
        <v>1.03</v>
      </c>
      <c r="BA352" t="s">
        <v>97</v>
      </c>
      <c r="BB352" t="s">
        <v>97</v>
      </c>
      <c r="BC352" t="s">
        <v>97</v>
      </c>
      <c r="BD352">
        <v>0</v>
      </c>
      <c r="BE352" t="s">
        <v>97</v>
      </c>
      <c r="BF352" t="s">
        <v>97</v>
      </c>
      <c r="BG352" t="s">
        <v>97</v>
      </c>
      <c r="BH352" t="s">
        <v>97</v>
      </c>
      <c r="BI352">
        <v>669257</v>
      </c>
      <c r="BJ352">
        <v>669257</v>
      </c>
      <c r="BK352" t="s">
        <v>97</v>
      </c>
      <c r="BL352" t="s">
        <v>97</v>
      </c>
      <c r="BM352">
        <v>-7.3567704359999997</v>
      </c>
      <c r="BN352">
        <v>-121.5526744</v>
      </c>
      <c r="BO352">
        <v>-6.7456945629999998</v>
      </c>
      <c r="BP352">
        <v>15.76712573</v>
      </c>
      <c r="BQ352">
        <v>24.98223694</v>
      </c>
      <c r="BR352">
        <v>-25.169777069999999</v>
      </c>
      <c r="BS352">
        <v>3.1</v>
      </c>
      <c r="BT352">
        <v>1.49</v>
      </c>
      <c r="BU352">
        <v>1</v>
      </c>
      <c r="BV352">
        <v>56.3</v>
      </c>
      <c r="BW352">
        <v>-43</v>
      </c>
      <c r="BX352">
        <v>84.3</v>
      </c>
      <c r="BY352">
        <v>1698</v>
      </c>
      <c r="BZ352">
        <v>6.9</v>
      </c>
      <c r="CA352">
        <v>813027</v>
      </c>
      <c r="CB352">
        <v>669257</v>
      </c>
      <c r="CC352">
        <v>669257</v>
      </c>
      <c r="CD352">
        <v>518692</v>
      </c>
      <c r="CE352">
        <v>669242</v>
      </c>
      <c r="CF352">
        <v>571970</v>
      </c>
      <c r="CG352">
        <v>605141</v>
      </c>
      <c r="CH352">
        <v>571771</v>
      </c>
      <c r="CI352">
        <v>681624</v>
      </c>
      <c r="CJ352">
        <v>606192</v>
      </c>
      <c r="CK352">
        <v>53.58</v>
      </c>
      <c r="CL352" t="s">
        <v>97</v>
      </c>
      <c r="CM352" t="s">
        <v>97</v>
      </c>
      <c r="CN352" t="s">
        <v>97</v>
      </c>
      <c r="CO352" t="s">
        <v>97</v>
      </c>
      <c r="CP352" t="s">
        <v>97</v>
      </c>
      <c r="CQ352" t="s">
        <v>97</v>
      </c>
      <c r="CR352" t="s">
        <v>97</v>
      </c>
      <c r="CS352">
        <v>0</v>
      </c>
      <c r="CT352">
        <v>2</v>
      </c>
      <c r="CU352">
        <v>0</v>
      </c>
      <c r="CV352">
        <v>2</v>
      </c>
      <c r="CW352">
        <v>2</v>
      </c>
      <c r="CX352">
        <v>0</v>
      </c>
      <c r="CY352">
        <v>0</v>
      </c>
      <c r="CZ352">
        <v>2</v>
      </c>
      <c r="DA352" t="s">
        <v>107</v>
      </c>
      <c r="DB352" t="s">
        <v>107</v>
      </c>
      <c r="DC352">
        <v>129</v>
      </c>
      <c r="DD352">
        <v>0</v>
      </c>
      <c r="DE352">
        <v>-5.5E-2</v>
      </c>
      <c r="DF352">
        <v>76.3</v>
      </c>
      <c r="DG352">
        <v>8</v>
      </c>
    </row>
    <row r="353" spans="1:111" x14ac:dyDescent="0.2">
      <c r="A353">
        <v>2025</v>
      </c>
      <c r="B353" s="1">
        <v>45954</v>
      </c>
      <c r="C353" t="s">
        <v>95</v>
      </c>
      <c r="D353">
        <v>605483</v>
      </c>
      <c r="E353">
        <v>672386</v>
      </c>
      <c r="F353">
        <v>0</v>
      </c>
      <c r="G353">
        <v>2</v>
      </c>
      <c r="H353">
        <v>4</v>
      </c>
      <c r="I353" t="s">
        <v>163</v>
      </c>
      <c r="J353">
        <v>32</v>
      </c>
      <c r="K353">
        <v>3</v>
      </c>
      <c r="L353" t="s">
        <v>97</v>
      </c>
      <c r="M353" t="s">
        <v>98</v>
      </c>
      <c r="N353" t="s">
        <v>99</v>
      </c>
      <c r="O353">
        <f t="shared" si="80"/>
        <v>0</v>
      </c>
      <c r="P353">
        <f t="shared" si="81"/>
        <v>0</v>
      </c>
      <c r="Q353">
        <f t="shared" si="82"/>
        <v>1</v>
      </c>
      <c r="R353">
        <f t="shared" si="83"/>
        <v>0</v>
      </c>
      <c r="S353">
        <f t="shared" si="84"/>
        <v>0</v>
      </c>
      <c r="T353">
        <f t="shared" si="85"/>
        <v>0</v>
      </c>
      <c r="U353">
        <f t="shared" si="86"/>
        <v>0</v>
      </c>
      <c r="V353">
        <f t="shared" si="87"/>
        <v>0</v>
      </c>
      <c r="W353">
        <f t="shared" si="88"/>
        <v>0</v>
      </c>
      <c r="X353">
        <f t="shared" si="89"/>
        <v>0</v>
      </c>
      <c r="Y353">
        <f t="shared" si="90"/>
        <v>0</v>
      </c>
      <c r="Z353">
        <f t="shared" si="91"/>
        <v>0</v>
      </c>
      <c r="AA353">
        <f t="shared" si="92"/>
        <v>0</v>
      </c>
      <c r="AB353">
        <f t="shared" si="93"/>
        <v>0</v>
      </c>
      <c r="AC353">
        <f t="shared" si="94"/>
        <v>0</v>
      </c>
      <c r="AD353">
        <f t="shared" si="95"/>
        <v>0</v>
      </c>
      <c r="AE353">
        <v>94.7</v>
      </c>
      <c r="AF353">
        <v>2.0299999999999998</v>
      </c>
      <c r="AG353">
        <v>6.43</v>
      </c>
      <c r="AH353" t="s">
        <v>129</v>
      </c>
      <c r="AI353" t="s">
        <v>97</v>
      </c>
      <c r="AJ353" t="s">
        <v>97</v>
      </c>
      <c r="AK353" t="s">
        <v>97</v>
      </c>
      <c r="AL353" t="s">
        <v>97</v>
      </c>
      <c r="AM353">
        <v>3</v>
      </c>
      <c r="AN353" t="s">
        <v>130</v>
      </c>
      <c r="AO353" t="s">
        <v>213</v>
      </c>
      <c r="AP353" t="s">
        <v>122</v>
      </c>
      <c r="AQ353" t="s">
        <v>103</v>
      </c>
      <c r="AR353" t="s">
        <v>214</v>
      </c>
      <c r="AS353" t="s">
        <v>104</v>
      </c>
      <c r="AT353" t="s">
        <v>110</v>
      </c>
      <c r="AU353" t="s">
        <v>97</v>
      </c>
      <c r="AV353" t="s">
        <v>97</v>
      </c>
      <c r="AW353">
        <v>0.41</v>
      </c>
      <c r="AX353">
        <v>1.62</v>
      </c>
      <c r="AY353">
        <v>0.43</v>
      </c>
      <c r="AZ353">
        <v>3.08</v>
      </c>
      <c r="BA353" t="s">
        <v>97</v>
      </c>
      <c r="BB353" t="s">
        <v>97</v>
      </c>
      <c r="BC353" t="s">
        <v>97</v>
      </c>
      <c r="BD353">
        <v>0</v>
      </c>
      <c r="BE353" t="s">
        <v>97</v>
      </c>
      <c r="BF353" t="s">
        <v>97</v>
      </c>
      <c r="BG353" t="s">
        <v>97</v>
      </c>
      <c r="BH353" t="s">
        <v>97</v>
      </c>
      <c r="BI353">
        <v>669257</v>
      </c>
      <c r="BJ353">
        <v>669257</v>
      </c>
      <c r="BK353" t="s">
        <v>97</v>
      </c>
      <c r="BL353" t="s">
        <v>97</v>
      </c>
      <c r="BM353">
        <v>-5.1694750569999997</v>
      </c>
      <c r="BN353">
        <v>-137.67912759999999</v>
      </c>
      <c r="BO353">
        <v>-6.7312879270000003</v>
      </c>
      <c r="BP353">
        <v>6.4605898719999999</v>
      </c>
      <c r="BQ353">
        <v>32.359541800000002</v>
      </c>
      <c r="BR353">
        <v>-10.240403860000001</v>
      </c>
      <c r="BS353">
        <v>3.1</v>
      </c>
      <c r="BT353">
        <v>1.49</v>
      </c>
      <c r="BU353">
        <v>230</v>
      </c>
      <c r="BV353">
        <v>78.599999999999994</v>
      </c>
      <c r="BW353">
        <v>49</v>
      </c>
      <c r="BX353">
        <v>95.6</v>
      </c>
      <c r="BY353">
        <v>2326</v>
      </c>
      <c r="BZ353">
        <v>7</v>
      </c>
      <c r="CA353">
        <v>813027</v>
      </c>
      <c r="CB353">
        <v>669257</v>
      </c>
      <c r="CC353">
        <v>669257</v>
      </c>
      <c r="CD353">
        <v>518692</v>
      </c>
      <c r="CE353">
        <v>669242</v>
      </c>
      <c r="CF353">
        <v>571970</v>
      </c>
      <c r="CG353">
        <v>605141</v>
      </c>
      <c r="CH353">
        <v>571771</v>
      </c>
      <c r="CI353">
        <v>681624</v>
      </c>
      <c r="CJ353">
        <v>606192</v>
      </c>
      <c r="CK353">
        <v>53.53</v>
      </c>
      <c r="CL353" t="s">
        <v>97</v>
      </c>
      <c r="CM353" t="s">
        <v>97</v>
      </c>
      <c r="CN353" t="s">
        <v>97</v>
      </c>
      <c r="CO353" t="s">
        <v>97</v>
      </c>
      <c r="CP353" t="s">
        <v>97</v>
      </c>
      <c r="CQ353" t="s">
        <v>97</v>
      </c>
      <c r="CR353" t="s">
        <v>97</v>
      </c>
      <c r="CS353">
        <v>0</v>
      </c>
      <c r="CT353">
        <v>2</v>
      </c>
      <c r="CU353">
        <v>0</v>
      </c>
      <c r="CV353">
        <v>2</v>
      </c>
      <c r="CW353">
        <v>2</v>
      </c>
      <c r="CX353">
        <v>0</v>
      </c>
      <c r="CY353">
        <v>0</v>
      </c>
      <c r="CZ353">
        <v>2</v>
      </c>
      <c r="DA353" t="s">
        <v>107</v>
      </c>
      <c r="DB353" t="s">
        <v>107</v>
      </c>
      <c r="DC353">
        <v>156</v>
      </c>
      <c r="DD353">
        <v>0</v>
      </c>
      <c r="DE353">
        <v>0</v>
      </c>
      <c r="DF353">
        <v>66.900000000000006</v>
      </c>
      <c r="DG353">
        <v>6.3</v>
      </c>
    </row>
    <row r="354" spans="1:111" x14ac:dyDescent="0.2">
      <c r="A354">
        <v>2025</v>
      </c>
      <c r="B354" s="1">
        <v>45954</v>
      </c>
      <c r="C354" t="s">
        <v>95</v>
      </c>
      <c r="D354">
        <v>605483</v>
      </c>
      <c r="E354">
        <v>672386</v>
      </c>
      <c r="F354">
        <v>0</v>
      </c>
      <c r="G354">
        <v>2</v>
      </c>
      <c r="H354">
        <v>4</v>
      </c>
      <c r="I354" t="s">
        <v>163</v>
      </c>
      <c r="J354">
        <v>32</v>
      </c>
      <c r="K354">
        <v>4</v>
      </c>
      <c r="L354" t="s">
        <v>97</v>
      </c>
      <c r="M354" t="s">
        <v>132</v>
      </c>
      <c r="N354" t="s">
        <v>133</v>
      </c>
      <c r="O354">
        <f t="shared" si="80"/>
        <v>0</v>
      </c>
      <c r="P354">
        <f t="shared" si="81"/>
        <v>0</v>
      </c>
      <c r="Q354">
        <f t="shared" si="82"/>
        <v>0</v>
      </c>
      <c r="R354">
        <f t="shared" si="83"/>
        <v>0</v>
      </c>
      <c r="S354">
        <f t="shared" si="84"/>
        <v>0</v>
      </c>
      <c r="T354">
        <f t="shared" si="85"/>
        <v>0</v>
      </c>
      <c r="U354">
        <f t="shared" si="86"/>
        <v>0</v>
      </c>
      <c r="V354">
        <f t="shared" si="87"/>
        <v>0</v>
      </c>
      <c r="W354">
        <f t="shared" si="88"/>
        <v>0</v>
      </c>
      <c r="X354">
        <f t="shared" si="89"/>
        <v>1</v>
      </c>
      <c r="Y354">
        <f t="shared" si="90"/>
        <v>0</v>
      </c>
      <c r="Z354">
        <f t="shared" si="91"/>
        <v>0</v>
      </c>
      <c r="AA354">
        <f t="shared" si="92"/>
        <v>0</v>
      </c>
      <c r="AB354">
        <f t="shared" si="93"/>
        <v>0</v>
      </c>
      <c r="AC354">
        <f t="shared" si="94"/>
        <v>0</v>
      </c>
      <c r="AD354">
        <f t="shared" si="95"/>
        <v>0</v>
      </c>
      <c r="AE354">
        <v>79.3</v>
      </c>
      <c r="AF354">
        <v>2.31</v>
      </c>
      <c r="AG354">
        <v>6.24</v>
      </c>
      <c r="AH354" t="s">
        <v>100</v>
      </c>
      <c r="AI354" t="s">
        <v>97</v>
      </c>
      <c r="AJ354" t="s">
        <v>97</v>
      </c>
      <c r="AK354" t="s">
        <v>97</v>
      </c>
      <c r="AL354" t="s">
        <v>97</v>
      </c>
      <c r="AM354">
        <v>14</v>
      </c>
      <c r="AN354" t="s">
        <v>101</v>
      </c>
      <c r="AO354" t="s">
        <v>213</v>
      </c>
      <c r="AP354" t="s">
        <v>122</v>
      </c>
      <c r="AQ354" t="s">
        <v>103</v>
      </c>
      <c r="AR354" t="s">
        <v>214</v>
      </c>
      <c r="AS354" t="s">
        <v>104</v>
      </c>
      <c r="AT354" t="s">
        <v>106</v>
      </c>
      <c r="AU354" t="s">
        <v>97</v>
      </c>
      <c r="AV354" t="s">
        <v>97</v>
      </c>
      <c r="AW354">
        <v>1.47</v>
      </c>
      <c r="AX354">
        <v>0.61</v>
      </c>
      <c r="AY354">
        <v>1.19</v>
      </c>
      <c r="AZ354">
        <v>1.04</v>
      </c>
      <c r="BA354" t="s">
        <v>97</v>
      </c>
      <c r="BB354" t="s">
        <v>97</v>
      </c>
      <c r="BC354" t="s">
        <v>97</v>
      </c>
      <c r="BD354">
        <v>0</v>
      </c>
      <c r="BE354" t="s">
        <v>97</v>
      </c>
      <c r="BF354" t="s">
        <v>97</v>
      </c>
      <c r="BG354" t="s">
        <v>97</v>
      </c>
      <c r="BH354" t="s">
        <v>97</v>
      </c>
      <c r="BI354">
        <v>669257</v>
      </c>
      <c r="BJ354">
        <v>669257</v>
      </c>
      <c r="BK354" t="s">
        <v>97</v>
      </c>
      <c r="BL354" t="s">
        <v>97</v>
      </c>
      <c r="BM354">
        <v>-5.2364873660000004</v>
      </c>
      <c r="BN354">
        <v>-115.24037680000001</v>
      </c>
      <c r="BO354">
        <v>-5.7021207330000001</v>
      </c>
      <c r="BP354">
        <v>14.029691700000001</v>
      </c>
      <c r="BQ354">
        <v>23.103840649999999</v>
      </c>
      <c r="BR354">
        <v>-25.87694544</v>
      </c>
      <c r="BS354">
        <v>3.05</v>
      </c>
      <c r="BT354">
        <v>1.46</v>
      </c>
      <c r="BU354" t="s">
        <v>97</v>
      </c>
      <c r="BV354" t="s">
        <v>97</v>
      </c>
      <c r="BW354" t="s">
        <v>97</v>
      </c>
      <c r="BX354">
        <v>79.7</v>
      </c>
      <c r="BY354">
        <v>1696</v>
      </c>
      <c r="BZ354">
        <v>6.9</v>
      </c>
      <c r="CA354">
        <v>813027</v>
      </c>
      <c r="CB354">
        <v>669257</v>
      </c>
      <c r="CC354">
        <v>669257</v>
      </c>
      <c r="CD354">
        <v>518692</v>
      </c>
      <c r="CE354">
        <v>669242</v>
      </c>
      <c r="CF354">
        <v>571970</v>
      </c>
      <c r="CG354">
        <v>605141</v>
      </c>
      <c r="CH354">
        <v>571771</v>
      </c>
      <c r="CI354">
        <v>681624</v>
      </c>
      <c r="CJ354">
        <v>606192</v>
      </c>
      <c r="CK354">
        <v>53.65</v>
      </c>
      <c r="CL354" t="s">
        <v>97</v>
      </c>
      <c r="CM354" t="s">
        <v>97</v>
      </c>
      <c r="CN354" t="s">
        <v>97</v>
      </c>
      <c r="CO354" t="s">
        <v>97</v>
      </c>
      <c r="CP354" t="s">
        <v>97</v>
      </c>
      <c r="CQ354" t="s">
        <v>97</v>
      </c>
      <c r="CR354" t="s">
        <v>97</v>
      </c>
      <c r="CS354">
        <v>0</v>
      </c>
      <c r="CT354">
        <v>2</v>
      </c>
      <c r="CU354">
        <v>0</v>
      </c>
      <c r="CV354">
        <v>2</v>
      </c>
      <c r="CW354">
        <v>2</v>
      </c>
      <c r="CX354">
        <v>0</v>
      </c>
      <c r="CY354">
        <v>0</v>
      </c>
      <c r="CZ354">
        <v>2</v>
      </c>
      <c r="DA354" t="s">
        <v>107</v>
      </c>
      <c r="DB354" t="s">
        <v>107</v>
      </c>
      <c r="DC354">
        <v>122</v>
      </c>
      <c r="DD354">
        <v>0</v>
      </c>
      <c r="DE354">
        <v>2.4E-2</v>
      </c>
      <c r="DF354" t="s">
        <v>97</v>
      </c>
      <c r="DG354" t="s">
        <v>97</v>
      </c>
    </row>
    <row r="355" spans="1:111" x14ac:dyDescent="0.2">
      <c r="A355">
        <v>2025</v>
      </c>
      <c r="B355" s="1">
        <v>45954</v>
      </c>
      <c r="C355" t="s">
        <v>95</v>
      </c>
      <c r="D355">
        <v>605483</v>
      </c>
      <c r="E355">
        <v>672386</v>
      </c>
      <c r="F355">
        <v>1</v>
      </c>
      <c r="G355">
        <v>2</v>
      </c>
      <c r="H355">
        <v>4</v>
      </c>
      <c r="I355" t="s">
        <v>163</v>
      </c>
      <c r="J355">
        <v>32</v>
      </c>
      <c r="K355">
        <v>5</v>
      </c>
      <c r="L355" t="s">
        <v>97</v>
      </c>
      <c r="M355" t="s">
        <v>98</v>
      </c>
      <c r="N355" t="s">
        <v>99</v>
      </c>
      <c r="O355">
        <f t="shared" si="80"/>
        <v>1</v>
      </c>
      <c r="P355">
        <f t="shared" si="81"/>
        <v>0</v>
      </c>
      <c r="Q355">
        <f t="shared" si="82"/>
        <v>0</v>
      </c>
      <c r="R355">
        <f t="shared" si="83"/>
        <v>0</v>
      </c>
      <c r="S355">
        <f t="shared" si="84"/>
        <v>0</v>
      </c>
      <c r="T355">
        <f t="shared" si="85"/>
        <v>0</v>
      </c>
      <c r="U355">
        <f t="shared" si="86"/>
        <v>0</v>
      </c>
      <c r="V355">
        <f t="shared" si="87"/>
        <v>0</v>
      </c>
      <c r="W355">
        <f t="shared" si="88"/>
        <v>0</v>
      </c>
      <c r="X355">
        <f t="shared" si="89"/>
        <v>0</v>
      </c>
      <c r="Y355">
        <f t="shared" si="90"/>
        <v>0</v>
      </c>
      <c r="Z355">
        <f t="shared" si="91"/>
        <v>0</v>
      </c>
      <c r="AA355">
        <f t="shared" si="92"/>
        <v>0</v>
      </c>
      <c r="AB355">
        <f t="shared" si="93"/>
        <v>0</v>
      </c>
      <c r="AC355">
        <f t="shared" si="94"/>
        <v>0</v>
      </c>
      <c r="AD355">
        <f t="shared" si="95"/>
        <v>0</v>
      </c>
      <c r="AE355">
        <v>95.7</v>
      </c>
      <c r="AF355">
        <v>2.0299999999999998</v>
      </c>
      <c r="AG355">
        <v>6.47</v>
      </c>
      <c r="AH355" t="s">
        <v>129</v>
      </c>
      <c r="AI355" t="s">
        <v>97</v>
      </c>
      <c r="AJ355" t="s">
        <v>97</v>
      </c>
      <c r="AK355" t="s">
        <v>97</v>
      </c>
      <c r="AL355" t="s">
        <v>97</v>
      </c>
      <c r="AM355">
        <v>12</v>
      </c>
      <c r="AN355" t="s">
        <v>130</v>
      </c>
      <c r="AO355" t="s">
        <v>213</v>
      </c>
      <c r="AP355" t="s">
        <v>122</v>
      </c>
      <c r="AQ355" t="s">
        <v>103</v>
      </c>
      <c r="AR355" t="s">
        <v>214</v>
      </c>
      <c r="AS355" t="s">
        <v>104</v>
      </c>
      <c r="AT355" t="s">
        <v>110</v>
      </c>
      <c r="AU355" t="s">
        <v>97</v>
      </c>
      <c r="AV355" t="s">
        <v>97</v>
      </c>
      <c r="AW355">
        <v>0.47</v>
      </c>
      <c r="AX355">
        <v>1.64</v>
      </c>
      <c r="AY355">
        <v>0.27</v>
      </c>
      <c r="AZ355">
        <v>3.36</v>
      </c>
      <c r="BA355" t="s">
        <v>97</v>
      </c>
      <c r="BB355" t="s">
        <v>97</v>
      </c>
      <c r="BC355" t="s">
        <v>97</v>
      </c>
      <c r="BD355">
        <v>0</v>
      </c>
      <c r="BE355" t="s">
        <v>97</v>
      </c>
      <c r="BF355" t="s">
        <v>97</v>
      </c>
      <c r="BG355" t="s">
        <v>97</v>
      </c>
      <c r="BH355" t="s">
        <v>97</v>
      </c>
      <c r="BI355">
        <v>669257</v>
      </c>
      <c r="BJ355">
        <v>669257</v>
      </c>
      <c r="BK355" t="s">
        <v>97</v>
      </c>
      <c r="BL355" t="s">
        <v>97</v>
      </c>
      <c r="BM355">
        <v>-5.7515853960000003</v>
      </c>
      <c r="BN355">
        <v>-139.0468113</v>
      </c>
      <c r="BO355">
        <v>-6.248077791</v>
      </c>
      <c r="BP355">
        <v>7.5177642640000002</v>
      </c>
      <c r="BQ355">
        <v>36.066309230000002</v>
      </c>
      <c r="BR355">
        <v>-9.6907136569999999</v>
      </c>
      <c r="BS355">
        <v>3.1</v>
      </c>
      <c r="BT355">
        <v>1.49</v>
      </c>
      <c r="BU355">
        <v>323</v>
      </c>
      <c r="BV355">
        <v>97.3</v>
      </c>
      <c r="BW355">
        <v>23</v>
      </c>
      <c r="BX355">
        <v>96</v>
      </c>
      <c r="BY355">
        <v>2415</v>
      </c>
      <c r="BZ355">
        <v>6.9</v>
      </c>
      <c r="CA355">
        <v>813027</v>
      </c>
      <c r="CB355">
        <v>669257</v>
      </c>
      <c r="CC355">
        <v>669257</v>
      </c>
      <c r="CD355">
        <v>518692</v>
      </c>
      <c r="CE355">
        <v>669242</v>
      </c>
      <c r="CF355">
        <v>571970</v>
      </c>
      <c r="CG355">
        <v>605141</v>
      </c>
      <c r="CH355">
        <v>571771</v>
      </c>
      <c r="CI355">
        <v>681624</v>
      </c>
      <c r="CJ355">
        <v>606192</v>
      </c>
      <c r="CK355">
        <v>53.61</v>
      </c>
      <c r="CL355" t="s">
        <v>97</v>
      </c>
      <c r="CM355" t="s">
        <v>97</v>
      </c>
      <c r="CN355" t="s">
        <v>97</v>
      </c>
      <c r="CO355" t="s">
        <v>97</v>
      </c>
      <c r="CP355" t="s">
        <v>97</v>
      </c>
      <c r="CQ355" t="s">
        <v>97</v>
      </c>
      <c r="CR355" t="s">
        <v>97</v>
      </c>
      <c r="CS355">
        <v>0</v>
      </c>
      <c r="CT355">
        <v>2</v>
      </c>
      <c r="CU355">
        <v>0</v>
      </c>
      <c r="CV355">
        <v>2</v>
      </c>
      <c r="CW355">
        <v>2</v>
      </c>
      <c r="CX355">
        <v>0</v>
      </c>
      <c r="CY355">
        <v>0</v>
      </c>
      <c r="CZ355">
        <v>2</v>
      </c>
      <c r="DA355" t="s">
        <v>107</v>
      </c>
      <c r="DB355" t="s">
        <v>107</v>
      </c>
      <c r="DC355">
        <v>158</v>
      </c>
      <c r="DD355">
        <v>0</v>
      </c>
      <c r="DE355">
        <v>0</v>
      </c>
      <c r="DF355">
        <v>59.5</v>
      </c>
      <c r="DG355">
        <v>5.9</v>
      </c>
    </row>
    <row r="356" spans="1:111" x14ac:dyDescent="0.2">
      <c r="A356">
        <v>2025</v>
      </c>
      <c r="B356" s="1">
        <v>45954</v>
      </c>
      <c r="C356" t="s">
        <v>95</v>
      </c>
      <c r="D356">
        <v>605483</v>
      </c>
      <c r="E356">
        <v>672386</v>
      </c>
      <c r="F356">
        <v>1</v>
      </c>
      <c r="G356">
        <v>2</v>
      </c>
      <c r="H356">
        <v>4</v>
      </c>
      <c r="I356" t="s">
        <v>163</v>
      </c>
      <c r="J356">
        <v>32</v>
      </c>
      <c r="K356">
        <v>6</v>
      </c>
      <c r="L356" t="s">
        <v>97</v>
      </c>
      <c r="M356" t="s">
        <v>98</v>
      </c>
      <c r="N356" t="s">
        <v>99</v>
      </c>
      <c r="O356">
        <f t="shared" si="80"/>
        <v>0</v>
      </c>
      <c r="P356">
        <f t="shared" si="81"/>
        <v>1</v>
      </c>
      <c r="Q356">
        <f t="shared" si="82"/>
        <v>0</v>
      </c>
      <c r="R356">
        <f t="shared" si="83"/>
        <v>0</v>
      </c>
      <c r="S356">
        <f t="shared" si="84"/>
        <v>0</v>
      </c>
      <c r="T356">
        <f t="shared" si="85"/>
        <v>0</v>
      </c>
      <c r="U356">
        <f t="shared" si="86"/>
        <v>0</v>
      </c>
      <c r="V356">
        <f t="shared" si="87"/>
        <v>0</v>
      </c>
      <c r="W356">
        <f t="shared" si="88"/>
        <v>0</v>
      </c>
      <c r="X356">
        <f t="shared" si="89"/>
        <v>0</v>
      </c>
      <c r="Y356">
        <f t="shared" si="90"/>
        <v>0</v>
      </c>
      <c r="Z356">
        <f t="shared" si="91"/>
        <v>0</v>
      </c>
      <c r="AA356">
        <f t="shared" si="92"/>
        <v>0</v>
      </c>
      <c r="AB356">
        <f t="shared" si="93"/>
        <v>0</v>
      </c>
      <c r="AC356">
        <f t="shared" si="94"/>
        <v>0</v>
      </c>
      <c r="AD356">
        <f t="shared" si="95"/>
        <v>0</v>
      </c>
      <c r="AE356">
        <v>95.8</v>
      </c>
      <c r="AF356">
        <v>2.0699999999999998</v>
      </c>
      <c r="AG356">
        <v>6.38</v>
      </c>
      <c r="AH356" t="s">
        <v>129</v>
      </c>
      <c r="AI356" t="s">
        <v>97</v>
      </c>
      <c r="AJ356" t="s">
        <v>97</v>
      </c>
      <c r="AK356" t="s">
        <v>97</v>
      </c>
      <c r="AL356" t="s">
        <v>97</v>
      </c>
      <c r="AM356">
        <v>1</v>
      </c>
      <c r="AN356" t="s">
        <v>130</v>
      </c>
      <c r="AO356" t="s">
        <v>213</v>
      </c>
      <c r="AP356" t="s">
        <v>122</v>
      </c>
      <c r="AQ356" t="s">
        <v>103</v>
      </c>
      <c r="AR356" t="s">
        <v>214</v>
      </c>
      <c r="AS356" t="s">
        <v>104</v>
      </c>
      <c r="AT356" t="s">
        <v>110</v>
      </c>
      <c r="AU356" t="s">
        <v>97</v>
      </c>
      <c r="AV356" t="s">
        <v>97</v>
      </c>
      <c r="AW356">
        <v>0.47</v>
      </c>
      <c r="AX356">
        <v>1.58</v>
      </c>
      <c r="AY356">
        <v>-0.56000000000000005</v>
      </c>
      <c r="AZ356">
        <v>2.6</v>
      </c>
      <c r="BA356" t="s">
        <v>97</v>
      </c>
      <c r="BB356" t="s">
        <v>97</v>
      </c>
      <c r="BC356" t="s">
        <v>97</v>
      </c>
      <c r="BD356">
        <v>0</v>
      </c>
      <c r="BE356" t="s">
        <v>97</v>
      </c>
      <c r="BF356" t="s">
        <v>97</v>
      </c>
      <c r="BG356" t="s">
        <v>97</v>
      </c>
      <c r="BH356" t="s">
        <v>97</v>
      </c>
      <c r="BI356">
        <v>669257</v>
      </c>
      <c r="BJ356">
        <v>669257</v>
      </c>
      <c r="BK356" t="s">
        <v>97</v>
      </c>
      <c r="BL356" t="s">
        <v>97</v>
      </c>
      <c r="BM356">
        <v>-8.1034523400000005</v>
      </c>
      <c r="BN356">
        <v>-139.02795040000001</v>
      </c>
      <c r="BO356">
        <v>-7.9488694960000004</v>
      </c>
      <c r="BP356">
        <v>8.0357144740000006</v>
      </c>
      <c r="BQ356">
        <v>33.633656299999998</v>
      </c>
      <c r="BR356">
        <v>-10.035859329999999</v>
      </c>
      <c r="BS356">
        <v>3.1</v>
      </c>
      <c r="BT356">
        <v>1.49</v>
      </c>
      <c r="BU356">
        <v>170</v>
      </c>
      <c r="BV356">
        <v>62.7</v>
      </c>
      <c r="BW356">
        <v>49</v>
      </c>
      <c r="BX356">
        <v>96.3</v>
      </c>
      <c r="BY356">
        <v>2425</v>
      </c>
      <c r="BZ356">
        <v>6.9</v>
      </c>
      <c r="CA356">
        <v>813027</v>
      </c>
      <c r="CB356">
        <v>669257</v>
      </c>
      <c r="CC356">
        <v>669257</v>
      </c>
      <c r="CD356">
        <v>518692</v>
      </c>
      <c r="CE356">
        <v>669242</v>
      </c>
      <c r="CF356">
        <v>571970</v>
      </c>
      <c r="CG356">
        <v>605141</v>
      </c>
      <c r="CH356">
        <v>571771</v>
      </c>
      <c r="CI356">
        <v>681624</v>
      </c>
      <c r="CJ356">
        <v>606192</v>
      </c>
      <c r="CK356">
        <v>53.57</v>
      </c>
      <c r="CL356" t="s">
        <v>97</v>
      </c>
      <c r="CM356" t="s">
        <v>97</v>
      </c>
      <c r="CN356" t="s">
        <v>97</v>
      </c>
      <c r="CO356" t="s">
        <v>97</v>
      </c>
      <c r="CP356" t="s">
        <v>97</v>
      </c>
      <c r="CQ356" t="s">
        <v>97</v>
      </c>
      <c r="CR356" t="s">
        <v>97</v>
      </c>
      <c r="CS356">
        <v>0</v>
      </c>
      <c r="CT356">
        <v>2</v>
      </c>
      <c r="CU356">
        <v>0</v>
      </c>
      <c r="CV356">
        <v>2</v>
      </c>
      <c r="CW356">
        <v>2</v>
      </c>
      <c r="CX356">
        <v>0</v>
      </c>
      <c r="CY356">
        <v>0</v>
      </c>
      <c r="CZ356">
        <v>2</v>
      </c>
      <c r="DA356" t="s">
        <v>107</v>
      </c>
      <c r="DB356" t="s">
        <v>107</v>
      </c>
      <c r="DC356">
        <v>154</v>
      </c>
      <c r="DD356">
        <v>0</v>
      </c>
      <c r="DE356">
        <v>0</v>
      </c>
      <c r="DF356">
        <v>66.7</v>
      </c>
      <c r="DG356">
        <v>6.1</v>
      </c>
    </row>
    <row r="357" spans="1:111" x14ac:dyDescent="0.2">
      <c r="A357">
        <v>2025</v>
      </c>
      <c r="B357" s="1">
        <v>45954</v>
      </c>
      <c r="C357" t="s">
        <v>95</v>
      </c>
      <c r="D357">
        <v>605483</v>
      </c>
      <c r="E357">
        <v>672386</v>
      </c>
      <c r="F357">
        <v>1</v>
      </c>
      <c r="G357">
        <v>2</v>
      </c>
      <c r="H357">
        <v>4</v>
      </c>
      <c r="I357" t="s">
        <v>163</v>
      </c>
      <c r="J357">
        <v>32</v>
      </c>
      <c r="K357">
        <v>7</v>
      </c>
      <c r="L357" t="s">
        <v>97</v>
      </c>
      <c r="M357" t="s">
        <v>111</v>
      </c>
      <c r="N357" t="s">
        <v>112</v>
      </c>
      <c r="O357">
        <f t="shared" si="80"/>
        <v>0</v>
      </c>
      <c r="P357">
        <f t="shared" si="81"/>
        <v>0</v>
      </c>
      <c r="Q357">
        <f t="shared" si="82"/>
        <v>0</v>
      </c>
      <c r="R357">
        <f t="shared" si="83"/>
        <v>0</v>
      </c>
      <c r="S357">
        <f t="shared" si="84"/>
        <v>0</v>
      </c>
      <c r="T357">
        <f t="shared" si="85"/>
        <v>0</v>
      </c>
      <c r="U357">
        <f t="shared" si="86"/>
        <v>1</v>
      </c>
      <c r="V357">
        <f t="shared" si="87"/>
        <v>0</v>
      </c>
      <c r="W357">
        <f t="shared" si="88"/>
        <v>0</v>
      </c>
      <c r="X357">
        <f t="shared" si="89"/>
        <v>0</v>
      </c>
      <c r="Y357">
        <f t="shared" si="90"/>
        <v>0</v>
      </c>
      <c r="Z357">
        <f t="shared" si="91"/>
        <v>0</v>
      </c>
      <c r="AA357">
        <f t="shared" si="92"/>
        <v>0</v>
      </c>
      <c r="AB357">
        <f t="shared" si="93"/>
        <v>0</v>
      </c>
      <c r="AC357">
        <f t="shared" si="94"/>
        <v>0</v>
      </c>
      <c r="AD357">
        <f t="shared" si="95"/>
        <v>0</v>
      </c>
      <c r="AE357">
        <v>83</v>
      </c>
      <c r="AF357">
        <v>2.02</v>
      </c>
      <c r="AG357">
        <v>6.39</v>
      </c>
      <c r="AH357" t="s">
        <v>100</v>
      </c>
      <c r="AI357" t="s">
        <v>97</v>
      </c>
      <c r="AJ357" t="s">
        <v>97</v>
      </c>
      <c r="AK357" t="s">
        <v>97</v>
      </c>
      <c r="AL357" t="s">
        <v>97</v>
      </c>
      <c r="AM357">
        <v>13</v>
      </c>
      <c r="AN357" t="s">
        <v>101</v>
      </c>
      <c r="AO357" t="s">
        <v>213</v>
      </c>
      <c r="AP357" t="s">
        <v>122</v>
      </c>
      <c r="AQ357" t="s">
        <v>103</v>
      </c>
      <c r="AR357" t="s">
        <v>214</v>
      </c>
      <c r="AS357" t="s">
        <v>104</v>
      </c>
      <c r="AT357" t="s">
        <v>106</v>
      </c>
      <c r="AU357" t="s">
        <v>97</v>
      </c>
      <c r="AV357" t="s">
        <v>97</v>
      </c>
      <c r="AW357">
        <v>-1.02</v>
      </c>
      <c r="AX357">
        <v>-0.4</v>
      </c>
      <c r="AY357">
        <v>-0.4</v>
      </c>
      <c r="AZ357">
        <v>-0.06</v>
      </c>
      <c r="BA357" t="s">
        <v>97</v>
      </c>
      <c r="BB357" t="s">
        <v>97</v>
      </c>
      <c r="BC357" t="s">
        <v>97</v>
      </c>
      <c r="BD357">
        <v>0</v>
      </c>
      <c r="BE357" t="s">
        <v>97</v>
      </c>
      <c r="BF357" t="s">
        <v>97</v>
      </c>
      <c r="BG357" t="s">
        <v>97</v>
      </c>
      <c r="BH357" t="s">
        <v>97</v>
      </c>
      <c r="BI357">
        <v>669257</v>
      </c>
      <c r="BJ357">
        <v>669257</v>
      </c>
      <c r="BK357" t="s">
        <v>97</v>
      </c>
      <c r="BL357" t="s">
        <v>97</v>
      </c>
      <c r="BM357">
        <v>-3.564787946</v>
      </c>
      <c r="BN357">
        <v>-120.6592625</v>
      </c>
      <c r="BO357">
        <v>-7.4758916339999999</v>
      </c>
      <c r="BP357">
        <v>-9.1508315870000008</v>
      </c>
      <c r="BQ357">
        <v>26.113903430000001</v>
      </c>
      <c r="BR357">
        <v>-34.625252430000003</v>
      </c>
      <c r="BS357">
        <v>3.02</v>
      </c>
      <c r="BT357">
        <v>1.48</v>
      </c>
      <c r="BU357" t="s">
        <v>97</v>
      </c>
      <c r="BV357" t="s">
        <v>97</v>
      </c>
      <c r="BW357" t="s">
        <v>97</v>
      </c>
      <c r="BX357">
        <v>83.4</v>
      </c>
      <c r="BY357">
        <v>2581</v>
      </c>
      <c r="BZ357">
        <v>6.8</v>
      </c>
      <c r="CA357">
        <v>813027</v>
      </c>
      <c r="CB357">
        <v>669257</v>
      </c>
      <c r="CC357">
        <v>669257</v>
      </c>
      <c r="CD357">
        <v>518692</v>
      </c>
      <c r="CE357">
        <v>669242</v>
      </c>
      <c r="CF357">
        <v>571970</v>
      </c>
      <c r="CG357">
        <v>605141</v>
      </c>
      <c r="CH357">
        <v>571771</v>
      </c>
      <c r="CI357">
        <v>681624</v>
      </c>
      <c r="CJ357">
        <v>606192</v>
      </c>
      <c r="CK357">
        <v>53.65</v>
      </c>
      <c r="CL357" t="s">
        <v>97</v>
      </c>
      <c r="CM357" t="s">
        <v>97</v>
      </c>
      <c r="CN357" t="s">
        <v>97</v>
      </c>
      <c r="CO357" t="s">
        <v>97</v>
      </c>
      <c r="CP357" t="s">
        <v>97</v>
      </c>
      <c r="CQ357" t="s">
        <v>97</v>
      </c>
      <c r="CR357" t="s">
        <v>97</v>
      </c>
      <c r="CS357">
        <v>0</v>
      </c>
      <c r="CT357">
        <v>2</v>
      </c>
      <c r="CU357">
        <v>0</v>
      </c>
      <c r="CV357">
        <v>2</v>
      </c>
      <c r="CW357">
        <v>2</v>
      </c>
      <c r="CX357">
        <v>0</v>
      </c>
      <c r="CY357">
        <v>0</v>
      </c>
      <c r="CZ357">
        <v>2</v>
      </c>
      <c r="DA357" t="s">
        <v>107</v>
      </c>
      <c r="DB357" t="s">
        <v>107</v>
      </c>
      <c r="DC357">
        <v>332</v>
      </c>
      <c r="DD357">
        <v>0</v>
      </c>
      <c r="DE357">
        <v>4.2999999999999997E-2</v>
      </c>
      <c r="DF357" t="s">
        <v>97</v>
      </c>
      <c r="DG357" t="s">
        <v>97</v>
      </c>
    </row>
    <row r="358" spans="1:111" x14ac:dyDescent="0.2">
      <c r="A358">
        <v>2025</v>
      </c>
      <c r="B358" s="1">
        <v>45954</v>
      </c>
      <c r="C358" t="s">
        <v>95</v>
      </c>
      <c r="D358">
        <v>605483</v>
      </c>
      <c r="E358">
        <v>672386</v>
      </c>
      <c r="F358">
        <v>2</v>
      </c>
      <c r="G358">
        <v>2</v>
      </c>
      <c r="H358">
        <v>4</v>
      </c>
      <c r="I358" t="s">
        <v>163</v>
      </c>
      <c r="J358">
        <v>32</v>
      </c>
      <c r="K358">
        <v>8</v>
      </c>
      <c r="L358" t="s">
        <v>155</v>
      </c>
      <c r="M358" t="s">
        <v>132</v>
      </c>
      <c r="N358" t="s">
        <v>133</v>
      </c>
      <c r="O358">
        <f t="shared" si="80"/>
        <v>0</v>
      </c>
      <c r="P358">
        <f t="shared" si="81"/>
        <v>0</v>
      </c>
      <c r="Q358">
        <f t="shared" si="82"/>
        <v>0</v>
      </c>
      <c r="R358">
        <f t="shared" si="83"/>
        <v>0</v>
      </c>
      <c r="S358">
        <f t="shared" si="84"/>
        <v>0</v>
      </c>
      <c r="T358">
        <f t="shared" si="85"/>
        <v>0</v>
      </c>
      <c r="U358">
        <f t="shared" si="86"/>
        <v>0</v>
      </c>
      <c r="V358">
        <f t="shared" si="87"/>
        <v>0</v>
      </c>
      <c r="W358">
        <f t="shared" si="88"/>
        <v>0</v>
      </c>
      <c r="X358">
        <f t="shared" si="89"/>
        <v>1</v>
      </c>
      <c r="Y358">
        <f t="shared" si="90"/>
        <v>0</v>
      </c>
      <c r="Z358">
        <f t="shared" si="91"/>
        <v>0</v>
      </c>
      <c r="AA358">
        <f t="shared" si="92"/>
        <v>0</v>
      </c>
      <c r="AB358">
        <f t="shared" si="93"/>
        <v>0</v>
      </c>
      <c r="AC358">
        <f t="shared" si="94"/>
        <v>0</v>
      </c>
      <c r="AD358">
        <f t="shared" si="95"/>
        <v>0</v>
      </c>
      <c r="AE358">
        <v>81.599999999999994</v>
      </c>
      <c r="AF358">
        <v>2.04</v>
      </c>
      <c r="AG358">
        <v>6.33</v>
      </c>
      <c r="AH358" t="s">
        <v>120</v>
      </c>
      <c r="AI358" t="s">
        <v>97</v>
      </c>
      <c r="AJ358" t="s">
        <v>97</v>
      </c>
      <c r="AK358" t="s">
        <v>97</v>
      </c>
      <c r="AL358" t="s">
        <v>97</v>
      </c>
      <c r="AM358">
        <v>6</v>
      </c>
      <c r="AN358" t="s">
        <v>230</v>
      </c>
      <c r="AO358" t="s">
        <v>213</v>
      </c>
      <c r="AP358" t="s">
        <v>122</v>
      </c>
      <c r="AQ358" t="s">
        <v>103</v>
      </c>
      <c r="AR358" t="s">
        <v>214</v>
      </c>
      <c r="AS358" t="s">
        <v>104</v>
      </c>
      <c r="AT358" t="s">
        <v>123</v>
      </c>
      <c r="AU358">
        <v>9</v>
      </c>
      <c r="AV358" t="s">
        <v>158</v>
      </c>
      <c r="AW358">
        <v>1.26</v>
      </c>
      <c r="AX358">
        <v>0.86</v>
      </c>
      <c r="AY358">
        <v>0.59</v>
      </c>
      <c r="AZ358">
        <v>2.5499999999999998</v>
      </c>
      <c r="BA358" t="s">
        <v>97</v>
      </c>
      <c r="BB358" t="s">
        <v>97</v>
      </c>
      <c r="BC358" t="s">
        <v>97</v>
      </c>
      <c r="BD358">
        <v>0</v>
      </c>
      <c r="BE358">
        <v>224.68</v>
      </c>
      <c r="BF358">
        <v>106.07</v>
      </c>
      <c r="BG358" t="s">
        <v>97</v>
      </c>
      <c r="BH358" t="s">
        <v>97</v>
      </c>
      <c r="BI358">
        <v>669257</v>
      </c>
      <c r="BJ358">
        <v>669257</v>
      </c>
      <c r="BK358" t="s">
        <v>97</v>
      </c>
      <c r="BL358" t="s">
        <v>97</v>
      </c>
      <c r="BM358">
        <v>-5.7592555949999999</v>
      </c>
      <c r="BN358">
        <v>-118.64183370000001</v>
      </c>
      <c r="BO358">
        <v>-3.5678625479999999</v>
      </c>
      <c r="BP358">
        <v>13.045823110000001</v>
      </c>
      <c r="BQ358">
        <v>23.586875760000002</v>
      </c>
      <c r="BR358">
        <v>-23.615823550000002</v>
      </c>
      <c r="BS358">
        <v>3.1</v>
      </c>
      <c r="BT358">
        <v>1.49</v>
      </c>
      <c r="BU358">
        <v>332</v>
      </c>
      <c r="BV358">
        <v>97.9</v>
      </c>
      <c r="BW358">
        <v>23</v>
      </c>
      <c r="BX358">
        <v>82.5</v>
      </c>
      <c r="BY358">
        <v>1767</v>
      </c>
      <c r="BZ358">
        <v>7</v>
      </c>
      <c r="CA358">
        <v>813027</v>
      </c>
      <c r="CB358">
        <v>669257</v>
      </c>
      <c r="CC358">
        <v>669257</v>
      </c>
      <c r="CD358">
        <v>518692</v>
      </c>
      <c r="CE358">
        <v>669242</v>
      </c>
      <c r="CF358">
        <v>571970</v>
      </c>
      <c r="CG358">
        <v>605141</v>
      </c>
      <c r="CH358">
        <v>571771</v>
      </c>
      <c r="CI358">
        <v>681624</v>
      </c>
      <c r="CJ358">
        <v>606192</v>
      </c>
      <c r="CK358">
        <v>53.51</v>
      </c>
      <c r="CL358">
        <v>0.33100000000000002</v>
      </c>
      <c r="CM358">
        <v>0.44900000000000001</v>
      </c>
      <c r="CN358">
        <v>0.9</v>
      </c>
      <c r="CO358">
        <v>1</v>
      </c>
      <c r="CP358">
        <v>1</v>
      </c>
      <c r="CQ358">
        <v>0</v>
      </c>
      <c r="CR358">
        <v>5</v>
      </c>
      <c r="CS358">
        <v>0</v>
      </c>
      <c r="CT358">
        <v>2</v>
      </c>
      <c r="CU358">
        <v>0</v>
      </c>
      <c r="CV358">
        <v>2</v>
      </c>
      <c r="CW358">
        <v>2</v>
      </c>
      <c r="CX358">
        <v>0</v>
      </c>
      <c r="CY358">
        <v>0</v>
      </c>
      <c r="CZ358">
        <v>2</v>
      </c>
      <c r="DA358" t="s">
        <v>107</v>
      </c>
      <c r="DB358" t="s">
        <v>107</v>
      </c>
      <c r="DC358">
        <v>129</v>
      </c>
      <c r="DD358">
        <v>4.7E-2</v>
      </c>
      <c r="DE358">
        <v>0.46500000000000002</v>
      </c>
      <c r="DF358">
        <v>69.2</v>
      </c>
      <c r="DG358">
        <v>6.3</v>
      </c>
    </row>
    <row r="359" spans="1:111" x14ac:dyDescent="0.2">
      <c r="A359">
        <v>2025</v>
      </c>
      <c r="B359" s="1">
        <v>45954</v>
      </c>
      <c r="C359" t="s">
        <v>95</v>
      </c>
      <c r="D359">
        <v>605483</v>
      </c>
      <c r="E359">
        <v>662139</v>
      </c>
      <c r="F359">
        <v>0</v>
      </c>
      <c r="G359">
        <v>0</v>
      </c>
      <c r="H359">
        <v>4</v>
      </c>
      <c r="I359" t="s">
        <v>163</v>
      </c>
      <c r="J359">
        <v>33</v>
      </c>
      <c r="K359">
        <v>1</v>
      </c>
      <c r="L359" t="s">
        <v>231</v>
      </c>
      <c r="M359" t="s">
        <v>98</v>
      </c>
      <c r="N359" t="s">
        <v>99</v>
      </c>
      <c r="O359">
        <f t="shared" si="80"/>
        <v>0</v>
      </c>
      <c r="P359">
        <f t="shared" si="81"/>
        <v>0</v>
      </c>
      <c r="Q359">
        <f t="shared" si="82"/>
        <v>1</v>
      </c>
      <c r="R359">
        <f t="shared" si="83"/>
        <v>0</v>
      </c>
      <c r="S359">
        <f t="shared" si="84"/>
        <v>0</v>
      </c>
      <c r="T359">
        <f t="shared" si="85"/>
        <v>0</v>
      </c>
      <c r="U359">
        <f t="shared" si="86"/>
        <v>0</v>
      </c>
      <c r="V359">
        <f t="shared" si="87"/>
        <v>0</v>
      </c>
      <c r="W359">
        <f t="shared" si="88"/>
        <v>0</v>
      </c>
      <c r="X359">
        <f t="shared" si="89"/>
        <v>0</v>
      </c>
      <c r="Y359">
        <f t="shared" si="90"/>
        <v>0</v>
      </c>
      <c r="Z359">
        <f t="shared" si="91"/>
        <v>0</v>
      </c>
      <c r="AA359">
        <f t="shared" si="92"/>
        <v>0</v>
      </c>
      <c r="AB359">
        <f t="shared" si="93"/>
        <v>0</v>
      </c>
      <c r="AC359">
        <f t="shared" si="94"/>
        <v>0</v>
      </c>
      <c r="AD359">
        <f t="shared" si="95"/>
        <v>0</v>
      </c>
      <c r="AE359">
        <v>96.1</v>
      </c>
      <c r="AF359">
        <v>1.98</v>
      </c>
      <c r="AG359">
        <v>6.44</v>
      </c>
      <c r="AH359" t="s">
        <v>120</v>
      </c>
      <c r="AI359" t="s">
        <v>97</v>
      </c>
      <c r="AJ359" t="s">
        <v>97</v>
      </c>
      <c r="AK359" t="s">
        <v>97</v>
      </c>
      <c r="AL359" t="s">
        <v>97</v>
      </c>
      <c r="AM359">
        <v>8</v>
      </c>
      <c r="AN359" t="s">
        <v>232</v>
      </c>
      <c r="AO359" t="s">
        <v>213</v>
      </c>
      <c r="AP359" t="s">
        <v>103</v>
      </c>
      <c r="AQ359" t="s">
        <v>103</v>
      </c>
      <c r="AR359" t="s">
        <v>214</v>
      </c>
      <c r="AS359" t="s">
        <v>104</v>
      </c>
      <c r="AT359" t="s">
        <v>123</v>
      </c>
      <c r="AU359" t="s">
        <v>97</v>
      </c>
      <c r="AV359" t="s">
        <v>124</v>
      </c>
      <c r="AW359">
        <v>0.37</v>
      </c>
      <c r="AX359">
        <v>1.1599999999999999</v>
      </c>
      <c r="AY359">
        <v>-0.05</v>
      </c>
      <c r="AZ359">
        <v>2.11</v>
      </c>
      <c r="BA359" t="s">
        <v>97</v>
      </c>
      <c r="BB359" t="s">
        <v>97</v>
      </c>
      <c r="BC359">
        <v>672386</v>
      </c>
      <c r="BD359">
        <v>0</v>
      </c>
      <c r="BE359">
        <v>118</v>
      </c>
      <c r="BF359">
        <v>18</v>
      </c>
      <c r="BG359" t="s">
        <v>97</v>
      </c>
      <c r="BH359" t="s">
        <v>97</v>
      </c>
      <c r="BI359">
        <v>669257</v>
      </c>
      <c r="BJ359">
        <v>669257</v>
      </c>
      <c r="BK359" t="s">
        <v>97</v>
      </c>
      <c r="BL359" t="s">
        <v>97</v>
      </c>
      <c r="BM359">
        <v>-6.2981063160000001</v>
      </c>
      <c r="BN359">
        <v>-139.50493019999999</v>
      </c>
      <c r="BO359">
        <v>-8.5484116280000002</v>
      </c>
      <c r="BP359">
        <v>6.4023613089999998</v>
      </c>
      <c r="BQ359">
        <v>34.20080385</v>
      </c>
      <c r="BR359">
        <v>-15.196458359999999</v>
      </c>
      <c r="BS359">
        <v>3.38</v>
      </c>
      <c r="BT359">
        <v>1.56</v>
      </c>
      <c r="BU359">
        <v>423</v>
      </c>
      <c r="BV359">
        <v>109</v>
      </c>
      <c r="BW359">
        <v>25</v>
      </c>
      <c r="BX359">
        <v>96.6</v>
      </c>
      <c r="BY359">
        <v>2464</v>
      </c>
      <c r="BZ359">
        <v>6.9</v>
      </c>
      <c r="CA359">
        <v>813027</v>
      </c>
      <c r="CB359">
        <v>669257</v>
      </c>
      <c r="CC359">
        <v>669257</v>
      </c>
      <c r="CD359">
        <v>518692</v>
      </c>
      <c r="CE359">
        <v>669242</v>
      </c>
      <c r="CF359">
        <v>571970</v>
      </c>
      <c r="CG359">
        <v>605141</v>
      </c>
      <c r="CH359">
        <v>571771</v>
      </c>
      <c r="CI359">
        <v>681624</v>
      </c>
      <c r="CJ359">
        <v>606192</v>
      </c>
      <c r="CK359">
        <v>53.58</v>
      </c>
      <c r="CL359">
        <v>0.99099999999999999</v>
      </c>
      <c r="CM359">
        <v>1.986</v>
      </c>
      <c r="CN359">
        <v>2</v>
      </c>
      <c r="CO359">
        <v>1</v>
      </c>
      <c r="CP359">
        <v>0</v>
      </c>
      <c r="CQ359">
        <v>3</v>
      </c>
      <c r="CR359">
        <v>6</v>
      </c>
      <c r="CS359">
        <v>0</v>
      </c>
      <c r="CT359">
        <v>2</v>
      </c>
      <c r="CU359">
        <v>0</v>
      </c>
      <c r="CV359">
        <v>2</v>
      </c>
      <c r="CW359">
        <v>2</v>
      </c>
      <c r="CX359">
        <v>2</v>
      </c>
      <c r="CY359">
        <v>2</v>
      </c>
      <c r="CZ359">
        <v>2</v>
      </c>
      <c r="DA359" t="s">
        <v>107</v>
      </c>
      <c r="DB359" t="s">
        <v>107</v>
      </c>
      <c r="DC359">
        <v>153</v>
      </c>
      <c r="DD359">
        <v>0.21199999999999999</v>
      </c>
      <c r="DE359">
        <v>1.0580000000000001</v>
      </c>
      <c r="DF359">
        <v>77.7</v>
      </c>
      <c r="DG359">
        <v>7.8</v>
      </c>
    </row>
    <row r="360" spans="1:111" x14ac:dyDescent="0.2">
      <c r="A360">
        <v>2025</v>
      </c>
      <c r="B360" s="1">
        <v>45954</v>
      </c>
      <c r="C360" t="s">
        <v>95</v>
      </c>
      <c r="D360">
        <v>605483</v>
      </c>
      <c r="E360">
        <v>676391</v>
      </c>
      <c r="F360">
        <v>0</v>
      </c>
      <c r="G360">
        <v>0</v>
      </c>
      <c r="H360">
        <v>4</v>
      </c>
      <c r="I360" t="s">
        <v>163</v>
      </c>
      <c r="J360">
        <v>34</v>
      </c>
      <c r="K360">
        <v>1</v>
      </c>
      <c r="L360" t="s">
        <v>119</v>
      </c>
      <c r="M360" t="s">
        <v>132</v>
      </c>
      <c r="N360" t="s">
        <v>133</v>
      </c>
      <c r="O360">
        <f t="shared" si="80"/>
        <v>0</v>
      </c>
      <c r="P360">
        <f t="shared" si="81"/>
        <v>0</v>
      </c>
      <c r="Q360">
        <f t="shared" si="82"/>
        <v>0</v>
      </c>
      <c r="R360">
        <f t="shared" si="83"/>
        <v>0</v>
      </c>
      <c r="S360">
        <f t="shared" si="84"/>
        <v>0</v>
      </c>
      <c r="T360">
        <f t="shared" si="85"/>
        <v>0</v>
      </c>
      <c r="U360">
        <f t="shared" si="86"/>
        <v>0</v>
      </c>
      <c r="V360">
        <f t="shared" si="87"/>
        <v>0</v>
      </c>
      <c r="W360">
        <f t="shared" si="88"/>
        <v>0</v>
      </c>
      <c r="X360">
        <f t="shared" si="89"/>
        <v>1</v>
      </c>
      <c r="Y360">
        <f t="shared" si="90"/>
        <v>0</v>
      </c>
      <c r="Z360">
        <f t="shared" si="91"/>
        <v>0</v>
      </c>
      <c r="AA360">
        <f t="shared" si="92"/>
        <v>0</v>
      </c>
      <c r="AB360">
        <f t="shared" si="93"/>
        <v>0</v>
      </c>
      <c r="AC360">
        <f t="shared" si="94"/>
        <v>0</v>
      </c>
      <c r="AD360">
        <f t="shared" si="95"/>
        <v>0</v>
      </c>
      <c r="AE360">
        <v>87</v>
      </c>
      <c r="AF360">
        <v>2.25</v>
      </c>
      <c r="AG360">
        <v>6.24</v>
      </c>
      <c r="AH360" t="s">
        <v>120</v>
      </c>
      <c r="AI360" t="s">
        <v>97</v>
      </c>
      <c r="AJ360" t="s">
        <v>97</v>
      </c>
      <c r="AK360" t="s">
        <v>97</v>
      </c>
      <c r="AL360" t="s">
        <v>97</v>
      </c>
      <c r="AM360">
        <v>9</v>
      </c>
      <c r="AN360" t="s">
        <v>233</v>
      </c>
      <c r="AO360" t="s">
        <v>213</v>
      </c>
      <c r="AP360" t="s">
        <v>122</v>
      </c>
      <c r="AQ360" t="s">
        <v>103</v>
      </c>
      <c r="AR360" t="s">
        <v>214</v>
      </c>
      <c r="AS360" t="s">
        <v>104</v>
      </c>
      <c r="AT360" t="s">
        <v>123</v>
      </c>
      <c r="AU360">
        <v>8</v>
      </c>
      <c r="AV360" t="s">
        <v>124</v>
      </c>
      <c r="AW360">
        <v>1.07</v>
      </c>
      <c r="AX360">
        <v>1.18</v>
      </c>
      <c r="AY360">
        <v>0.33</v>
      </c>
      <c r="AZ360">
        <v>1.87</v>
      </c>
      <c r="BA360" t="s">
        <v>97</v>
      </c>
      <c r="BB360" t="s">
        <v>97</v>
      </c>
      <c r="BC360" t="s">
        <v>97</v>
      </c>
      <c r="BD360">
        <v>0</v>
      </c>
      <c r="BE360">
        <v>109.23</v>
      </c>
      <c r="BF360">
        <v>107.53</v>
      </c>
      <c r="BG360" t="s">
        <v>97</v>
      </c>
      <c r="BH360" t="s">
        <v>97</v>
      </c>
      <c r="BI360">
        <v>669257</v>
      </c>
      <c r="BJ360">
        <v>669257</v>
      </c>
      <c r="BK360" t="s">
        <v>97</v>
      </c>
      <c r="BL360" t="s">
        <v>97</v>
      </c>
      <c r="BM360">
        <v>-6.8698846170000003</v>
      </c>
      <c r="BN360">
        <v>-126.4680197</v>
      </c>
      <c r="BO360">
        <v>-6.7854915240000002</v>
      </c>
      <c r="BP360">
        <v>12.905487239999999</v>
      </c>
      <c r="BQ360">
        <v>25.672703689999999</v>
      </c>
      <c r="BR360">
        <v>-18.320508279999999</v>
      </c>
      <c r="BS360">
        <v>3.34</v>
      </c>
      <c r="BT360">
        <v>1.55</v>
      </c>
      <c r="BU360">
        <v>233</v>
      </c>
      <c r="BV360">
        <v>85.7</v>
      </c>
      <c r="BW360">
        <v>52</v>
      </c>
      <c r="BX360">
        <v>88</v>
      </c>
      <c r="BY360">
        <v>1748</v>
      </c>
      <c r="BZ360">
        <v>7</v>
      </c>
      <c r="CA360">
        <v>813027</v>
      </c>
      <c r="CB360">
        <v>669257</v>
      </c>
      <c r="CC360">
        <v>669257</v>
      </c>
      <c r="CD360">
        <v>518692</v>
      </c>
      <c r="CE360">
        <v>669242</v>
      </c>
      <c r="CF360">
        <v>571970</v>
      </c>
      <c r="CG360">
        <v>605141</v>
      </c>
      <c r="CH360">
        <v>571771</v>
      </c>
      <c r="CI360">
        <v>681624</v>
      </c>
      <c r="CJ360">
        <v>606192</v>
      </c>
      <c r="CK360">
        <v>53.54</v>
      </c>
      <c r="CL360">
        <v>1.7000000000000001E-2</v>
      </c>
      <c r="CM360">
        <v>2.1000000000000001E-2</v>
      </c>
      <c r="CN360">
        <v>0</v>
      </c>
      <c r="CO360">
        <v>1</v>
      </c>
      <c r="CP360">
        <v>0</v>
      </c>
      <c r="CQ360">
        <v>0</v>
      </c>
      <c r="CR360">
        <v>3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 t="s">
        <v>107</v>
      </c>
      <c r="DB360" t="s">
        <v>107</v>
      </c>
      <c r="DC360">
        <v>131</v>
      </c>
      <c r="DD360">
        <v>-2.7E-2</v>
      </c>
      <c r="DE360">
        <v>-0.25900000000000001</v>
      </c>
      <c r="DF360">
        <v>67</v>
      </c>
      <c r="DG360">
        <v>7.9</v>
      </c>
    </row>
    <row r="361" spans="1:111" x14ac:dyDescent="0.2">
      <c r="A361">
        <v>2025</v>
      </c>
      <c r="B361" s="1">
        <v>45954</v>
      </c>
      <c r="C361" t="s">
        <v>95</v>
      </c>
      <c r="D361">
        <v>605483</v>
      </c>
      <c r="E361">
        <v>664702</v>
      </c>
      <c r="F361">
        <v>0</v>
      </c>
      <c r="G361">
        <v>0</v>
      </c>
      <c r="H361">
        <v>4</v>
      </c>
      <c r="I361" t="s">
        <v>163</v>
      </c>
      <c r="J361">
        <v>35</v>
      </c>
      <c r="K361">
        <v>1</v>
      </c>
      <c r="L361" t="s">
        <v>97</v>
      </c>
      <c r="M361" t="s">
        <v>98</v>
      </c>
      <c r="N361" t="s">
        <v>99</v>
      </c>
      <c r="O361">
        <f t="shared" si="80"/>
        <v>0</v>
      </c>
      <c r="P361">
        <f t="shared" si="81"/>
        <v>0</v>
      </c>
      <c r="Q361">
        <f t="shared" si="82"/>
        <v>1</v>
      </c>
      <c r="R361">
        <f t="shared" si="83"/>
        <v>0</v>
      </c>
      <c r="S361">
        <f t="shared" si="84"/>
        <v>0</v>
      </c>
      <c r="T361">
        <f t="shared" si="85"/>
        <v>0</v>
      </c>
      <c r="U361">
        <f t="shared" si="86"/>
        <v>0</v>
      </c>
      <c r="V361">
        <f t="shared" si="87"/>
        <v>0</v>
      </c>
      <c r="W361">
        <f t="shared" si="88"/>
        <v>0</v>
      </c>
      <c r="X361">
        <f t="shared" si="89"/>
        <v>0</v>
      </c>
      <c r="Y361">
        <f t="shared" si="90"/>
        <v>0</v>
      </c>
      <c r="Z361">
        <f t="shared" si="91"/>
        <v>0</v>
      </c>
      <c r="AA361">
        <f t="shared" si="92"/>
        <v>0</v>
      </c>
      <c r="AB361">
        <f t="shared" si="93"/>
        <v>0</v>
      </c>
      <c r="AC361">
        <f t="shared" si="94"/>
        <v>0</v>
      </c>
      <c r="AD361">
        <f t="shared" si="95"/>
        <v>0</v>
      </c>
      <c r="AE361">
        <v>96</v>
      </c>
      <c r="AF361">
        <v>2.02</v>
      </c>
      <c r="AG361">
        <v>6.45</v>
      </c>
      <c r="AH361" t="s">
        <v>129</v>
      </c>
      <c r="AI361" t="s">
        <v>97</v>
      </c>
      <c r="AJ361" t="s">
        <v>97</v>
      </c>
      <c r="AK361" t="s">
        <v>97</v>
      </c>
      <c r="AL361" t="s">
        <v>97</v>
      </c>
      <c r="AM361">
        <v>5</v>
      </c>
      <c r="AN361" t="s">
        <v>130</v>
      </c>
      <c r="AO361" t="s">
        <v>213</v>
      </c>
      <c r="AP361" t="s">
        <v>122</v>
      </c>
      <c r="AQ361" t="s">
        <v>103</v>
      </c>
      <c r="AR361" t="s">
        <v>214</v>
      </c>
      <c r="AS361" t="s">
        <v>104</v>
      </c>
      <c r="AT361" t="s">
        <v>110</v>
      </c>
      <c r="AU361" t="s">
        <v>97</v>
      </c>
      <c r="AV361" t="s">
        <v>97</v>
      </c>
      <c r="AW361">
        <v>0.65</v>
      </c>
      <c r="AX361">
        <v>1.52</v>
      </c>
      <c r="AY361">
        <v>-0.16</v>
      </c>
      <c r="AZ361">
        <v>2.82</v>
      </c>
      <c r="BA361" t="s">
        <v>97</v>
      </c>
      <c r="BB361" t="s">
        <v>97</v>
      </c>
      <c r="BC361" t="s">
        <v>97</v>
      </c>
      <c r="BD361">
        <v>1</v>
      </c>
      <c r="BE361" t="s">
        <v>97</v>
      </c>
      <c r="BF361" t="s">
        <v>97</v>
      </c>
      <c r="BG361" t="s">
        <v>97</v>
      </c>
      <c r="BH361" t="s">
        <v>97</v>
      </c>
      <c r="BI361">
        <v>669257</v>
      </c>
      <c r="BJ361">
        <v>669257</v>
      </c>
      <c r="BK361" t="s">
        <v>97</v>
      </c>
      <c r="BL361" t="s">
        <v>97</v>
      </c>
      <c r="BM361">
        <v>-7.3344681229999997</v>
      </c>
      <c r="BN361">
        <v>-139.4327984</v>
      </c>
      <c r="BO361">
        <v>-7.4641145800000004</v>
      </c>
      <c r="BP361">
        <v>10.19489868</v>
      </c>
      <c r="BQ361">
        <v>33.755419770000003</v>
      </c>
      <c r="BR361">
        <v>-10.868892689999999</v>
      </c>
      <c r="BS361">
        <v>3.44</v>
      </c>
      <c r="BT361">
        <v>1.62</v>
      </c>
      <c r="BU361">
        <v>74</v>
      </c>
      <c r="BV361">
        <v>77.900000000000006</v>
      </c>
      <c r="BW361">
        <v>15</v>
      </c>
      <c r="BX361">
        <v>96.8</v>
      </c>
      <c r="BY361">
        <v>2375</v>
      </c>
      <c r="BZ361">
        <v>7</v>
      </c>
      <c r="CA361">
        <v>813027</v>
      </c>
      <c r="CB361">
        <v>669257</v>
      </c>
      <c r="CC361">
        <v>669257</v>
      </c>
      <c r="CD361">
        <v>518692</v>
      </c>
      <c r="CE361">
        <v>669242</v>
      </c>
      <c r="CF361">
        <v>571970</v>
      </c>
      <c r="CG361">
        <v>605141</v>
      </c>
      <c r="CH361">
        <v>571771</v>
      </c>
      <c r="CI361">
        <v>681624</v>
      </c>
      <c r="CJ361">
        <v>606192</v>
      </c>
      <c r="CK361">
        <v>53.49</v>
      </c>
      <c r="CL361" t="s">
        <v>97</v>
      </c>
      <c r="CM361" t="s">
        <v>97</v>
      </c>
      <c r="CN361" t="s">
        <v>97</v>
      </c>
      <c r="CO361" t="s">
        <v>97</v>
      </c>
      <c r="CP361" t="s">
        <v>97</v>
      </c>
      <c r="CQ361" t="s">
        <v>97</v>
      </c>
      <c r="CR361" t="s">
        <v>97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 t="s">
        <v>107</v>
      </c>
      <c r="DB361" t="s">
        <v>107</v>
      </c>
      <c r="DC361">
        <v>158</v>
      </c>
      <c r="DD361">
        <v>0</v>
      </c>
      <c r="DE361">
        <v>-3.9E-2</v>
      </c>
      <c r="DF361">
        <v>72.900000000000006</v>
      </c>
      <c r="DG361">
        <v>6.7</v>
      </c>
    </row>
    <row r="362" spans="1:111" x14ac:dyDescent="0.2">
      <c r="A362">
        <v>2025</v>
      </c>
      <c r="B362" s="1">
        <v>45954</v>
      </c>
      <c r="C362" t="s">
        <v>95</v>
      </c>
      <c r="D362">
        <v>605483</v>
      </c>
      <c r="E362">
        <v>664702</v>
      </c>
      <c r="F362">
        <v>0</v>
      </c>
      <c r="G362">
        <v>1</v>
      </c>
      <c r="H362">
        <v>4</v>
      </c>
      <c r="I362" t="s">
        <v>163</v>
      </c>
      <c r="J362">
        <v>35</v>
      </c>
      <c r="K362">
        <v>2</v>
      </c>
      <c r="L362" t="s">
        <v>119</v>
      </c>
      <c r="M362" t="s">
        <v>132</v>
      </c>
      <c r="N362" t="s">
        <v>133</v>
      </c>
      <c r="O362">
        <f t="shared" si="80"/>
        <v>0</v>
      </c>
      <c r="P362">
        <f t="shared" si="81"/>
        <v>0</v>
      </c>
      <c r="Q362">
        <f t="shared" si="82"/>
        <v>0</v>
      </c>
      <c r="R362">
        <f t="shared" si="83"/>
        <v>0</v>
      </c>
      <c r="S362">
        <f t="shared" si="84"/>
        <v>0</v>
      </c>
      <c r="T362">
        <f t="shared" si="85"/>
        <v>0</v>
      </c>
      <c r="U362">
        <f t="shared" si="86"/>
        <v>0</v>
      </c>
      <c r="V362">
        <f t="shared" si="87"/>
        <v>0</v>
      </c>
      <c r="W362">
        <f t="shared" si="88"/>
        <v>0</v>
      </c>
      <c r="X362">
        <f t="shared" si="89"/>
        <v>0</v>
      </c>
      <c r="Y362">
        <f t="shared" si="90"/>
        <v>1</v>
      </c>
      <c r="Z362">
        <f t="shared" si="91"/>
        <v>0</v>
      </c>
      <c r="AA362">
        <f t="shared" si="92"/>
        <v>0</v>
      </c>
      <c r="AB362">
        <f t="shared" si="93"/>
        <v>0</v>
      </c>
      <c r="AC362">
        <f t="shared" si="94"/>
        <v>0</v>
      </c>
      <c r="AD362">
        <f t="shared" si="95"/>
        <v>0</v>
      </c>
      <c r="AE362">
        <v>85.8</v>
      </c>
      <c r="AF362">
        <v>2.38</v>
      </c>
      <c r="AG362">
        <v>6.25</v>
      </c>
      <c r="AH362" t="s">
        <v>120</v>
      </c>
      <c r="AI362" t="s">
        <v>97</v>
      </c>
      <c r="AJ362" t="s">
        <v>97</v>
      </c>
      <c r="AK362" t="s">
        <v>97</v>
      </c>
      <c r="AL362" t="s">
        <v>97</v>
      </c>
      <c r="AM362">
        <v>9</v>
      </c>
      <c r="AN362" t="s">
        <v>234</v>
      </c>
      <c r="AO362" t="s">
        <v>213</v>
      </c>
      <c r="AP362" t="s">
        <v>122</v>
      </c>
      <c r="AQ362" t="s">
        <v>103</v>
      </c>
      <c r="AR362" t="s">
        <v>214</v>
      </c>
      <c r="AS362" t="s">
        <v>104</v>
      </c>
      <c r="AT362" t="s">
        <v>123</v>
      </c>
      <c r="AU362">
        <v>7</v>
      </c>
      <c r="AV362" t="s">
        <v>158</v>
      </c>
      <c r="AW362">
        <v>1.22</v>
      </c>
      <c r="AX362">
        <v>1.08</v>
      </c>
      <c r="AY362">
        <v>0.79</v>
      </c>
      <c r="AZ362">
        <v>1.89</v>
      </c>
      <c r="BA362" t="s">
        <v>97</v>
      </c>
      <c r="BB362" t="s">
        <v>97</v>
      </c>
      <c r="BC362" t="s">
        <v>97</v>
      </c>
      <c r="BD362">
        <v>1</v>
      </c>
      <c r="BE362">
        <v>107.62</v>
      </c>
      <c r="BF362">
        <v>85.15</v>
      </c>
      <c r="BG362" t="s">
        <v>97</v>
      </c>
      <c r="BH362" t="s">
        <v>97</v>
      </c>
      <c r="BI362">
        <v>669257</v>
      </c>
      <c r="BJ362">
        <v>669257</v>
      </c>
      <c r="BK362" t="s">
        <v>97</v>
      </c>
      <c r="BL362" t="s">
        <v>97</v>
      </c>
      <c r="BM362">
        <v>-6.3011837599999998</v>
      </c>
      <c r="BN362">
        <v>-124.6079579</v>
      </c>
      <c r="BO362">
        <v>-6.2169537149999998</v>
      </c>
      <c r="BP362">
        <v>13.968444440000001</v>
      </c>
      <c r="BQ362">
        <v>26.34479945</v>
      </c>
      <c r="BR362">
        <v>-19.88690531</v>
      </c>
      <c r="BS362">
        <v>3.44</v>
      </c>
      <c r="BT362">
        <v>1.62</v>
      </c>
      <c r="BU362">
        <v>288</v>
      </c>
      <c r="BV362">
        <v>81.5</v>
      </c>
      <c r="BW362">
        <v>26</v>
      </c>
      <c r="BX362">
        <v>86.4</v>
      </c>
      <c r="BY362">
        <v>1842</v>
      </c>
      <c r="BZ362">
        <v>6.9</v>
      </c>
      <c r="CA362">
        <v>813027</v>
      </c>
      <c r="CB362">
        <v>669257</v>
      </c>
      <c r="CC362">
        <v>669257</v>
      </c>
      <c r="CD362">
        <v>518692</v>
      </c>
      <c r="CE362">
        <v>669242</v>
      </c>
      <c r="CF362">
        <v>571970</v>
      </c>
      <c r="CG362">
        <v>605141</v>
      </c>
      <c r="CH362">
        <v>571771</v>
      </c>
      <c r="CI362">
        <v>681624</v>
      </c>
      <c r="CJ362">
        <v>606192</v>
      </c>
      <c r="CK362">
        <v>53.62</v>
      </c>
      <c r="CL362">
        <v>0.2</v>
      </c>
      <c r="CM362">
        <v>0.20799999999999999</v>
      </c>
      <c r="CN362">
        <v>0</v>
      </c>
      <c r="CO362">
        <v>1</v>
      </c>
      <c r="CP362">
        <v>0</v>
      </c>
      <c r="CQ362">
        <v>0</v>
      </c>
      <c r="CR362">
        <v>3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 t="s">
        <v>107</v>
      </c>
      <c r="DB362" t="s">
        <v>107</v>
      </c>
      <c r="DC362">
        <v>131</v>
      </c>
      <c r="DD362">
        <v>-1.9E-2</v>
      </c>
      <c r="DE362">
        <v>-0.215</v>
      </c>
      <c r="DF362">
        <v>68.7</v>
      </c>
      <c r="DG362">
        <v>7.6</v>
      </c>
    </row>
    <row r="363" spans="1:111" x14ac:dyDescent="0.2">
      <c r="A363">
        <v>2025</v>
      </c>
      <c r="B363" s="1">
        <v>45954</v>
      </c>
      <c r="C363" t="s">
        <v>95</v>
      </c>
      <c r="D363">
        <v>605483</v>
      </c>
      <c r="E363">
        <v>665926</v>
      </c>
      <c r="F363">
        <v>0</v>
      </c>
      <c r="G363">
        <v>0</v>
      </c>
      <c r="H363">
        <v>4</v>
      </c>
      <c r="I363" t="s">
        <v>163</v>
      </c>
      <c r="J363">
        <v>36</v>
      </c>
      <c r="K363">
        <v>1</v>
      </c>
      <c r="L363" t="s">
        <v>97</v>
      </c>
      <c r="M363" t="s">
        <v>111</v>
      </c>
      <c r="N363" t="s">
        <v>112</v>
      </c>
      <c r="O363">
        <f t="shared" si="80"/>
        <v>0</v>
      </c>
      <c r="P363">
        <f t="shared" si="81"/>
        <v>0</v>
      </c>
      <c r="Q363">
        <f t="shared" si="82"/>
        <v>0</v>
      </c>
      <c r="R363">
        <f t="shared" si="83"/>
        <v>0</v>
      </c>
      <c r="S363">
        <f t="shared" si="84"/>
        <v>0</v>
      </c>
      <c r="T363">
        <f t="shared" si="85"/>
        <v>0</v>
      </c>
      <c r="U363">
        <f t="shared" si="86"/>
        <v>0</v>
      </c>
      <c r="V363">
        <f t="shared" si="87"/>
        <v>1</v>
      </c>
      <c r="W363">
        <f t="shared" si="88"/>
        <v>0</v>
      </c>
      <c r="X363">
        <f t="shared" si="89"/>
        <v>0</v>
      </c>
      <c r="Y363">
        <f t="shared" si="90"/>
        <v>0</v>
      </c>
      <c r="Z363">
        <f t="shared" si="91"/>
        <v>0</v>
      </c>
      <c r="AA363">
        <f t="shared" si="92"/>
        <v>0</v>
      </c>
      <c r="AB363">
        <f t="shared" si="93"/>
        <v>0</v>
      </c>
      <c r="AC363">
        <f t="shared" si="94"/>
        <v>0</v>
      </c>
      <c r="AD363">
        <f t="shared" si="95"/>
        <v>0</v>
      </c>
      <c r="AE363">
        <v>81.5</v>
      </c>
      <c r="AF363">
        <v>1.91</v>
      </c>
      <c r="AG363">
        <v>6.49</v>
      </c>
      <c r="AH363" t="s">
        <v>100</v>
      </c>
      <c r="AI363" t="s">
        <v>97</v>
      </c>
      <c r="AJ363" t="s">
        <v>97</v>
      </c>
      <c r="AK363" t="s">
        <v>97</v>
      </c>
      <c r="AL363" t="s">
        <v>97</v>
      </c>
      <c r="AM363">
        <v>13</v>
      </c>
      <c r="AN363" t="s">
        <v>101</v>
      </c>
      <c r="AO363" t="s">
        <v>213</v>
      </c>
      <c r="AP363" t="s">
        <v>103</v>
      </c>
      <c r="AQ363" t="s">
        <v>103</v>
      </c>
      <c r="AR363" t="s">
        <v>214</v>
      </c>
      <c r="AS363" t="s">
        <v>104</v>
      </c>
      <c r="AT363" t="s">
        <v>106</v>
      </c>
      <c r="AU363" t="s">
        <v>97</v>
      </c>
      <c r="AV363" t="s">
        <v>97</v>
      </c>
      <c r="AW363">
        <v>-1.06</v>
      </c>
      <c r="AX363">
        <v>-0.51</v>
      </c>
      <c r="AY363">
        <v>-0.59</v>
      </c>
      <c r="AZ363">
        <v>1</v>
      </c>
      <c r="BA363" t="s">
        <v>97</v>
      </c>
      <c r="BB363" t="s">
        <v>97</v>
      </c>
      <c r="BC363" t="s">
        <v>97</v>
      </c>
      <c r="BD363">
        <v>2</v>
      </c>
      <c r="BE363" t="s">
        <v>97</v>
      </c>
      <c r="BF363" t="s">
        <v>97</v>
      </c>
      <c r="BG363" t="s">
        <v>97</v>
      </c>
      <c r="BH363" t="s">
        <v>97</v>
      </c>
      <c r="BI363">
        <v>669257</v>
      </c>
      <c r="BJ363">
        <v>669257</v>
      </c>
      <c r="BK363" t="s">
        <v>97</v>
      </c>
      <c r="BL363" t="s">
        <v>97</v>
      </c>
      <c r="BM363">
        <v>-3.6164016270000001</v>
      </c>
      <c r="BN363">
        <v>-118.6038404</v>
      </c>
      <c r="BO363">
        <v>-4.6984642900000004</v>
      </c>
      <c r="BP363">
        <v>-9.1081059599999996</v>
      </c>
      <c r="BQ363">
        <v>25.912335509999998</v>
      </c>
      <c r="BR363">
        <v>-36.160621849999998</v>
      </c>
      <c r="BS363">
        <v>3.3</v>
      </c>
      <c r="BT363">
        <v>1.52</v>
      </c>
      <c r="BU363" t="s">
        <v>97</v>
      </c>
      <c r="BV363" t="s">
        <v>97</v>
      </c>
      <c r="BW363" t="s">
        <v>97</v>
      </c>
      <c r="BX363">
        <v>82</v>
      </c>
      <c r="BY363">
        <v>2614</v>
      </c>
      <c r="BZ363">
        <v>7</v>
      </c>
      <c r="CA363">
        <v>813027</v>
      </c>
      <c r="CB363">
        <v>669257</v>
      </c>
      <c r="CC363">
        <v>669257</v>
      </c>
      <c r="CD363">
        <v>518692</v>
      </c>
      <c r="CE363">
        <v>669242</v>
      </c>
      <c r="CF363">
        <v>571970</v>
      </c>
      <c r="CG363">
        <v>605141</v>
      </c>
      <c r="CH363">
        <v>571771</v>
      </c>
      <c r="CI363">
        <v>681624</v>
      </c>
      <c r="CJ363">
        <v>606192</v>
      </c>
      <c r="CK363">
        <v>53.54</v>
      </c>
      <c r="CL363" t="s">
        <v>97</v>
      </c>
      <c r="CM363" t="s">
        <v>97</v>
      </c>
      <c r="CN363" t="s">
        <v>97</v>
      </c>
      <c r="CO363" t="s">
        <v>97</v>
      </c>
      <c r="CP363" t="s">
        <v>97</v>
      </c>
      <c r="CQ363" t="s">
        <v>97</v>
      </c>
      <c r="CR363" t="s">
        <v>97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 t="s">
        <v>107</v>
      </c>
      <c r="DB363" t="s">
        <v>107</v>
      </c>
      <c r="DC363">
        <v>331</v>
      </c>
      <c r="DD363">
        <v>0</v>
      </c>
      <c r="DE363">
        <v>3.6999999999999998E-2</v>
      </c>
      <c r="DF363" t="s">
        <v>97</v>
      </c>
      <c r="DG363" t="s">
        <v>97</v>
      </c>
    </row>
    <row r="364" spans="1:111" x14ac:dyDescent="0.2">
      <c r="A364">
        <v>2025</v>
      </c>
      <c r="B364" s="1">
        <v>45954</v>
      </c>
      <c r="C364" t="s">
        <v>95</v>
      </c>
      <c r="D364">
        <v>605483</v>
      </c>
      <c r="E364">
        <v>665926</v>
      </c>
      <c r="F364">
        <v>1</v>
      </c>
      <c r="G364">
        <v>0</v>
      </c>
      <c r="H364">
        <v>4</v>
      </c>
      <c r="I364" t="s">
        <v>163</v>
      </c>
      <c r="J364">
        <v>36</v>
      </c>
      <c r="K364">
        <v>2</v>
      </c>
      <c r="L364" t="s">
        <v>97</v>
      </c>
      <c r="M364" t="s">
        <v>138</v>
      </c>
      <c r="N364" t="s">
        <v>139</v>
      </c>
      <c r="O364">
        <f t="shared" si="80"/>
        <v>0</v>
      </c>
      <c r="P364">
        <f t="shared" si="81"/>
        <v>0</v>
      </c>
      <c r="Q364">
        <f t="shared" si="82"/>
        <v>0</v>
      </c>
      <c r="R364">
        <f t="shared" si="83"/>
        <v>0</v>
      </c>
      <c r="S364">
        <f t="shared" si="84"/>
        <v>0</v>
      </c>
      <c r="T364">
        <f t="shared" si="85"/>
        <v>0</v>
      </c>
      <c r="U364">
        <f t="shared" si="86"/>
        <v>0</v>
      </c>
      <c r="V364">
        <f t="shared" si="87"/>
        <v>0</v>
      </c>
      <c r="W364">
        <f t="shared" si="88"/>
        <v>0</v>
      </c>
      <c r="X364">
        <f t="shared" si="89"/>
        <v>0</v>
      </c>
      <c r="Y364">
        <f t="shared" si="90"/>
        <v>0</v>
      </c>
      <c r="Z364">
        <f t="shared" si="91"/>
        <v>0</v>
      </c>
      <c r="AA364">
        <f t="shared" si="92"/>
        <v>1</v>
      </c>
      <c r="AB364">
        <f t="shared" si="93"/>
        <v>0</v>
      </c>
      <c r="AC364">
        <f t="shared" si="94"/>
        <v>0</v>
      </c>
      <c r="AD364">
        <f t="shared" si="95"/>
        <v>0</v>
      </c>
      <c r="AE364">
        <v>90.4</v>
      </c>
      <c r="AF364">
        <v>2.2200000000000002</v>
      </c>
      <c r="AG364">
        <v>6.5</v>
      </c>
      <c r="AH364" t="s">
        <v>129</v>
      </c>
      <c r="AI364" t="s">
        <v>97</v>
      </c>
      <c r="AJ364" t="s">
        <v>97</v>
      </c>
      <c r="AK364" t="s">
        <v>97</v>
      </c>
      <c r="AL364" t="s">
        <v>97</v>
      </c>
      <c r="AM364">
        <v>3</v>
      </c>
      <c r="AN364" t="s">
        <v>130</v>
      </c>
      <c r="AO364" t="s">
        <v>213</v>
      </c>
      <c r="AP364" t="s">
        <v>103</v>
      </c>
      <c r="AQ364" t="s">
        <v>103</v>
      </c>
      <c r="AR364" t="s">
        <v>214</v>
      </c>
      <c r="AS364" t="s">
        <v>104</v>
      </c>
      <c r="AT364" t="s">
        <v>110</v>
      </c>
      <c r="AU364" t="s">
        <v>97</v>
      </c>
      <c r="AV364" t="s">
        <v>97</v>
      </c>
      <c r="AW364">
        <v>-0.05</v>
      </c>
      <c r="AX364">
        <v>1.08</v>
      </c>
      <c r="AY364">
        <v>0.75</v>
      </c>
      <c r="AZ364">
        <v>3.34</v>
      </c>
      <c r="BA364" t="s">
        <v>97</v>
      </c>
      <c r="BB364" t="s">
        <v>97</v>
      </c>
      <c r="BC364" t="s">
        <v>97</v>
      </c>
      <c r="BD364">
        <v>2</v>
      </c>
      <c r="BE364" t="s">
        <v>97</v>
      </c>
      <c r="BF364" t="s">
        <v>97</v>
      </c>
      <c r="BG364" t="s">
        <v>97</v>
      </c>
      <c r="BH364" t="s">
        <v>97</v>
      </c>
      <c r="BI364">
        <v>669257</v>
      </c>
      <c r="BJ364">
        <v>669257</v>
      </c>
      <c r="BK364" t="s">
        <v>97</v>
      </c>
      <c r="BL364" t="s">
        <v>97</v>
      </c>
      <c r="BM364">
        <v>-3.601853771</v>
      </c>
      <c r="BN364">
        <v>-131.5335685</v>
      </c>
      <c r="BO364">
        <v>-4.2450888109999996</v>
      </c>
      <c r="BP364">
        <v>0.252915644</v>
      </c>
      <c r="BQ364">
        <v>28.722934930000001</v>
      </c>
      <c r="BR364">
        <v>-18.892442320000001</v>
      </c>
      <c r="BS364">
        <v>3.3</v>
      </c>
      <c r="BT364">
        <v>1.52</v>
      </c>
      <c r="BU364" t="s">
        <v>97</v>
      </c>
      <c r="BV364" t="s">
        <v>97</v>
      </c>
      <c r="BW364" t="s">
        <v>97</v>
      </c>
      <c r="BX364">
        <v>91</v>
      </c>
      <c r="BY364">
        <v>2253</v>
      </c>
      <c r="BZ364">
        <v>6.8</v>
      </c>
      <c r="CA364">
        <v>813027</v>
      </c>
      <c r="CB364">
        <v>669257</v>
      </c>
      <c r="CC364">
        <v>669257</v>
      </c>
      <c r="CD364">
        <v>518692</v>
      </c>
      <c r="CE364">
        <v>669242</v>
      </c>
      <c r="CF364">
        <v>571970</v>
      </c>
      <c r="CG364">
        <v>605141</v>
      </c>
      <c r="CH364">
        <v>571771</v>
      </c>
      <c r="CI364">
        <v>681624</v>
      </c>
      <c r="CJ364">
        <v>606192</v>
      </c>
      <c r="CK364">
        <v>53.75</v>
      </c>
      <c r="CL364" t="s">
        <v>97</v>
      </c>
      <c r="CM364" t="s">
        <v>97</v>
      </c>
      <c r="CN364" t="s">
        <v>97</v>
      </c>
      <c r="CO364" t="s">
        <v>97</v>
      </c>
      <c r="CP364" t="s">
        <v>97</v>
      </c>
      <c r="CQ364" t="s">
        <v>97</v>
      </c>
      <c r="CR364" t="s">
        <v>97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2</v>
      </c>
      <c r="DA364" t="s">
        <v>107</v>
      </c>
      <c r="DB364" t="s">
        <v>107</v>
      </c>
      <c r="DC364">
        <v>163</v>
      </c>
      <c r="DD364">
        <v>0</v>
      </c>
      <c r="DE364">
        <v>-5.2999999999999999E-2</v>
      </c>
      <c r="DF364">
        <v>69.900000000000006</v>
      </c>
      <c r="DG364">
        <v>6.8</v>
      </c>
    </row>
    <row r="365" spans="1:111" x14ac:dyDescent="0.2">
      <c r="A365">
        <v>2025</v>
      </c>
      <c r="B365" s="1">
        <v>45954</v>
      </c>
      <c r="C365" t="s">
        <v>95</v>
      </c>
      <c r="D365">
        <v>605483</v>
      </c>
      <c r="E365">
        <v>665926</v>
      </c>
      <c r="F365">
        <v>1</v>
      </c>
      <c r="G365">
        <v>1</v>
      </c>
      <c r="H365">
        <v>4</v>
      </c>
      <c r="I365" t="s">
        <v>163</v>
      </c>
      <c r="J365">
        <v>36</v>
      </c>
      <c r="K365">
        <v>3</v>
      </c>
      <c r="L365" t="s">
        <v>97</v>
      </c>
      <c r="M365" t="s">
        <v>138</v>
      </c>
      <c r="N365" t="s">
        <v>139</v>
      </c>
      <c r="O365">
        <f t="shared" si="80"/>
        <v>0</v>
      </c>
      <c r="P365">
        <f t="shared" si="81"/>
        <v>0</v>
      </c>
      <c r="Q365">
        <f t="shared" si="82"/>
        <v>0</v>
      </c>
      <c r="R365">
        <f t="shared" si="83"/>
        <v>0</v>
      </c>
      <c r="S365">
        <f t="shared" si="84"/>
        <v>0</v>
      </c>
      <c r="T365">
        <f t="shared" si="85"/>
        <v>0</v>
      </c>
      <c r="U365">
        <f t="shared" si="86"/>
        <v>0</v>
      </c>
      <c r="V365">
        <f t="shared" si="87"/>
        <v>0</v>
      </c>
      <c r="W365">
        <f t="shared" si="88"/>
        <v>0</v>
      </c>
      <c r="X365">
        <f t="shared" si="89"/>
        <v>0</v>
      </c>
      <c r="Y365">
        <f t="shared" si="90"/>
        <v>0</v>
      </c>
      <c r="Z365">
        <f t="shared" si="91"/>
        <v>0</v>
      </c>
      <c r="AA365">
        <f t="shared" si="92"/>
        <v>1</v>
      </c>
      <c r="AB365">
        <f t="shared" si="93"/>
        <v>0</v>
      </c>
      <c r="AC365">
        <f t="shared" si="94"/>
        <v>0</v>
      </c>
      <c r="AD365">
        <f t="shared" si="95"/>
        <v>0</v>
      </c>
      <c r="AE365">
        <v>89.3</v>
      </c>
      <c r="AF365">
        <v>2.0099999999999998</v>
      </c>
      <c r="AG365">
        <v>6.4</v>
      </c>
      <c r="AH365" t="s">
        <v>113</v>
      </c>
      <c r="AI365" t="s">
        <v>97</v>
      </c>
      <c r="AJ365" t="s">
        <v>97</v>
      </c>
      <c r="AK365" t="s">
        <v>97</v>
      </c>
      <c r="AL365" t="s">
        <v>97</v>
      </c>
      <c r="AM365">
        <v>13</v>
      </c>
      <c r="AN365" t="s">
        <v>114</v>
      </c>
      <c r="AO365" t="s">
        <v>213</v>
      </c>
      <c r="AP365" t="s">
        <v>103</v>
      </c>
      <c r="AQ365" t="s">
        <v>103</v>
      </c>
      <c r="AR365" t="s">
        <v>214</v>
      </c>
      <c r="AS365" t="s">
        <v>104</v>
      </c>
      <c r="AT365" t="s">
        <v>110</v>
      </c>
      <c r="AU365" t="s">
        <v>97</v>
      </c>
      <c r="AV365" t="s">
        <v>97</v>
      </c>
      <c r="AW365">
        <v>-0.16</v>
      </c>
      <c r="AX365">
        <v>0.63</v>
      </c>
      <c r="AY365">
        <v>-1.42</v>
      </c>
      <c r="AZ365">
        <v>1.36</v>
      </c>
      <c r="BA365" t="s">
        <v>97</v>
      </c>
      <c r="BB365" t="s">
        <v>97</v>
      </c>
      <c r="BC365" t="s">
        <v>97</v>
      </c>
      <c r="BD365">
        <v>2</v>
      </c>
      <c r="BE365" t="s">
        <v>97</v>
      </c>
      <c r="BF365" t="s">
        <v>97</v>
      </c>
      <c r="BG365" t="s">
        <v>97</v>
      </c>
      <c r="BH365" t="s">
        <v>97</v>
      </c>
      <c r="BI365">
        <v>669257</v>
      </c>
      <c r="BJ365">
        <v>669257</v>
      </c>
      <c r="BK365" t="s">
        <v>97</v>
      </c>
      <c r="BL365" t="s">
        <v>97</v>
      </c>
      <c r="BM365">
        <v>-8.1787742459999997</v>
      </c>
      <c r="BN365">
        <v>-129.5900857</v>
      </c>
      <c r="BO365">
        <v>-7.7438400139999999</v>
      </c>
      <c r="BP365">
        <v>-6.0483547999999998E-2</v>
      </c>
      <c r="BQ365">
        <v>27.61093442</v>
      </c>
      <c r="BR365">
        <v>-23.593691639999999</v>
      </c>
      <c r="BS365">
        <v>3.3</v>
      </c>
      <c r="BT365">
        <v>1.52</v>
      </c>
      <c r="BU365" t="s">
        <v>97</v>
      </c>
      <c r="BV365" t="s">
        <v>97</v>
      </c>
      <c r="BW365" t="s">
        <v>97</v>
      </c>
      <c r="BX365">
        <v>90</v>
      </c>
      <c r="BY365">
        <v>2384</v>
      </c>
      <c r="BZ365">
        <v>6.9</v>
      </c>
      <c r="CA365">
        <v>813027</v>
      </c>
      <c r="CB365">
        <v>669257</v>
      </c>
      <c r="CC365">
        <v>669257</v>
      </c>
      <c r="CD365">
        <v>518692</v>
      </c>
      <c r="CE365">
        <v>669242</v>
      </c>
      <c r="CF365">
        <v>571970</v>
      </c>
      <c r="CG365">
        <v>605141</v>
      </c>
      <c r="CH365">
        <v>571771</v>
      </c>
      <c r="CI365">
        <v>681624</v>
      </c>
      <c r="CJ365">
        <v>606192</v>
      </c>
      <c r="CK365">
        <v>53.6</v>
      </c>
      <c r="CL365" t="s">
        <v>97</v>
      </c>
      <c r="CM365" t="s">
        <v>97</v>
      </c>
      <c r="CN365" t="s">
        <v>97</v>
      </c>
      <c r="CO365" t="s">
        <v>97</v>
      </c>
      <c r="CP365" t="s">
        <v>97</v>
      </c>
      <c r="CQ365" t="s">
        <v>97</v>
      </c>
      <c r="CR365" t="s">
        <v>97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2</v>
      </c>
      <c r="DA365" t="s">
        <v>107</v>
      </c>
      <c r="DB365" t="s">
        <v>107</v>
      </c>
      <c r="DC365">
        <v>172</v>
      </c>
      <c r="DD365">
        <v>0</v>
      </c>
      <c r="DE365">
        <v>-6.2E-2</v>
      </c>
      <c r="DF365">
        <v>66.2</v>
      </c>
      <c r="DG365">
        <v>7.9</v>
      </c>
    </row>
    <row r="366" spans="1:111" x14ac:dyDescent="0.2">
      <c r="A366">
        <v>2025</v>
      </c>
      <c r="B366" s="1">
        <v>45954</v>
      </c>
      <c r="C366" t="s">
        <v>95</v>
      </c>
      <c r="D366">
        <v>605483</v>
      </c>
      <c r="E366">
        <v>665926</v>
      </c>
      <c r="F366">
        <v>1</v>
      </c>
      <c r="G366">
        <v>2</v>
      </c>
      <c r="H366">
        <v>4</v>
      </c>
      <c r="I366" t="s">
        <v>163</v>
      </c>
      <c r="J366">
        <v>36</v>
      </c>
      <c r="K366">
        <v>4</v>
      </c>
      <c r="L366" t="s">
        <v>97</v>
      </c>
      <c r="M366" t="s">
        <v>138</v>
      </c>
      <c r="N366" t="s">
        <v>139</v>
      </c>
      <c r="O366">
        <f t="shared" si="80"/>
        <v>0</v>
      </c>
      <c r="P366">
        <f t="shared" si="81"/>
        <v>0</v>
      </c>
      <c r="Q366">
        <f t="shared" si="82"/>
        <v>0</v>
      </c>
      <c r="R366">
        <f t="shared" si="83"/>
        <v>0</v>
      </c>
      <c r="S366">
        <f t="shared" si="84"/>
        <v>0</v>
      </c>
      <c r="T366">
        <f t="shared" si="85"/>
        <v>0</v>
      </c>
      <c r="U366">
        <f t="shared" si="86"/>
        <v>0</v>
      </c>
      <c r="V366">
        <f t="shared" si="87"/>
        <v>0</v>
      </c>
      <c r="W366">
        <f t="shared" si="88"/>
        <v>0</v>
      </c>
      <c r="X366">
        <f t="shared" si="89"/>
        <v>0</v>
      </c>
      <c r="Y366">
        <f t="shared" si="90"/>
        <v>0</v>
      </c>
      <c r="Z366">
        <f t="shared" si="91"/>
        <v>0</v>
      </c>
      <c r="AA366">
        <f t="shared" si="92"/>
        <v>1</v>
      </c>
      <c r="AB366">
        <f t="shared" si="93"/>
        <v>0</v>
      </c>
      <c r="AC366">
        <f t="shared" si="94"/>
        <v>0</v>
      </c>
      <c r="AD366">
        <f t="shared" si="95"/>
        <v>0</v>
      </c>
      <c r="AE366">
        <v>90.1</v>
      </c>
      <c r="AF366">
        <v>2.0499999999999998</v>
      </c>
      <c r="AG366">
        <v>6.42</v>
      </c>
      <c r="AH366" t="s">
        <v>100</v>
      </c>
      <c r="AI366" t="s">
        <v>97</v>
      </c>
      <c r="AJ366" t="s">
        <v>97</v>
      </c>
      <c r="AK366" t="s">
        <v>97</v>
      </c>
      <c r="AL366" t="s">
        <v>97</v>
      </c>
      <c r="AM366">
        <v>13</v>
      </c>
      <c r="AN366" t="s">
        <v>101</v>
      </c>
      <c r="AO366" t="s">
        <v>213</v>
      </c>
      <c r="AP366" t="s">
        <v>103</v>
      </c>
      <c r="AQ366" t="s">
        <v>103</v>
      </c>
      <c r="AR366" t="s">
        <v>214</v>
      </c>
      <c r="AS366" t="s">
        <v>104</v>
      </c>
      <c r="AT366" t="s">
        <v>106</v>
      </c>
      <c r="AU366" t="s">
        <v>97</v>
      </c>
      <c r="AV366" t="s">
        <v>97</v>
      </c>
      <c r="AW366">
        <v>-0.1</v>
      </c>
      <c r="AX366">
        <v>0.66</v>
      </c>
      <c r="AY366">
        <v>-0.96</v>
      </c>
      <c r="AZ366">
        <v>0.57999999999999996</v>
      </c>
      <c r="BA366" t="s">
        <v>97</v>
      </c>
      <c r="BB366" t="s">
        <v>97</v>
      </c>
      <c r="BC366" t="s">
        <v>97</v>
      </c>
      <c r="BD366">
        <v>2</v>
      </c>
      <c r="BE366" t="s">
        <v>97</v>
      </c>
      <c r="BF366" t="s">
        <v>97</v>
      </c>
      <c r="BG366" t="s">
        <v>97</v>
      </c>
      <c r="BH366" t="s">
        <v>97</v>
      </c>
      <c r="BI366">
        <v>669257</v>
      </c>
      <c r="BJ366">
        <v>669257</v>
      </c>
      <c r="BK366" t="s">
        <v>97</v>
      </c>
      <c r="BL366" t="s">
        <v>97</v>
      </c>
      <c r="BM366">
        <v>-7.2845806739999999</v>
      </c>
      <c r="BN366">
        <v>-130.66809119999999</v>
      </c>
      <c r="BO366">
        <v>-9.9482962750000006</v>
      </c>
      <c r="BP366">
        <v>0.41904139099999999</v>
      </c>
      <c r="BQ366">
        <v>28.044159010000001</v>
      </c>
      <c r="BR366">
        <v>-22.687552270000001</v>
      </c>
      <c r="BS366">
        <v>3.13</v>
      </c>
      <c r="BT366">
        <v>1.43</v>
      </c>
      <c r="BU366" t="s">
        <v>97</v>
      </c>
      <c r="BV366" t="s">
        <v>97</v>
      </c>
      <c r="BW366" t="s">
        <v>97</v>
      </c>
      <c r="BX366">
        <v>90.5</v>
      </c>
      <c r="BY366">
        <v>2395</v>
      </c>
      <c r="BZ366">
        <v>6.7</v>
      </c>
      <c r="CA366">
        <v>813027</v>
      </c>
      <c r="CB366">
        <v>669257</v>
      </c>
      <c r="CC366">
        <v>669257</v>
      </c>
      <c r="CD366">
        <v>518692</v>
      </c>
      <c r="CE366">
        <v>669242</v>
      </c>
      <c r="CF366">
        <v>571970</v>
      </c>
      <c r="CG366">
        <v>605141</v>
      </c>
      <c r="CH366">
        <v>571771</v>
      </c>
      <c r="CI366">
        <v>681624</v>
      </c>
      <c r="CJ366">
        <v>606192</v>
      </c>
      <c r="CK366">
        <v>53.76</v>
      </c>
      <c r="CL366" t="s">
        <v>97</v>
      </c>
      <c r="CM366" t="s">
        <v>97</v>
      </c>
      <c r="CN366" t="s">
        <v>97</v>
      </c>
      <c r="CO366" t="s">
        <v>97</v>
      </c>
      <c r="CP366" t="s">
        <v>97</v>
      </c>
      <c r="CQ366" t="s">
        <v>97</v>
      </c>
      <c r="CR366" t="s">
        <v>97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2</v>
      </c>
      <c r="DA366" t="s">
        <v>107</v>
      </c>
      <c r="DB366" t="s">
        <v>107</v>
      </c>
      <c r="DC366">
        <v>157</v>
      </c>
      <c r="DD366">
        <v>0</v>
      </c>
      <c r="DE366">
        <v>4.2000000000000003E-2</v>
      </c>
      <c r="DF366" t="s">
        <v>97</v>
      </c>
      <c r="DG366" t="s">
        <v>97</v>
      </c>
    </row>
    <row r="367" spans="1:111" x14ac:dyDescent="0.2">
      <c r="A367">
        <v>2025</v>
      </c>
      <c r="B367" s="1">
        <v>45954</v>
      </c>
      <c r="C367" t="s">
        <v>95</v>
      </c>
      <c r="D367">
        <v>605483</v>
      </c>
      <c r="E367">
        <v>665926</v>
      </c>
      <c r="F367">
        <v>2</v>
      </c>
      <c r="G367">
        <v>2</v>
      </c>
      <c r="H367">
        <v>4</v>
      </c>
      <c r="I367" t="s">
        <v>163</v>
      </c>
      <c r="J367">
        <v>36</v>
      </c>
      <c r="K367">
        <v>5</v>
      </c>
      <c r="L367" t="s">
        <v>116</v>
      </c>
      <c r="M367" t="s">
        <v>138</v>
      </c>
      <c r="N367" t="s">
        <v>139</v>
      </c>
      <c r="O367">
        <f t="shared" si="80"/>
        <v>0</v>
      </c>
      <c r="P367">
        <f t="shared" si="81"/>
        <v>0</v>
      </c>
      <c r="Q367">
        <f t="shared" si="82"/>
        <v>0</v>
      </c>
      <c r="R367">
        <f t="shared" si="83"/>
        <v>0</v>
      </c>
      <c r="S367">
        <f t="shared" si="84"/>
        <v>0</v>
      </c>
      <c r="T367">
        <f t="shared" si="85"/>
        <v>0</v>
      </c>
      <c r="U367">
        <f t="shared" si="86"/>
        <v>0</v>
      </c>
      <c r="V367">
        <f t="shared" si="87"/>
        <v>0</v>
      </c>
      <c r="W367">
        <f t="shared" si="88"/>
        <v>0</v>
      </c>
      <c r="X367">
        <f t="shared" si="89"/>
        <v>0</v>
      </c>
      <c r="Y367">
        <f t="shared" si="90"/>
        <v>0</v>
      </c>
      <c r="Z367">
        <f t="shared" si="91"/>
        <v>0</v>
      </c>
      <c r="AA367">
        <f t="shared" si="92"/>
        <v>0</v>
      </c>
      <c r="AB367">
        <f t="shared" si="93"/>
        <v>0</v>
      </c>
      <c r="AC367">
        <f t="shared" si="94"/>
        <v>0</v>
      </c>
      <c r="AD367">
        <f t="shared" si="95"/>
        <v>1</v>
      </c>
      <c r="AE367">
        <v>91.2</v>
      </c>
      <c r="AF367">
        <v>2</v>
      </c>
      <c r="AG367">
        <v>6.39</v>
      </c>
      <c r="AH367" t="s">
        <v>108</v>
      </c>
      <c r="AI367" t="s">
        <v>97</v>
      </c>
      <c r="AJ367" t="s">
        <v>97</v>
      </c>
      <c r="AK367" t="s">
        <v>97</v>
      </c>
      <c r="AL367" t="s">
        <v>97</v>
      </c>
      <c r="AM367">
        <v>7</v>
      </c>
      <c r="AN367" t="s">
        <v>235</v>
      </c>
      <c r="AO367" t="s">
        <v>213</v>
      </c>
      <c r="AP367" t="s">
        <v>103</v>
      </c>
      <c r="AQ367" t="s">
        <v>103</v>
      </c>
      <c r="AR367" t="s">
        <v>214</v>
      </c>
      <c r="AS367" t="s">
        <v>104</v>
      </c>
      <c r="AT367" t="s">
        <v>110</v>
      </c>
      <c r="AU367">
        <v>2</v>
      </c>
      <c r="AV367" t="s">
        <v>97</v>
      </c>
      <c r="AW367">
        <v>0.1</v>
      </c>
      <c r="AX367">
        <v>0.69</v>
      </c>
      <c r="AY367">
        <v>-0.64</v>
      </c>
      <c r="AZ367">
        <v>1.73</v>
      </c>
      <c r="BA367" t="s">
        <v>97</v>
      </c>
      <c r="BB367" t="s">
        <v>97</v>
      </c>
      <c r="BC367" t="s">
        <v>97</v>
      </c>
      <c r="BD367">
        <v>2</v>
      </c>
      <c r="BE367" t="s">
        <v>97</v>
      </c>
      <c r="BF367" t="s">
        <v>97</v>
      </c>
      <c r="BG367" t="s">
        <v>97</v>
      </c>
      <c r="BH367" t="s">
        <v>97</v>
      </c>
      <c r="BI367">
        <v>669257</v>
      </c>
      <c r="BJ367">
        <v>669257</v>
      </c>
      <c r="BK367" t="s">
        <v>97</v>
      </c>
      <c r="BL367" t="s">
        <v>97</v>
      </c>
      <c r="BM367">
        <v>-6.8774557999999999</v>
      </c>
      <c r="BN367">
        <v>-132.50325309999999</v>
      </c>
      <c r="BO367">
        <v>-7.2906844770000001</v>
      </c>
      <c r="BP367">
        <v>2.7673371439999999</v>
      </c>
      <c r="BQ367">
        <v>30.653739080000001</v>
      </c>
      <c r="BR367">
        <v>-22.5901341</v>
      </c>
      <c r="BS367">
        <v>3.13</v>
      </c>
      <c r="BT367">
        <v>1.43</v>
      </c>
      <c r="BU367" t="s">
        <v>97</v>
      </c>
      <c r="BV367" t="s">
        <v>97</v>
      </c>
      <c r="BW367" t="s">
        <v>97</v>
      </c>
      <c r="BX367">
        <v>91.5</v>
      </c>
      <c r="BY367">
        <v>2307</v>
      </c>
      <c r="BZ367">
        <v>6.7</v>
      </c>
      <c r="CA367">
        <v>813027</v>
      </c>
      <c r="CB367">
        <v>669257</v>
      </c>
      <c r="CC367">
        <v>669257</v>
      </c>
      <c r="CD367">
        <v>518692</v>
      </c>
      <c r="CE367">
        <v>669242</v>
      </c>
      <c r="CF367">
        <v>571970</v>
      </c>
      <c r="CG367">
        <v>605141</v>
      </c>
      <c r="CH367">
        <v>571771</v>
      </c>
      <c r="CI367">
        <v>681624</v>
      </c>
      <c r="CJ367">
        <v>606192</v>
      </c>
      <c r="CK367">
        <v>53.78</v>
      </c>
      <c r="CL367" t="s">
        <v>97</v>
      </c>
      <c r="CM367">
        <v>0</v>
      </c>
      <c r="CN367">
        <v>0</v>
      </c>
      <c r="CO367">
        <v>1</v>
      </c>
      <c r="CP367">
        <v>0</v>
      </c>
      <c r="CQ367">
        <v>0</v>
      </c>
      <c r="CR367" t="s">
        <v>97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2</v>
      </c>
      <c r="DA367" t="s">
        <v>107</v>
      </c>
      <c r="DB367" t="s">
        <v>107</v>
      </c>
      <c r="DC367">
        <v>162</v>
      </c>
      <c r="DD367">
        <v>-1.2999999999999999E-2</v>
      </c>
      <c r="DE367">
        <v>-0.224</v>
      </c>
      <c r="DF367" t="s">
        <v>97</v>
      </c>
      <c r="DG367" t="s">
        <v>97</v>
      </c>
    </row>
    <row r="368" spans="1:111" x14ac:dyDescent="0.2">
      <c r="A368">
        <v>2025</v>
      </c>
      <c r="B368" s="1">
        <v>45954</v>
      </c>
      <c r="C368" t="s">
        <v>95</v>
      </c>
      <c r="D368">
        <v>605483</v>
      </c>
      <c r="E368">
        <v>543807</v>
      </c>
      <c r="F368">
        <v>0</v>
      </c>
      <c r="G368">
        <v>0</v>
      </c>
      <c r="H368">
        <v>5</v>
      </c>
      <c r="I368" t="s">
        <v>163</v>
      </c>
      <c r="J368">
        <v>41</v>
      </c>
      <c r="K368">
        <v>1</v>
      </c>
      <c r="L368" t="s">
        <v>97</v>
      </c>
      <c r="M368" t="s">
        <v>132</v>
      </c>
      <c r="N368" t="s">
        <v>133</v>
      </c>
      <c r="O368">
        <f t="shared" si="80"/>
        <v>0</v>
      </c>
      <c r="P368">
        <f t="shared" si="81"/>
        <v>0</v>
      </c>
      <c r="Q368">
        <f t="shared" si="82"/>
        <v>0</v>
      </c>
      <c r="R368">
        <f t="shared" si="83"/>
        <v>0</v>
      </c>
      <c r="S368">
        <f t="shared" si="84"/>
        <v>0</v>
      </c>
      <c r="T368">
        <f t="shared" si="85"/>
        <v>0</v>
      </c>
      <c r="U368">
        <f t="shared" si="86"/>
        <v>0</v>
      </c>
      <c r="V368">
        <f t="shared" si="87"/>
        <v>0</v>
      </c>
      <c r="W368">
        <f t="shared" si="88"/>
        <v>1</v>
      </c>
      <c r="X368">
        <f t="shared" si="89"/>
        <v>0</v>
      </c>
      <c r="Y368">
        <f t="shared" si="90"/>
        <v>0</v>
      </c>
      <c r="Z368">
        <f t="shared" si="91"/>
        <v>0</v>
      </c>
      <c r="AA368">
        <f t="shared" si="92"/>
        <v>0</v>
      </c>
      <c r="AB368">
        <f t="shared" si="93"/>
        <v>0</v>
      </c>
      <c r="AC368">
        <f t="shared" si="94"/>
        <v>0</v>
      </c>
      <c r="AD368">
        <f t="shared" si="95"/>
        <v>0</v>
      </c>
      <c r="AE368">
        <v>87.6</v>
      </c>
      <c r="AF368">
        <v>2.2000000000000002</v>
      </c>
      <c r="AG368">
        <v>6.3</v>
      </c>
      <c r="AH368" t="s">
        <v>100</v>
      </c>
      <c r="AI368" t="s">
        <v>97</v>
      </c>
      <c r="AJ368" t="s">
        <v>97</v>
      </c>
      <c r="AK368" t="s">
        <v>97</v>
      </c>
      <c r="AL368" t="s">
        <v>97</v>
      </c>
      <c r="AM368">
        <v>14</v>
      </c>
      <c r="AN368" t="s">
        <v>101</v>
      </c>
      <c r="AO368" t="s">
        <v>213</v>
      </c>
      <c r="AP368" t="s">
        <v>122</v>
      </c>
      <c r="AQ368" t="s">
        <v>103</v>
      </c>
      <c r="AR368" t="s">
        <v>214</v>
      </c>
      <c r="AS368" t="s">
        <v>104</v>
      </c>
      <c r="AT368" t="s">
        <v>106</v>
      </c>
      <c r="AU368" t="s">
        <v>97</v>
      </c>
      <c r="AV368" t="s">
        <v>97</v>
      </c>
      <c r="AW368">
        <v>1.22</v>
      </c>
      <c r="AX368">
        <v>1.1399999999999999</v>
      </c>
      <c r="AY368">
        <v>0.8</v>
      </c>
      <c r="AZ368">
        <v>1.36</v>
      </c>
      <c r="BA368" t="s">
        <v>97</v>
      </c>
      <c r="BB368" t="s">
        <v>97</v>
      </c>
      <c r="BC368" t="s">
        <v>97</v>
      </c>
      <c r="BD368">
        <v>0</v>
      </c>
      <c r="BE368" t="s">
        <v>97</v>
      </c>
      <c r="BF368" t="s">
        <v>97</v>
      </c>
      <c r="BG368" t="s">
        <v>97</v>
      </c>
      <c r="BH368" t="s">
        <v>97</v>
      </c>
      <c r="BI368">
        <v>669257</v>
      </c>
      <c r="BJ368">
        <v>669257</v>
      </c>
      <c r="BK368" t="s">
        <v>97</v>
      </c>
      <c r="BL368" t="s">
        <v>97</v>
      </c>
      <c r="BM368">
        <v>-5.9563140519999997</v>
      </c>
      <c r="BN368">
        <v>-127.1952531</v>
      </c>
      <c r="BO368">
        <v>-8.1617140740000007</v>
      </c>
      <c r="BP368">
        <v>14.44632367</v>
      </c>
      <c r="BQ368">
        <v>27.420358709999999</v>
      </c>
      <c r="BR368">
        <v>-18.235288050000001</v>
      </c>
      <c r="BS368">
        <v>3.47</v>
      </c>
      <c r="BT368">
        <v>1.51</v>
      </c>
      <c r="BU368" t="s">
        <v>97</v>
      </c>
      <c r="BV368" t="s">
        <v>97</v>
      </c>
      <c r="BW368" t="s">
        <v>97</v>
      </c>
      <c r="BX368">
        <v>88.2</v>
      </c>
      <c r="BY368">
        <v>2037</v>
      </c>
      <c r="BZ368">
        <v>6.9</v>
      </c>
      <c r="CA368">
        <v>813027</v>
      </c>
      <c r="CB368">
        <v>669257</v>
      </c>
      <c r="CC368">
        <v>669257</v>
      </c>
      <c r="CD368">
        <v>518692</v>
      </c>
      <c r="CE368">
        <v>669242</v>
      </c>
      <c r="CF368">
        <v>571970</v>
      </c>
      <c r="CG368">
        <v>605141</v>
      </c>
      <c r="CH368">
        <v>571771</v>
      </c>
      <c r="CI368">
        <v>681624</v>
      </c>
      <c r="CJ368">
        <v>606192</v>
      </c>
      <c r="CK368">
        <v>53.59</v>
      </c>
      <c r="CL368" t="s">
        <v>97</v>
      </c>
      <c r="CM368" t="s">
        <v>97</v>
      </c>
      <c r="CN368" t="s">
        <v>97</v>
      </c>
      <c r="CO368" t="s">
        <v>97</v>
      </c>
      <c r="CP368" t="s">
        <v>97</v>
      </c>
      <c r="CQ368" t="s">
        <v>97</v>
      </c>
      <c r="CR368" t="s">
        <v>97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2</v>
      </c>
      <c r="DA368" t="s">
        <v>107</v>
      </c>
      <c r="DB368" t="s">
        <v>107</v>
      </c>
      <c r="DC368">
        <v>127</v>
      </c>
      <c r="DD368">
        <v>0</v>
      </c>
      <c r="DE368">
        <v>4.1000000000000002E-2</v>
      </c>
      <c r="DF368" t="s">
        <v>97</v>
      </c>
      <c r="DG368" t="s">
        <v>97</v>
      </c>
    </row>
    <row r="369" spans="1:111" x14ac:dyDescent="0.2">
      <c r="A369">
        <v>2025</v>
      </c>
      <c r="B369" s="1">
        <v>45954</v>
      </c>
      <c r="C369" t="s">
        <v>95</v>
      </c>
      <c r="D369">
        <v>605483</v>
      </c>
      <c r="E369">
        <v>543807</v>
      </c>
      <c r="F369">
        <v>1</v>
      </c>
      <c r="G369">
        <v>0</v>
      </c>
      <c r="H369">
        <v>5</v>
      </c>
      <c r="I369" t="s">
        <v>163</v>
      </c>
      <c r="J369">
        <v>41</v>
      </c>
      <c r="K369">
        <v>2</v>
      </c>
      <c r="L369" t="s">
        <v>155</v>
      </c>
      <c r="M369" t="s">
        <v>132</v>
      </c>
      <c r="N369" t="s">
        <v>133</v>
      </c>
      <c r="O369">
        <f t="shared" si="80"/>
        <v>0</v>
      </c>
      <c r="P369">
        <f t="shared" si="81"/>
        <v>0</v>
      </c>
      <c r="Q369">
        <f t="shared" si="82"/>
        <v>0</v>
      </c>
      <c r="R369">
        <f t="shared" si="83"/>
        <v>0</v>
      </c>
      <c r="S369">
        <f t="shared" si="84"/>
        <v>0</v>
      </c>
      <c r="T369">
        <f t="shared" si="85"/>
        <v>0</v>
      </c>
      <c r="U369">
        <f t="shared" si="86"/>
        <v>0</v>
      </c>
      <c r="V369">
        <f t="shared" si="87"/>
        <v>0</v>
      </c>
      <c r="W369">
        <f t="shared" si="88"/>
        <v>0</v>
      </c>
      <c r="X369">
        <f t="shared" si="89"/>
        <v>0</v>
      </c>
      <c r="Y369">
        <f t="shared" si="90"/>
        <v>1</v>
      </c>
      <c r="Z369">
        <f t="shared" si="91"/>
        <v>0</v>
      </c>
      <c r="AA369">
        <f t="shared" si="92"/>
        <v>0</v>
      </c>
      <c r="AB369">
        <f t="shared" si="93"/>
        <v>0</v>
      </c>
      <c r="AC369">
        <f t="shared" si="94"/>
        <v>0</v>
      </c>
      <c r="AD369">
        <f t="shared" si="95"/>
        <v>0</v>
      </c>
      <c r="AE369">
        <v>87.9</v>
      </c>
      <c r="AF369">
        <v>2.39</v>
      </c>
      <c r="AG369">
        <v>6.32</v>
      </c>
      <c r="AH369" t="s">
        <v>120</v>
      </c>
      <c r="AI369" t="s">
        <v>97</v>
      </c>
      <c r="AJ369" t="s">
        <v>97</v>
      </c>
      <c r="AK369" t="s">
        <v>97</v>
      </c>
      <c r="AL369" t="s">
        <v>97</v>
      </c>
      <c r="AM369">
        <v>9</v>
      </c>
      <c r="AN369" t="s">
        <v>236</v>
      </c>
      <c r="AO369" t="s">
        <v>213</v>
      </c>
      <c r="AP369" t="s">
        <v>122</v>
      </c>
      <c r="AQ369" t="s">
        <v>103</v>
      </c>
      <c r="AR369" t="s">
        <v>214</v>
      </c>
      <c r="AS369" t="s">
        <v>104</v>
      </c>
      <c r="AT369" t="s">
        <v>123</v>
      </c>
      <c r="AU369">
        <v>7</v>
      </c>
      <c r="AV369" t="s">
        <v>158</v>
      </c>
      <c r="AW369">
        <v>1.1599999999999999</v>
      </c>
      <c r="AX369">
        <v>1.1299999999999999</v>
      </c>
      <c r="AY369">
        <v>0.45</v>
      </c>
      <c r="AZ369">
        <v>2.2000000000000002</v>
      </c>
      <c r="BA369" t="s">
        <v>97</v>
      </c>
      <c r="BB369" t="s">
        <v>97</v>
      </c>
      <c r="BC369" t="s">
        <v>97</v>
      </c>
      <c r="BD369">
        <v>0</v>
      </c>
      <c r="BE369">
        <v>82.62</v>
      </c>
      <c r="BF369">
        <v>104.95</v>
      </c>
      <c r="BG369" t="s">
        <v>97</v>
      </c>
      <c r="BH369" t="s">
        <v>97</v>
      </c>
      <c r="BI369">
        <v>669257</v>
      </c>
      <c r="BJ369">
        <v>669257</v>
      </c>
      <c r="BK369" t="s">
        <v>97</v>
      </c>
      <c r="BL369" t="s">
        <v>97</v>
      </c>
      <c r="BM369">
        <v>-7.1719067279999997</v>
      </c>
      <c r="BN369">
        <v>-127.6661575</v>
      </c>
      <c r="BO369">
        <v>-6.2173565269999997</v>
      </c>
      <c r="BP369">
        <v>14.145857919999999</v>
      </c>
      <c r="BQ369">
        <v>27.206990220000002</v>
      </c>
      <c r="BR369">
        <v>-18.732716029999999</v>
      </c>
      <c r="BS369">
        <v>3.55</v>
      </c>
      <c r="BT369">
        <v>1.64</v>
      </c>
      <c r="BU369">
        <v>214</v>
      </c>
      <c r="BV369">
        <v>80.7</v>
      </c>
      <c r="BW369">
        <v>20</v>
      </c>
      <c r="BX369">
        <v>88.5</v>
      </c>
      <c r="BY369">
        <v>2054</v>
      </c>
      <c r="BZ369">
        <v>6.8</v>
      </c>
      <c r="CA369">
        <v>813027</v>
      </c>
      <c r="CB369">
        <v>669257</v>
      </c>
      <c r="CC369">
        <v>669257</v>
      </c>
      <c r="CD369">
        <v>518692</v>
      </c>
      <c r="CE369">
        <v>669242</v>
      </c>
      <c r="CF369">
        <v>571970</v>
      </c>
      <c r="CG369">
        <v>605141</v>
      </c>
      <c r="CH369">
        <v>571771</v>
      </c>
      <c r="CI369">
        <v>681624</v>
      </c>
      <c r="CJ369">
        <v>606192</v>
      </c>
      <c r="CK369">
        <v>53.66</v>
      </c>
      <c r="CL369">
        <v>0.91700000000000004</v>
      </c>
      <c r="CM369">
        <v>0.84299999999999997</v>
      </c>
      <c r="CN369">
        <v>0.9</v>
      </c>
      <c r="CO369">
        <v>1</v>
      </c>
      <c r="CP369">
        <v>1</v>
      </c>
      <c r="CQ369">
        <v>0</v>
      </c>
      <c r="CR369">
        <v>4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 t="s">
        <v>107</v>
      </c>
      <c r="DB369" t="s">
        <v>107</v>
      </c>
      <c r="DC369">
        <v>131</v>
      </c>
      <c r="DD369">
        <v>4.7E-2</v>
      </c>
      <c r="DE369">
        <v>0.39700000000000002</v>
      </c>
      <c r="DF369">
        <v>79.3</v>
      </c>
      <c r="DG369">
        <v>8</v>
      </c>
    </row>
    <row r="370" spans="1:111" x14ac:dyDescent="0.2">
      <c r="A370">
        <v>2025</v>
      </c>
      <c r="B370" s="1">
        <v>45954</v>
      </c>
      <c r="C370" t="s">
        <v>95</v>
      </c>
      <c r="D370">
        <v>605483</v>
      </c>
      <c r="E370">
        <v>676914</v>
      </c>
      <c r="F370">
        <v>0</v>
      </c>
      <c r="G370">
        <v>0</v>
      </c>
      <c r="H370">
        <v>5</v>
      </c>
      <c r="I370" t="s">
        <v>163</v>
      </c>
      <c r="J370">
        <v>42</v>
      </c>
      <c r="K370">
        <v>1</v>
      </c>
      <c r="L370" t="s">
        <v>97</v>
      </c>
      <c r="M370" t="s">
        <v>111</v>
      </c>
      <c r="N370" t="s">
        <v>112</v>
      </c>
      <c r="O370">
        <f t="shared" si="80"/>
        <v>0</v>
      </c>
      <c r="P370">
        <f t="shared" si="81"/>
        <v>0</v>
      </c>
      <c r="Q370">
        <f t="shared" si="82"/>
        <v>0</v>
      </c>
      <c r="R370">
        <f t="shared" si="83"/>
        <v>0</v>
      </c>
      <c r="S370">
        <f t="shared" si="84"/>
        <v>0</v>
      </c>
      <c r="T370">
        <f t="shared" si="85"/>
        <v>0</v>
      </c>
      <c r="U370">
        <f t="shared" si="86"/>
        <v>1</v>
      </c>
      <c r="V370">
        <f t="shared" si="87"/>
        <v>0</v>
      </c>
      <c r="W370">
        <f t="shared" si="88"/>
        <v>0</v>
      </c>
      <c r="X370">
        <f t="shared" si="89"/>
        <v>0</v>
      </c>
      <c r="Y370">
        <f t="shared" si="90"/>
        <v>0</v>
      </c>
      <c r="Z370">
        <f t="shared" si="91"/>
        <v>0</v>
      </c>
      <c r="AA370">
        <f t="shared" si="92"/>
        <v>0</v>
      </c>
      <c r="AB370">
        <f t="shared" si="93"/>
        <v>0</v>
      </c>
      <c r="AC370">
        <f t="shared" si="94"/>
        <v>0</v>
      </c>
      <c r="AD370">
        <f t="shared" si="95"/>
        <v>0</v>
      </c>
      <c r="AE370">
        <v>80.400000000000006</v>
      </c>
      <c r="AF370">
        <v>1.98</v>
      </c>
      <c r="AG370">
        <v>6.48</v>
      </c>
      <c r="AH370" t="s">
        <v>140</v>
      </c>
      <c r="AI370" t="s">
        <v>97</v>
      </c>
      <c r="AJ370" t="s">
        <v>97</v>
      </c>
      <c r="AK370" t="s">
        <v>97</v>
      </c>
      <c r="AL370" t="s">
        <v>97</v>
      </c>
      <c r="AM370">
        <v>13</v>
      </c>
      <c r="AN370" t="s">
        <v>141</v>
      </c>
      <c r="AO370" t="s">
        <v>213</v>
      </c>
      <c r="AP370" t="s">
        <v>122</v>
      </c>
      <c r="AQ370" t="s">
        <v>103</v>
      </c>
      <c r="AR370" t="s">
        <v>214</v>
      </c>
      <c r="AS370" t="s">
        <v>104</v>
      </c>
      <c r="AT370" t="s">
        <v>106</v>
      </c>
      <c r="AU370" t="s">
        <v>97</v>
      </c>
      <c r="AV370" t="s">
        <v>97</v>
      </c>
      <c r="AW370">
        <v>-0.68</v>
      </c>
      <c r="AX370">
        <v>-0.54</v>
      </c>
      <c r="AY370">
        <v>-0.21</v>
      </c>
      <c r="AZ370">
        <v>1.31</v>
      </c>
      <c r="BA370" t="s">
        <v>97</v>
      </c>
      <c r="BB370" t="s">
        <v>97</v>
      </c>
      <c r="BC370">
        <v>543807</v>
      </c>
      <c r="BD370">
        <v>0</v>
      </c>
      <c r="BE370" t="s">
        <v>97</v>
      </c>
      <c r="BF370" t="s">
        <v>97</v>
      </c>
      <c r="BG370" t="s">
        <v>97</v>
      </c>
      <c r="BH370" t="s">
        <v>97</v>
      </c>
      <c r="BI370">
        <v>669257</v>
      </c>
      <c r="BJ370">
        <v>669257</v>
      </c>
      <c r="BK370" t="s">
        <v>97</v>
      </c>
      <c r="BL370" t="s">
        <v>97</v>
      </c>
      <c r="BM370">
        <v>-3.5960448700000001</v>
      </c>
      <c r="BN370">
        <v>-116.95111780000001</v>
      </c>
      <c r="BO370">
        <v>-3.7048523430000002</v>
      </c>
      <c r="BP370">
        <v>-5.3999780570000002</v>
      </c>
      <c r="BQ370">
        <v>24.5219764</v>
      </c>
      <c r="BR370">
        <v>-36.519623969999998</v>
      </c>
      <c r="BS370">
        <v>3.04</v>
      </c>
      <c r="BT370">
        <v>1.44</v>
      </c>
      <c r="BU370" t="s">
        <v>97</v>
      </c>
      <c r="BV370" t="s">
        <v>97</v>
      </c>
      <c r="BW370" t="s">
        <v>97</v>
      </c>
      <c r="BX370">
        <v>80.7</v>
      </c>
      <c r="BY370">
        <v>2547</v>
      </c>
      <c r="BZ370">
        <v>6.8</v>
      </c>
      <c r="CA370">
        <v>813027</v>
      </c>
      <c r="CB370">
        <v>669257</v>
      </c>
      <c r="CC370">
        <v>669257</v>
      </c>
      <c r="CD370">
        <v>518692</v>
      </c>
      <c r="CE370">
        <v>669242</v>
      </c>
      <c r="CF370">
        <v>571970</v>
      </c>
      <c r="CG370">
        <v>605141</v>
      </c>
      <c r="CH370">
        <v>571771</v>
      </c>
      <c r="CI370">
        <v>681624</v>
      </c>
      <c r="CJ370">
        <v>606192</v>
      </c>
      <c r="CK370">
        <v>53.74</v>
      </c>
      <c r="CL370" t="s">
        <v>97</v>
      </c>
      <c r="CM370" t="s">
        <v>97</v>
      </c>
      <c r="CN370" t="s">
        <v>97</v>
      </c>
      <c r="CO370" t="s">
        <v>97</v>
      </c>
      <c r="CP370" t="s">
        <v>97</v>
      </c>
      <c r="CQ370" t="s">
        <v>97</v>
      </c>
      <c r="CR370" t="s">
        <v>97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2</v>
      </c>
      <c r="DA370" t="s">
        <v>107</v>
      </c>
      <c r="DB370" t="s">
        <v>107</v>
      </c>
      <c r="DC370">
        <v>326</v>
      </c>
      <c r="DD370">
        <v>0</v>
      </c>
      <c r="DE370">
        <v>0.04</v>
      </c>
      <c r="DF370" t="s">
        <v>97</v>
      </c>
      <c r="DG370" t="s">
        <v>97</v>
      </c>
    </row>
    <row r="371" spans="1:111" x14ac:dyDescent="0.2">
      <c r="A371">
        <v>2025</v>
      </c>
      <c r="B371" s="1">
        <v>45954</v>
      </c>
      <c r="C371" t="s">
        <v>95</v>
      </c>
      <c r="D371">
        <v>605483</v>
      </c>
      <c r="E371">
        <v>676914</v>
      </c>
      <c r="F371">
        <v>1</v>
      </c>
      <c r="G371">
        <v>0</v>
      </c>
      <c r="H371">
        <v>5</v>
      </c>
      <c r="I371" t="s">
        <v>163</v>
      </c>
      <c r="J371">
        <v>42</v>
      </c>
      <c r="K371">
        <v>2</v>
      </c>
      <c r="L371" t="s">
        <v>97</v>
      </c>
      <c r="M371" t="s">
        <v>132</v>
      </c>
      <c r="N371" t="s">
        <v>133</v>
      </c>
      <c r="O371">
        <f t="shared" si="80"/>
        <v>0</v>
      </c>
      <c r="P371">
        <f t="shared" si="81"/>
        <v>0</v>
      </c>
      <c r="Q371">
        <f t="shared" si="82"/>
        <v>0</v>
      </c>
      <c r="R371">
        <f t="shared" si="83"/>
        <v>0</v>
      </c>
      <c r="S371">
        <f t="shared" si="84"/>
        <v>0</v>
      </c>
      <c r="T371">
        <f t="shared" si="85"/>
        <v>0</v>
      </c>
      <c r="U371">
        <f t="shared" si="86"/>
        <v>0</v>
      </c>
      <c r="V371">
        <f t="shared" si="87"/>
        <v>0</v>
      </c>
      <c r="W371">
        <f t="shared" si="88"/>
        <v>0</v>
      </c>
      <c r="X371">
        <f t="shared" si="89"/>
        <v>0</v>
      </c>
      <c r="Y371">
        <f t="shared" si="90"/>
        <v>1</v>
      </c>
      <c r="Z371">
        <f t="shared" si="91"/>
        <v>0</v>
      </c>
      <c r="AA371">
        <f t="shared" si="92"/>
        <v>0</v>
      </c>
      <c r="AB371">
        <f t="shared" si="93"/>
        <v>0</v>
      </c>
      <c r="AC371">
        <f t="shared" si="94"/>
        <v>0</v>
      </c>
      <c r="AD371">
        <f t="shared" si="95"/>
        <v>0</v>
      </c>
      <c r="AE371">
        <v>85.8</v>
      </c>
      <c r="AF371">
        <v>2.2000000000000002</v>
      </c>
      <c r="AG371">
        <v>6.29</v>
      </c>
      <c r="AH371" t="s">
        <v>108</v>
      </c>
      <c r="AI371" t="s">
        <v>97</v>
      </c>
      <c r="AJ371" t="s">
        <v>97</v>
      </c>
      <c r="AK371" t="s">
        <v>97</v>
      </c>
      <c r="AL371" t="s">
        <v>97</v>
      </c>
      <c r="AM371">
        <v>8</v>
      </c>
      <c r="AN371" t="s">
        <v>109</v>
      </c>
      <c r="AO371" t="s">
        <v>213</v>
      </c>
      <c r="AP371" t="s">
        <v>122</v>
      </c>
      <c r="AQ371" t="s">
        <v>103</v>
      </c>
      <c r="AR371" t="s">
        <v>214</v>
      </c>
      <c r="AS371" t="s">
        <v>104</v>
      </c>
      <c r="AT371" t="s">
        <v>110</v>
      </c>
      <c r="AU371" t="s">
        <v>97</v>
      </c>
      <c r="AV371" t="s">
        <v>97</v>
      </c>
      <c r="AW371">
        <v>1.33</v>
      </c>
      <c r="AX371">
        <v>0.74</v>
      </c>
      <c r="AY371">
        <v>-0.03</v>
      </c>
      <c r="AZ371">
        <v>1.95</v>
      </c>
      <c r="BA371" t="s">
        <v>97</v>
      </c>
      <c r="BB371" t="s">
        <v>97</v>
      </c>
      <c r="BC371">
        <v>543807</v>
      </c>
      <c r="BD371">
        <v>0</v>
      </c>
      <c r="BE371" t="s">
        <v>97</v>
      </c>
      <c r="BF371" t="s">
        <v>97</v>
      </c>
      <c r="BG371" t="s">
        <v>97</v>
      </c>
      <c r="BH371" t="s">
        <v>97</v>
      </c>
      <c r="BI371">
        <v>669257</v>
      </c>
      <c r="BJ371">
        <v>669257</v>
      </c>
      <c r="BK371" t="s">
        <v>97</v>
      </c>
      <c r="BL371" t="s">
        <v>97</v>
      </c>
      <c r="BM371">
        <v>-8.056577656</v>
      </c>
      <c r="BN371">
        <v>-124.5379903</v>
      </c>
      <c r="BO371">
        <v>-5.4883117500000003</v>
      </c>
      <c r="BP371">
        <v>15.535522719999999</v>
      </c>
      <c r="BQ371">
        <v>26.422659939999999</v>
      </c>
      <c r="BR371">
        <v>-23.564820189999999</v>
      </c>
      <c r="BS371">
        <v>3.15</v>
      </c>
      <c r="BT371">
        <v>1.5</v>
      </c>
      <c r="BU371" t="s">
        <v>97</v>
      </c>
      <c r="BV371" t="s">
        <v>97</v>
      </c>
      <c r="BW371" t="s">
        <v>97</v>
      </c>
      <c r="BX371">
        <v>86.4</v>
      </c>
      <c r="BY371">
        <v>1901</v>
      </c>
      <c r="BZ371">
        <v>6.9</v>
      </c>
      <c r="CA371">
        <v>813027</v>
      </c>
      <c r="CB371">
        <v>669257</v>
      </c>
      <c r="CC371">
        <v>669257</v>
      </c>
      <c r="CD371">
        <v>518692</v>
      </c>
      <c r="CE371">
        <v>669242</v>
      </c>
      <c r="CF371">
        <v>571970</v>
      </c>
      <c r="CG371">
        <v>605141</v>
      </c>
      <c r="CH371">
        <v>571771</v>
      </c>
      <c r="CI371">
        <v>681624</v>
      </c>
      <c r="CJ371">
        <v>606192</v>
      </c>
      <c r="CK371">
        <v>53.58</v>
      </c>
      <c r="CL371" t="s">
        <v>97</v>
      </c>
      <c r="CM371" t="s">
        <v>97</v>
      </c>
      <c r="CN371" t="s">
        <v>97</v>
      </c>
      <c r="CO371" t="s">
        <v>97</v>
      </c>
      <c r="CP371" t="s">
        <v>97</v>
      </c>
      <c r="CQ371" t="s">
        <v>97</v>
      </c>
      <c r="CR371" t="s">
        <v>97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2</v>
      </c>
      <c r="DA371" t="s">
        <v>107</v>
      </c>
      <c r="DB371" t="s">
        <v>107</v>
      </c>
      <c r="DC371">
        <v>130</v>
      </c>
      <c r="DD371">
        <v>0</v>
      </c>
      <c r="DE371">
        <v>-4.8000000000000001E-2</v>
      </c>
      <c r="DF371" t="s">
        <v>97</v>
      </c>
      <c r="DG371" t="s">
        <v>97</v>
      </c>
    </row>
    <row r="372" spans="1:111" x14ac:dyDescent="0.2">
      <c r="A372">
        <v>2025</v>
      </c>
      <c r="B372" s="1">
        <v>45954</v>
      </c>
      <c r="C372" t="s">
        <v>95</v>
      </c>
      <c r="D372">
        <v>605483</v>
      </c>
      <c r="E372">
        <v>676914</v>
      </c>
      <c r="F372">
        <v>1</v>
      </c>
      <c r="G372">
        <v>1</v>
      </c>
      <c r="H372">
        <v>5</v>
      </c>
      <c r="I372" t="s">
        <v>163</v>
      </c>
      <c r="J372">
        <v>42</v>
      </c>
      <c r="K372">
        <v>3</v>
      </c>
      <c r="L372" t="s">
        <v>97</v>
      </c>
      <c r="M372" t="s">
        <v>111</v>
      </c>
      <c r="N372" t="s">
        <v>112</v>
      </c>
      <c r="O372">
        <f t="shared" si="80"/>
        <v>0</v>
      </c>
      <c r="P372">
        <f t="shared" si="81"/>
        <v>0</v>
      </c>
      <c r="Q372">
        <f t="shared" si="82"/>
        <v>0</v>
      </c>
      <c r="R372">
        <f t="shared" si="83"/>
        <v>0</v>
      </c>
      <c r="S372">
        <f t="shared" si="84"/>
        <v>1</v>
      </c>
      <c r="T372">
        <f t="shared" si="85"/>
        <v>0</v>
      </c>
      <c r="U372">
        <f t="shared" si="86"/>
        <v>0</v>
      </c>
      <c r="V372">
        <f t="shared" si="87"/>
        <v>0</v>
      </c>
      <c r="W372">
        <f t="shared" si="88"/>
        <v>0</v>
      </c>
      <c r="X372">
        <f t="shared" si="89"/>
        <v>0</v>
      </c>
      <c r="Y372">
        <f t="shared" si="90"/>
        <v>0</v>
      </c>
      <c r="Z372">
        <f t="shared" si="91"/>
        <v>0</v>
      </c>
      <c r="AA372">
        <f t="shared" si="92"/>
        <v>0</v>
      </c>
      <c r="AB372">
        <f t="shared" si="93"/>
        <v>0</v>
      </c>
      <c r="AC372">
        <f t="shared" si="94"/>
        <v>0</v>
      </c>
      <c r="AD372">
        <f t="shared" si="95"/>
        <v>0</v>
      </c>
      <c r="AE372">
        <v>81.099999999999994</v>
      </c>
      <c r="AF372">
        <v>1.99</v>
      </c>
      <c r="AG372">
        <v>6.43</v>
      </c>
      <c r="AH372" t="s">
        <v>140</v>
      </c>
      <c r="AI372" t="s">
        <v>97</v>
      </c>
      <c r="AJ372" t="s">
        <v>97</v>
      </c>
      <c r="AK372" t="s">
        <v>97</v>
      </c>
      <c r="AL372" t="s">
        <v>97</v>
      </c>
      <c r="AM372">
        <v>13</v>
      </c>
      <c r="AN372" t="s">
        <v>141</v>
      </c>
      <c r="AO372" t="s">
        <v>213</v>
      </c>
      <c r="AP372" t="s">
        <v>122</v>
      </c>
      <c r="AQ372" t="s">
        <v>103</v>
      </c>
      <c r="AR372" t="s">
        <v>214</v>
      </c>
      <c r="AS372" t="s">
        <v>104</v>
      </c>
      <c r="AT372" t="s">
        <v>106</v>
      </c>
      <c r="AU372" t="s">
        <v>97</v>
      </c>
      <c r="AV372" t="s">
        <v>97</v>
      </c>
      <c r="AW372">
        <v>-0.83</v>
      </c>
      <c r="AX372">
        <v>-0.6</v>
      </c>
      <c r="AY372">
        <v>-0.18</v>
      </c>
      <c r="AZ372">
        <v>0.09</v>
      </c>
      <c r="BA372" t="s">
        <v>97</v>
      </c>
      <c r="BB372" t="s">
        <v>97</v>
      </c>
      <c r="BC372">
        <v>543807</v>
      </c>
      <c r="BD372">
        <v>0</v>
      </c>
      <c r="BE372" t="s">
        <v>97</v>
      </c>
      <c r="BF372" t="s">
        <v>97</v>
      </c>
      <c r="BG372" t="s">
        <v>97</v>
      </c>
      <c r="BH372" t="s">
        <v>97</v>
      </c>
      <c r="BI372">
        <v>669257</v>
      </c>
      <c r="BJ372">
        <v>669257</v>
      </c>
      <c r="BK372" t="s">
        <v>97</v>
      </c>
      <c r="BL372" t="s">
        <v>97</v>
      </c>
      <c r="BM372">
        <v>-3.2890999590000001</v>
      </c>
      <c r="BN372">
        <v>-117.8369896</v>
      </c>
      <c r="BO372">
        <v>-6.3317441319999999</v>
      </c>
      <c r="BP372">
        <v>-6.9122766179999999</v>
      </c>
      <c r="BQ372">
        <v>25.460163049999998</v>
      </c>
      <c r="BR372">
        <v>-36.538000820000001</v>
      </c>
      <c r="BS372">
        <v>3.15</v>
      </c>
      <c r="BT372">
        <v>1.5</v>
      </c>
      <c r="BU372" t="s">
        <v>97</v>
      </c>
      <c r="BV372" t="s">
        <v>97</v>
      </c>
      <c r="BW372" t="s">
        <v>97</v>
      </c>
      <c r="BX372">
        <v>81.2</v>
      </c>
      <c r="BY372">
        <v>2476</v>
      </c>
      <c r="BZ372">
        <v>6.7</v>
      </c>
      <c r="CA372">
        <v>813027</v>
      </c>
      <c r="CB372">
        <v>669257</v>
      </c>
      <c r="CC372">
        <v>669257</v>
      </c>
      <c r="CD372">
        <v>518692</v>
      </c>
      <c r="CE372">
        <v>669242</v>
      </c>
      <c r="CF372">
        <v>571970</v>
      </c>
      <c r="CG372">
        <v>605141</v>
      </c>
      <c r="CH372">
        <v>571771</v>
      </c>
      <c r="CI372">
        <v>681624</v>
      </c>
      <c r="CJ372">
        <v>606192</v>
      </c>
      <c r="CK372">
        <v>53.78</v>
      </c>
      <c r="CL372" t="s">
        <v>97</v>
      </c>
      <c r="CM372" t="s">
        <v>97</v>
      </c>
      <c r="CN372" t="s">
        <v>97</v>
      </c>
      <c r="CO372" t="s">
        <v>97</v>
      </c>
      <c r="CP372" t="s">
        <v>97</v>
      </c>
      <c r="CQ372" t="s">
        <v>97</v>
      </c>
      <c r="CR372" t="s">
        <v>97</v>
      </c>
      <c r="CS372">
        <v>2</v>
      </c>
      <c r="CT372">
        <v>2</v>
      </c>
      <c r="CU372">
        <v>2</v>
      </c>
      <c r="CV372">
        <v>2</v>
      </c>
      <c r="CW372">
        <v>2</v>
      </c>
      <c r="CX372">
        <v>2</v>
      </c>
      <c r="CY372">
        <v>2</v>
      </c>
      <c r="CZ372">
        <v>2</v>
      </c>
      <c r="DA372" t="s">
        <v>107</v>
      </c>
      <c r="DB372" t="s">
        <v>107</v>
      </c>
      <c r="DC372">
        <v>322</v>
      </c>
      <c r="DD372">
        <v>0</v>
      </c>
      <c r="DE372">
        <v>4.3999999999999997E-2</v>
      </c>
      <c r="DF372" t="s">
        <v>97</v>
      </c>
      <c r="DG372" t="s">
        <v>97</v>
      </c>
    </row>
    <row r="373" spans="1:111" x14ac:dyDescent="0.2">
      <c r="A373">
        <v>2025</v>
      </c>
      <c r="B373" s="1">
        <v>45954</v>
      </c>
      <c r="C373" t="s">
        <v>95</v>
      </c>
      <c r="D373">
        <v>605483</v>
      </c>
      <c r="E373">
        <v>676914</v>
      </c>
      <c r="F373">
        <v>2</v>
      </c>
      <c r="G373">
        <v>1</v>
      </c>
      <c r="H373">
        <v>5</v>
      </c>
      <c r="I373" t="s">
        <v>163</v>
      </c>
      <c r="J373">
        <v>42</v>
      </c>
      <c r="K373">
        <v>4</v>
      </c>
      <c r="L373" t="s">
        <v>97</v>
      </c>
      <c r="M373" t="s">
        <v>111</v>
      </c>
      <c r="N373" t="s">
        <v>112</v>
      </c>
      <c r="O373">
        <f t="shared" si="80"/>
        <v>0</v>
      </c>
      <c r="P373">
        <f t="shared" si="81"/>
        <v>0</v>
      </c>
      <c r="Q373">
        <f t="shared" si="82"/>
        <v>0</v>
      </c>
      <c r="R373">
        <f t="shared" si="83"/>
        <v>0</v>
      </c>
      <c r="S373">
        <f t="shared" si="84"/>
        <v>0</v>
      </c>
      <c r="T373">
        <f t="shared" si="85"/>
        <v>0</v>
      </c>
      <c r="U373">
        <f t="shared" si="86"/>
        <v>1</v>
      </c>
      <c r="V373">
        <f t="shared" si="87"/>
        <v>0</v>
      </c>
      <c r="W373">
        <f t="shared" si="88"/>
        <v>0</v>
      </c>
      <c r="X373">
        <f t="shared" si="89"/>
        <v>0</v>
      </c>
      <c r="Y373">
        <f t="shared" si="90"/>
        <v>0</v>
      </c>
      <c r="Z373">
        <f t="shared" si="91"/>
        <v>0</v>
      </c>
      <c r="AA373">
        <f t="shared" si="92"/>
        <v>0</v>
      </c>
      <c r="AB373">
        <f t="shared" si="93"/>
        <v>0</v>
      </c>
      <c r="AC373">
        <f t="shared" si="94"/>
        <v>0</v>
      </c>
      <c r="AD373">
        <f t="shared" si="95"/>
        <v>0</v>
      </c>
      <c r="AE373">
        <v>79.5</v>
      </c>
      <c r="AF373">
        <v>1.97</v>
      </c>
      <c r="AG373">
        <v>6.48</v>
      </c>
      <c r="AH373" t="s">
        <v>108</v>
      </c>
      <c r="AI373" t="s">
        <v>97</v>
      </c>
      <c r="AJ373" t="s">
        <v>97</v>
      </c>
      <c r="AK373" t="s">
        <v>97</v>
      </c>
      <c r="AL373" t="s">
        <v>97</v>
      </c>
      <c r="AM373">
        <v>14</v>
      </c>
      <c r="AN373" t="s">
        <v>109</v>
      </c>
      <c r="AO373" t="s">
        <v>213</v>
      </c>
      <c r="AP373" t="s">
        <v>122</v>
      </c>
      <c r="AQ373" t="s">
        <v>103</v>
      </c>
      <c r="AR373" t="s">
        <v>214</v>
      </c>
      <c r="AS373" t="s">
        <v>104</v>
      </c>
      <c r="AT373" t="s">
        <v>110</v>
      </c>
      <c r="AU373" t="s">
        <v>97</v>
      </c>
      <c r="AV373" t="s">
        <v>97</v>
      </c>
      <c r="AW373">
        <v>-0.96</v>
      </c>
      <c r="AX373">
        <v>-0.66</v>
      </c>
      <c r="AY373">
        <v>0.84</v>
      </c>
      <c r="AZ373">
        <v>2.13</v>
      </c>
      <c r="BA373" t="s">
        <v>97</v>
      </c>
      <c r="BB373" t="s">
        <v>97</v>
      </c>
      <c r="BC373">
        <v>543807</v>
      </c>
      <c r="BD373">
        <v>0</v>
      </c>
      <c r="BE373" t="s">
        <v>97</v>
      </c>
      <c r="BF373" t="s">
        <v>97</v>
      </c>
      <c r="BG373" t="s">
        <v>97</v>
      </c>
      <c r="BH373" t="s">
        <v>97</v>
      </c>
      <c r="BI373">
        <v>669257</v>
      </c>
      <c r="BJ373">
        <v>669257</v>
      </c>
      <c r="BK373" t="s">
        <v>97</v>
      </c>
      <c r="BL373" t="s">
        <v>97</v>
      </c>
      <c r="BM373">
        <v>-0.67599119500000004</v>
      </c>
      <c r="BN373">
        <v>-115.66567430000001</v>
      </c>
      <c r="BO373">
        <v>-1.430209243</v>
      </c>
      <c r="BP373">
        <v>-8.3206159700000004</v>
      </c>
      <c r="BQ373">
        <v>25.244752460000001</v>
      </c>
      <c r="BR373">
        <v>-37.932803460000002</v>
      </c>
      <c r="BS373">
        <v>3.06</v>
      </c>
      <c r="BT373">
        <v>1.43</v>
      </c>
      <c r="BU373" t="s">
        <v>97</v>
      </c>
      <c r="BV373" t="s">
        <v>97</v>
      </c>
      <c r="BW373" t="s">
        <v>97</v>
      </c>
      <c r="BX373">
        <v>79.5</v>
      </c>
      <c r="BY373">
        <v>2609</v>
      </c>
      <c r="BZ373">
        <v>6.7</v>
      </c>
      <c r="CA373">
        <v>813027</v>
      </c>
      <c r="CB373">
        <v>669257</v>
      </c>
      <c r="CC373">
        <v>669257</v>
      </c>
      <c r="CD373">
        <v>518692</v>
      </c>
      <c r="CE373">
        <v>669242</v>
      </c>
      <c r="CF373">
        <v>571970</v>
      </c>
      <c r="CG373">
        <v>605141</v>
      </c>
      <c r="CH373">
        <v>571771</v>
      </c>
      <c r="CI373">
        <v>681624</v>
      </c>
      <c r="CJ373">
        <v>606192</v>
      </c>
      <c r="CK373">
        <v>53.8</v>
      </c>
      <c r="CL373" t="s">
        <v>97</v>
      </c>
      <c r="CM373" t="s">
        <v>97</v>
      </c>
      <c r="CN373" t="s">
        <v>97</v>
      </c>
      <c r="CO373" t="s">
        <v>97</v>
      </c>
      <c r="CP373" t="s">
        <v>97</v>
      </c>
      <c r="CQ373" t="s">
        <v>97</v>
      </c>
      <c r="CR373" t="s">
        <v>97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 t="s">
        <v>107</v>
      </c>
      <c r="DB373" t="s">
        <v>107</v>
      </c>
      <c r="DC373">
        <v>327</v>
      </c>
      <c r="DD373">
        <v>0</v>
      </c>
      <c r="DE373">
        <v>-7.8E-2</v>
      </c>
      <c r="DF373" t="s">
        <v>97</v>
      </c>
      <c r="DG373" t="s">
        <v>97</v>
      </c>
    </row>
    <row r="374" spans="1:111" x14ac:dyDescent="0.2">
      <c r="A374">
        <v>2025</v>
      </c>
      <c r="B374" s="1">
        <v>45954</v>
      </c>
      <c r="C374" t="s">
        <v>95</v>
      </c>
      <c r="D374">
        <v>605483</v>
      </c>
      <c r="E374">
        <v>676914</v>
      </c>
      <c r="F374">
        <v>2</v>
      </c>
      <c r="G374">
        <v>2</v>
      </c>
      <c r="H374">
        <v>5</v>
      </c>
      <c r="I374" t="s">
        <v>163</v>
      </c>
      <c r="J374">
        <v>42</v>
      </c>
      <c r="K374">
        <v>5</v>
      </c>
      <c r="L374" t="s">
        <v>97</v>
      </c>
      <c r="M374" t="s">
        <v>132</v>
      </c>
      <c r="N374" t="s">
        <v>133</v>
      </c>
      <c r="O374">
        <f t="shared" si="80"/>
        <v>0</v>
      </c>
      <c r="P374">
        <f t="shared" si="81"/>
        <v>0</v>
      </c>
      <c r="Q374">
        <f t="shared" si="82"/>
        <v>0</v>
      </c>
      <c r="R374">
        <f t="shared" si="83"/>
        <v>0</v>
      </c>
      <c r="S374">
        <f t="shared" si="84"/>
        <v>0</v>
      </c>
      <c r="T374">
        <f t="shared" si="85"/>
        <v>0</v>
      </c>
      <c r="U374">
        <f t="shared" si="86"/>
        <v>0</v>
      </c>
      <c r="V374">
        <f t="shared" si="87"/>
        <v>0</v>
      </c>
      <c r="W374">
        <f t="shared" si="88"/>
        <v>1</v>
      </c>
      <c r="X374">
        <f t="shared" si="89"/>
        <v>0</v>
      </c>
      <c r="Y374">
        <f t="shared" si="90"/>
        <v>0</v>
      </c>
      <c r="Z374">
        <f t="shared" si="91"/>
        <v>0</v>
      </c>
      <c r="AA374">
        <f t="shared" si="92"/>
        <v>0</v>
      </c>
      <c r="AB374">
        <f t="shared" si="93"/>
        <v>0</v>
      </c>
      <c r="AC374">
        <f t="shared" si="94"/>
        <v>0</v>
      </c>
      <c r="AD374">
        <f t="shared" si="95"/>
        <v>0</v>
      </c>
      <c r="AE374">
        <v>84.3</v>
      </c>
      <c r="AF374">
        <v>2.19</v>
      </c>
      <c r="AG374">
        <v>6.32</v>
      </c>
      <c r="AH374" t="s">
        <v>129</v>
      </c>
      <c r="AI374" t="s">
        <v>97</v>
      </c>
      <c r="AJ374" t="s">
        <v>97</v>
      </c>
      <c r="AK374" t="s">
        <v>97</v>
      </c>
      <c r="AL374" t="s">
        <v>97</v>
      </c>
      <c r="AM374">
        <v>12</v>
      </c>
      <c r="AN374" t="s">
        <v>130</v>
      </c>
      <c r="AO374" t="s">
        <v>213</v>
      </c>
      <c r="AP374" t="s">
        <v>122</v>
      </c>
      <c r="AQ374" t="s">
        <v>103</v>
      </c>
      <c r="AR374" t="s">
        <v>214</v>
      </c>
      <c r="AS374" t="s">
        <v>104</v>
      </c>
      <c r="AT374" t="s">
        <v>110</v>
      </c>
      <c r="AU374" t="s">
        <v>97</v>
      </c>
      <c r="AV374" t="s">
        <v>97</v>
      </c>
      <c r="AW374">
        <v>1.29</v>
      </c>
      <c r="AX374">
        <v>0.65</v>
      </c>
      <c r="AY374">
        <v>1.1599999999999999</v>
      </c>
      <c r="AZ374">
        <v>2.65</v>
      </c>
      <c r="BA374" t="s">
        <v>97</v>
      </c>
      <c r="BB374" t="s">
        <v>97</v>
      </c>
      <c r="BC374">
        <v>543807</v>
      </c>
      <c r="BD374">
        <v>0</v>
      </c>
      <c r="BE374" t="s">
        <v>97</v>
      </c>
      <c r="BF374" t="s">
        <v>97</v>
      </c>
      <c r="BG374" t="s">
        <v>97</v>
      </c>
      <c r="BH374" t="s">
        <v>97</v>
      </c>
      <c r="BI374">
        <v>669257</v>
      </c>
      <c r="BJ374">
        <v>669257</v>
      </c>
      <c r="BK374" t="s">
        <v>97</v>
      </c>
      <c r="BL374" t="s">
        <v>97</v>
      </c>
      <c r="BM374">
        <v>-5.010647101</v>
      </c>
      <c r="BN374">
        <v>-122.6400374</v>
      </c>
      <c r="BO374">
        <v>-3.4148410139999998</v>
      </c>
      <c r="BP374">
        <v>14.0069283</v>
      </c>
      <c r="BQ374">
        <v>26.064591010000001</v>
      </c>
      <c r="BR374">
        <v>-25.15939616</v>
      </c>
      <c r="BS374">
        <v>3.1</v>
      </c>
      <c r="BT374">
        <v>1.53</v>
      </c>
      <c r="BU374" t="s">
        <v>97</v>
      </c>
      <c r="BV374" t="s">
        <v>97</v>
      </c>
      <c r="BW374" t="s">
        <v>97</v>
      </c>
      <c r="BX374">
        <v>84.7</v>
      </c>
      <c r="BY374">
        <v>1895</v>
      </c>
      <c r="BZ374">
        <v>6.7</v>
      </c>
      <c r="CA374">
        <v>813027</v>
      </c>
      <c r="CB374">
        <v>669257</v>
      </c>
      <c r="CC374">
        <v>669257</v>
      </c>
      <c r="CD374">
        <v>518692</v>
      </c>
      <c r="CE374">
        <v>669242</v>
      </c>
      <c r="CF374">
        <v>571970</v>
      </c>
      <c r="CG374">
        <v>605141</v>
      </c>
      <c r="CH374">
        <v>571771</v>
      </c>
      <c r="CI374">
        <v>681624</v>
      </c>
      <c r="CJ374">
        <v>606192</v>
      </c>
      <c r="CK374">
        <v>53.8</v>
      </c>
      <c r="CL374" t="s">
        <v>97</v>
      </c>
      <c r="CM374" t="s">
        <v>97</v>
      </c>
      <c r="CN374" t="s">
        <v>97</v>
      </c>
      <c r="CO374" t="s">
        <v>97</v>
      </c>
      <c r="CP374" t="s">
        <v>97</v>
      </c>
      <c r="CQ374" t="s">
        <v>97</v>
      </c>
      <c r="CR374" t="s">
        <v>97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 t="s">
        <v>107</v>
      </c>
      <c r="DB374" t="s">
        <v>107</v>
      </c>
      <c r="DC374">
        <v>127</v>
      </c>
      <c r="DD374">
        <v>0</v>
      </c>
      <c r="DE374">
        <v>0</v>
      </c>
      <c r="DF374">
        <v>66.2</v>
      </c>
      <c r="DG374">
        <v>7.6</v>
      </c>
    </row>
    <row r="375" spans="1:111" x14ac:dyDescent="0.2">
      <c r="A375">
        <v>2025</v>
      </c>
      <c r="B375" s="1">
        <v>45954</v>
      </c>
      <c r="C375" t="s">
        <v>95</v>
      </c>
      <c r="D375">
        <v>605483</v>
      </c>
      <c r="E375">
        <v>676914</v>
      </c>
      <c r="F375">
        <v>2</v>
      </c>
      <c r="G375">
        <v>2</v>
      </c>
      <c r="H375">
        <v>5</v>
      </c>
      <c r="I375" t="s">
        <v>163</v>
      </c>
      <c r="J375">
        <v>42</v>
      </c>
      <c r="K375">
        <v>6</v>
      </c>
      <c r="L375" t="s">
        <v>228</v>
      </c>
      <c r="M375" t="s">
        <v>132</v>
      </c>
      <c r="N375" t="s">
        <v>133</v>
      </c>
      <c r="O375">
        <f t="shared" si="80"/>
        <v>0</v>
      </c>
      <c r="P375">
        <f t="shared" si="81"/>
        <v>0</v>
      </c>
      <c r="Q375">
        <f t="shared" si="82"/>
        <v>0</v>
      </c>
      <c r="R375">
        <f t="shared" si="83"/>
        <v>0</v>
      </c>
      <c r="S375">
        <f t="shared" si="84"/>
        <v>0</v>
      </c>
      <c r="T375">
        <f t="shared" si="85"/>
        <v>0</v>
      </c>
      <c r="U375">
        <f t="shared" si="86"/>
        <v>0</v>
      </c>
      <c r="V375">
        <f t="shared" si="87"/>
        <v>0</v>
      </c>
      <c r="W375">
        <f t="shared" si="88"/>
        <v>0</v>
      </c>
      <c r="X375">
        <f t="shared" si="89"/>
        <v>0</v>
      </c>
      <c r="Y375">
        <f t="shared" si="90"/>
        <v>0</v>
      </c>
      <c r="Z375">
        <f t="shared" si="91"/>
        <v>1</v>
      </c>
      <c r="AA375">
        <f t="shared" si="92"/>
        <v>0</v>
      </c>
      <c r="AB375">
        <f t="shared" si="93"/>
        <v>0</v>
      </c>
      <c r="AC375">
        <f t="shared" si="94"/>
        <v>0</v>
      </c>
      <c r="AD375">
        <f t="shared" si="95"/>
        <v>0</v>
      </c>
      <c r="AE375">
        <v>85.5</v>
      </c>
      <c r="AF375">
        <v>2.15</v>
      </c>
      <c r="AG375">
        <v>6.26</v>
      </c>
      <c r="AH375" t="s">
        <v>120</v>
      </c>
      <c r="AI375" t="s">
        <v>97</v>
      </c>
      <c r="AJ375" t="s">
        <v>97</v>
      </c>
      <c r="AK375" t="s">
        <v>97</v>
      </c>
      <c r="AL375" t="s">
        <v>97</v>
      </c>
      <c r="AM375">
        <v>12</v>
      </c>
      <c r="AN375" t="s">
        <v>237</v>
      </c>
      <c r="AO375" t="s">
        <v>213</v>
      </c>
      <c r="AP375" t="s">
        <v>122</v>
      </c>
      <c r="AQ375" t="s">
        <v>103</v>
      </c>
      <c r="AR375" t="s">
        <v>214</v>
      </c>
      <c r="AS375" t="s">
        <v>104</v>
      </c>
      <c r="AT375" t="s">
        <v>123</v>
      </c>
      <c r="AU375">
        <v>5</v>
      </c>
      <c r="AV375" t="s">
        <v>127</v>
      </c>
      <c r="AW375">
        <v>1.1499999999999999</v>
      </c>
      <c r="AX375">
        <v>0.97</v>
      </c>
      <c r="AY375">
        <v>1.1200000000000001</v>
      </c>
      <c r="AZ375">
        <v>2.94</v>
      </c>
      <c r="BA375" t="s">
        <v>97</v>
      </c>
      <c r="BB375" t="s">
        <v>97</v>
      </c>
      <c r="BC375">
        <v>543807</v>
      </c>
      <c r="BD375">
        <v>0</v>
      </c>
      <c r="BE375">
        <v>105.88</v>
      </c>
      <c r="BF375">
        <v>171.35</v>
      </c>
      <c r="BG375" t="s">
        <v>97</v>
      </c>
      <c r="BH375" t="s">
        <v>97</v>
      </c>
      <c r="BI375">
        <v>669257</v>
      </c>
      <c r="BJ375">
        <v>669257</v>
      </c>
      <c r="BK375" t="s">
        <v>97</v>
      </c>
      <c r="BL375" t="s">
        <v>97</v>
      </c>
      <c r="BM375">
        <v>-4.8138222199999996</v>
      </c>
      <c r="BN375">
        <v>-124.3969829</v>
      </c>
      <c r="BO375">
        <v>-3.5013053410000001</v>
      </c>
      <c r="BP375">
        <v>12.953699289999999</v>
      </c>
      <c r="BQ375">
        <v>26.3446873</v>
      </c>
      <c r="BR375">
        <v>-21.601925520000002</v>
      </c>
      <c r="BS375">
        <v>3.1</v>
      </c>
      <c r="BT375">
        <v>1.53</v>
      </c>
      <c r="BU375">
        <v>11</v>
      </c>
      <c r="BV375">
        <v>65.2</v>
      </c>
      <c r="BW375">
        <v>-14</v>
      </c>
      <c r="BX375">
        <v>86.3</v>
      </c>
      <c r="BY375">
        <v>1912</v>
      </c>
      <c r="BZ375">
        <v>7</v>
      </c>
      <c r="CA375">
        <v>813027</v>
      </c>
      <c r="CB375">
        <v>669257</v>
      </c>
      <c r="CC375">
        <v>669257</v>
      </c>
      <c r="CD375">
        <v>518692</v>
      </c>
      <c r="CE375">
        <v>669242</v>
      </c>
      <c r="CF375">
        <v>571970</v>
      </c>
      <c r="CG375">
        <v>605141</v>
      </c>
      <c r="CH375">
        <v>571771</v>
      </c>
      <c r="CI375">
        <v>681624</v>
      </c>
      <c r="CJ375">
        <v>606192</v>
      </c>
      <c r="CK375">
        <v>53.55</v>
      </c>
      <c r="CL375">
        <v>5.0999999999999997E-2</v>
      </c>
      <c r="CM375">
        <v>4.4999999999999998E-2</v>
      </c>
      <c r="CN375">
        <v>0</v>
      </c>
      <c r="CO375">
        <v>1</v>
      </c>
      <c r="CP375">
        <v>0</v>
      </c>
      <c r="CQ375">
        <v>0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2</v>
      </c>
      <c r="DA375" t="s">
        <v>107</v>
      </c>
      <c r="DB375" t="s">
        <v>107</v>
      </c>
      <c r="DC375">
        <v>137</v>
      </c>
      <c r="DD375">
        <v>-9.8000000000000004E-2</v>
      </c>
      <c r="DE375">
        <v>-0.29399999999999998</v>
      </c>
      <c r="DF375">
        <v>67</v>
      </c>
      <c r="DG375">
        <v>6.9</v>
      </c>
    </row>
    <row r="376" spans="1:111" x14ac:dyDescent="0.2">
      <c r="A376">
        <v>2025</v>
      </c>
      <c r="B376" s="1">
        <v>45954</v>
      </c>
      <c r="C376" t="s">
        <v>95</v>
      </c>
      <c r="D376">
        <v>605483</v>
      </c>
      <c r="E376">
        <v>665489</v>
      </c>
      <c r="F376">
        <v>0</v>
      </c>
      <c r="G376">
        <v>0</v>
      </c>
      <c r="H376">
        <v>5</v>
      </c>
      <c r="I376" t="s">
        <v>163</v>
      </c>
      <c r="J376">
        <v>43</v>
      </c>
      <c r="K376">
        <v>1</v>
      </c>
      <c r="L376" t="s">
        <v>97</v>
      </c>
      <c r="M376" t="s">
        <v>138</v>
      </c>
      <c r="N376" t="s">
        <v>139</v>
      </c>
      <c r="O376">
        <f t="shared" si="80"/>
        <v>0</v>
      </c>
      <c r="P376">
        <f t="shared" si="81"/>
        <v>0</v>
      </c>
      <c r="Q376">
        <f t="shared" si="82"/>
        <v>0</v>
      </c>
      <c r="R376">
        <f t="shared" si="83"/>
        <v>0</v>
      </c>
      <c r="S376">
        <f t="shared" si="84"/>
        <v>0</v>
      </c>
      <c r="T376">
        <f t="shared" si="85"/>
        <v>0</v>
      </c>
      <c r="U376">
        <f t="shared" si="86"/>
        <v>0</v>
      </c>
      <c r="V376">
        <f t="shared" si="87"/>
        <v>0</v>
      </c>
      <c r="W376">
        <f t="shared" si="88"/>
        <v>0</v>
      </c>
      <c r="X376">
        <f t="shared" si="89"/>
        <v>0</v>
      </c>
      <c r="Y376">
        <f t="shared" si="90"/>
        <v>0</v>
      </c>
      <c r="Z376">
        <f t="shared" si="91"/>
        <v>0</v>
      </c>
      <c r="AA376">
        <f t="shared" si="92"/>
        <v>0</v>
      </c>
      <c r="AB376">
        <f t="shared" si="93"/>
        <v>1</v>
      </c>
      <c r="AC376">
        <f t="shared" si="94"/>
        <v>0</v>
      </c>
      <c r="AD376">
        <f t="shared" si="95"/>
        <v>0</v>
      </c>
      <c r="AE376">
        <v>90.5</v>
      </c>
      <c r="AF376">
        <v>2.0299999999999998</v>
      </c>
      <c r="AG376">
        <v>6.45</v>
      </c>
      <c r="AH376" t="s">
        <v>113</v>
      </c>
      <c r="AI376" t="s">
        <v>97</v>
      </c>
      <c r="AJ376" t="s">
        <v>97</v>
      </c>
      <c r="AK376" t="s">
        <v>97</v>
      </c>
      <c r="AL376" t="s">
        <v>97</v>
      </c>
      <c r="AM376">
        <v>13</v>
      </c>
      <c r="AN376" t="s">
        <v>114</v>
      </c>
      <c r="AO376" t="s">
        <v>213</v>
      </c>
      <c r="AP376" t="s">
        <v>122</v>
      </c>
      <c r="AQ376" t="s">
        <v>103</v>
      </c>
      <c r="AR376" t="s">
        <v>214</v>
      </c>
      <c r="AS376" t="s">
        <v>104</v>
      </c>
      <c r="AT376" t="s">
        <v>110</v>
      </c>
      <c r="AU376" t="s">
        <v>97</v>
      </c>
      <c r="AV376" t="s">
        <v>97</v>
      </c>
      <c r="AW376">
        <v>0.04</v>
      </c>
      <c r="AX376">
        <v>0.67</v>
      </c>
      <c r="AY376">
        <v>-0.3</v>
      </c>
      <c r="AZ376">
        <v>1.42</v>
      </c>
      <c r="BA376" t="s">
        <v>97</v>
      </c>
      <c r="BB376" t="s">
        <v>97</v>
      </c>
      <c r="BC376" t="s">
        <v>97</v>
      </c>
      <c r="BD376">
        <v>2</v>
      </c>
      <c r="BE376" t="s">
        <v>97</v>
      </c>
      <c r="BF376" t="s">
        <v>97</v>
      </c>
      <c r="BG376" t="s">
        <v>97</v>
      </c>
      <c r="BH376" t="s">
        <v>97</v>
      </c>
      <c r="BI376">
        <v>669257</v>
      </c>
      <c r="BJ376">
        <v>669257</v>
      </c>
      <c r="BK376" t="s">
        <v>97</v>
      </c>
      <c r="BL376" t="s">
        <v>97</v>
      </c>
      <c r="BM376">
        <v>-5.9485514049999999</v>
      </c>
      <c r="BN376">
        <v>-131.51060910000001</v>
      </c>
      <c r="BO376">
        <v>-8.0676344869999994</v>
      </c>
      <c r="BP376">
        <v>1.7721726739999999</v>
      </c>
      <c r="BQ376">
        <v>30.080204309999999</v>
      </c>
      <c r="BR376">
        <v>-22.806231</v>
      </c>
      <c r="BS376">
        <v>3.65</v>
      </c>
      <c r="BT376">
        <v>1.62</v>
      </c>
      <c r="BU376" t="s">
        <v>97</v>
      </c>
      <c r="BV376" t="s">
        <v>97</v>
      </c>
      <c r="BW376" t="s">
        <v>97</v>
      </c>
      <c r="BX376">
        <v>91.2</v>
      </c>
      <c r="BY376">
        <v>2268</v>
      </c>
      <c r="BZ376">
        <v>7</v>
      </c>
      <c r="CA376">
        <v>813027</v>
      </c>
      <c r="CB376">
        <v>669257</v>
      </c>
      <c r="CC376">
        <v>669257</v>
      </c>
      <c r="CD376">
        <v>518692</v>
      </c>
      <c r="CE376">
        <v>669242</v>
      </c>
      <c r="CF376">
        <v>571970</v>
      </c>
      <c r="CG376">
        <v>605141</v>
      </c>
      <c r="CH376">
        <v>571771</v>
      </c>
      <c r="CI376">
        <v>681624</v>
      </c>
      <c r="CJ376">
        <v>606192</v>
      </c>
      <c r="CK376">
        <v>53.51</v>
      </c>
      <c r="CL376" t="s">
        <v>97</v>
      </c>
      <c r="CM376" t="s">
        <v>97</v>
      </c>
      <c r="CN376" t="s">
        <v>97</v>
      </c>
      <c r="CO376" t="s">
        <v>97</v>
      </c>
      <c r="CP376" t="s">
        <v>97</v>
      </c>
      <c r="CQ376" t="s">
        <v>97</v>
      </c>
      <c r="CR376" t="s">
        <v>97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2</v>
      </c>
      <c r="DA376" t="s">
        <v>107</v>
      </c>
      <c r="DB376" t="s">
        <v>107</v>
      </c>
      <c r="DC376">
        <v>162</v>
      </c>
      <c r="DD376">
        <v>0</v>
      </c>
      <c r="DE376">
        <v>-4.2999999999999997E-2</v>
      </c>
      <c r="DF376">
        <v>79.599999999999994</v>
      </c>
      <c r="DG376">
        <v>8.8000000000000007</v>
      </c>
    </row>
    <row r="377" spans="1:111" x14ac:dyDescent="0.2">
      <c r="A377">
        <v>2025</v>
      </c>
      <c r="B377" s="1">
        <v>45954</v>
      </c>
      <c r="C377" t="s">
        <v>95</v>
      </c>
      <c r="D377">
        <v>605483</v>
      </c>
      <c r="E377">
        <v>665489</v>
      </c>
      <c r="F377">
        <v>0</v>
      </c>
      <c r="G377">
        <v>1</v>
      </c>
      <c r="H377">
        <v>5</v>
      </c>
      <c r="I377" t="s">
        <v>163</v>
      </c>
      <c r="J377">
        <v>43</v>
      </c>
      <c r="K377">
        <v>2</v>
      </c>
      <c r="L377" t="s">
        <v>97</v>
      </c>
      <c r="M377" t="s">
        <v>98</v>
      </c>
      <c r="N377" t="s">
        <v>99</v>
      </c>
      <c r="O377">
        <f t="shared" si="80"/>
        <v>0</v>
      </c>
      <c r="P377">
        <f t="shared" si="81"/>
        <v>0</v>
      </c>
      <c r="Q377">
        <f t="shared" si="82"/>
        <v>0</v>
      </c>
      <c r="R377">
        <f t="shared" si="83"/>
        <v>1</v>
      </c>
      <c r="S377">
        <f t="shared" si="84"/>
        <v>0</v>
      </c>
      <c r="T377">
        <f t="shared" si="85"/>
        <v>0</v>
      </c>
      <c r="U377">
        <f t="shared" si="86"/>
        <v>0</v>
      </c>
      <c r="V377">
        <f t="shared" si="87"/>
        <v>0</v>
      </c>
      <c r="W377">
        <f t="shared" si="88"/>
        <v>0</v>
      </c>
      <c r="X377">
        <f t="shared" si="89"/>
        <v>0</v>
      </c>
      <c r="Y377">
        <f t="shared" si="90"/>
        <v>0</v>
      </c>
      <c r="Z377">
        <f t="shared" si="91"/>
        <v>0</v>
      </c>
      <c r="AA377">
        <f t="shared" si="92"/>
        <v>0</v>
      </c>
      <c r="AB377">
        <f t="shared" si="93"/>
        <v>0</v>
      </c>
      <c r="AC377">
        <f t="shared" si="94"/>
        <v>0</v>
      </c>
      <c r="AD377">
        <f t="shared" si="95"/>
        <v>0</v>
      </c>
      <c r="AE377">
        <v>95.9</v>
      </c>
      <c r="AF377">
        <v>1.99</v>
      </c>
      <c r="AG377">
        <v>6.43</v>
      </c>
      <c r="AH377" t="s">
        <v>108</v>
      </c>
      <c r="AI377" t="s">
        <v>97</v>
      </c>
      <c r="AJ377" t="s">
        <v>97</v>
      </c>
      <c r="AK377" t="s">
        <v>97</v>
      </c>
      <c r="AL377" t="s">
        <v>97</v>
      </c>
      <c r="AM377">
        <v>2</v>
      </c>
      <c r="AN377" t="s">
        <v>109</v>
      </c>
      <c r="AO377" t="s">
        <v>213</v>
      </c>
      <c r="AP377" t="s">
        <v>122</v>
      </c>
      <c r="AQ377" t="s">
        <v>103</v>
      </c>
      <c r="AR377" t="s">
        <v>214</v>
      </c>
      <c r="AS377" t="s">
        <v>104</v>
      </c>
      <c r="AT377" t="s">
        <v>110</v>
      </c>
      <c r="AU377" t="s">
        <v>97</v>
      </c>
      <c r="AV377" t="s">
        <v>97</v>
      </c>
      <c r="AW377">
        <v>0.31</v>
      </c>
      <c r="AX377">
        <v>1.53</v>
      </c>
      <c r="AY377">
        <v>0.04</v>
      </c>
      <c r="AZ377">
        <v>3.51</v>
      </c>
      <c r="BA377" t="s">
        <v>97</v>
      </c>
      <c r="BB377" t="s">
        <v>97</v>
      </c>
      <c r="BC377" t="s">
        <v>97</v>
      </c>
      <c r="BD377">
        <v>2</v>
      </c>
      <c r="BE377" t="s">
        <v>97</v>
      </c>
      <c r="BF377" t="s">
        <v>97</v>
      </c>
      <c r="BG377" t="s">
        <v>97</v>
      </c>
      <c r="BH377" t="s">
        <v>97</v>
      </c>
      <c r="BI377">
        <v>669257</v>
      </c>
      <c r="BJ377">
        <v>669257</v>
      </c>
      <c r="BK377" t="s">
        <v>97</v>
      </c>
      <c r="BL377" t="s">
        <v>97</v>
      </c>
      <c r="BM377">
        <v>-5.913817323</v>
      </c>
      <c r="BN377">
        <v>-139.394656</v>
      </c>
      <c r="BO377">
        <v>-5.5397404080000001</v>
      </c>
      <c r="BP377">
        <v>5.4674997650000003</v>
      </c>
      <c r="BQ377">
        <v>35.13483686</v>
      </c>
      <c r="BR377">
        <v>-11.201204300000001</v>
      </c>
      <c r="BS377">
        <v>3.57</v>
      </c>
      <c r="BT377">
        <v>1.43</v>
      </c>
      <c r="BU377" t="s">
        <v>97</v>
      </c>
      <c r="BV377" t="s">
        <v>97</v>
      </c>
      <c r="BW377" t="s">
        <v>97</v>
      </c>
      <c r="BX377">
        <v>96.4</v>
      </c>
      <c r="BY377">
        <v>2400</v>
      </c>
      <c r="BZ377">
        <v>6.9</v>
      </c>
      <c r="CA377">
        <v>813027</v>
      </c>
      <c r="CB377">
        <v>669257</v>
      </c>
      <c r="CC377">
        <v>669257</v>
      </c>
      <c r="CD377">
        <v>518692</v>
      </c>
      <c r="CE377">
        <v>669242</v>
      </c>
      <c r="CF377">
        <v>571970</v>
      </c>
      <c r="CG377">
        <v>605141</v>
      </c>
      <c r="CH377">
        <v>571771</v>
      </c>
      <c r="CI377">
        <v>681624</v>
      </c>
      <c r="CJ377">
        <v>606192</v>
      </c>
      <c r="CK377">
        <v>53.61</v>
      </c>
      <c r="CL377" t="s">
        <v>97</v>
      </c>
      <c r="CM377" t="s">
        <v>97</v>
      </c>
      <c r="CN377" t="s">
        <v>97</v>
      </c>
      <c r="CO377" t="s">
        <v>97</v>
      </c>
      <c r="CP377" t="s">
        <v>97</v>
      </c>
      <c r="CQ377" t="s">
        <v>97</v>
      </c>
      <c r="CR377" t="s">
        <v>97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2</v>
      </c>
      <c r="DA377" t="s">
        <v>107</v>
      </c>
      <c r="DB377" t="s">
        <v>107</v>
      </c>
      <c r="DC377">
        <v>159</v>
      </c>
      <c r="DD377">
        <v>0</v>
      </c>
      <c r="DE377">
        <v>-5.7000000000000002E-2</v>
      </c>
      <c r="DF377" t="s">
        <v>97</v>
      </c>
      <c r="DG377" t="s">
        <v>97</v>
      </c>
    </row>
    <row r="378" spans="1:111" x14ac:dyDescent="0.2">
      <c r="A378">
        <v>2025</v>
      </c>
      <c r="B378" s="1">
        <v>45954</v>
      </c>
      <c r="C378" t="s">
        <v>95</v>
      </c>
      <c r="D378">
        <v>605483</v>
      </c>
      <c r="E378">
        <v>665489</v>
      </c>
      <c r="F378">
        <v>0</v>
      </c>
      <c r="G378">
        <v>2</v>
      </c>
      <c r="H378">
        <v>5</v>
      </c>
      <c r="I378" t="s">
        <v>163</v>
      </c>
      <c r="J378">
        <v>43</v>
      </c>
      <c r="K378">
        <v>3</v>
      </c>
      <c r="L378" t="s">
        <v>119</v>
      </c>
      <c r="M378" t="s">
        <v>138</v>
      </c>
      <c r="N378" t="s">
        <v>139</v>
      </c>
      <c r="O378">
        <f t="shared" si="80"/>
        <v>0</v>
      </c>
      <c r="P378">
        <f t="shared" si="81"/>
        <v>0</v>
      </c>
      <c r="Q378">
        <f t="shared" si="82"/>
        <v>0</v>
      </c>
      <c r="R378">
        <f t="shared" si="83"/>
        <v>0</v>
      </c>
      <c r="S378">
        <f t="shared" si="84"/>
        <v>0</v>
      </c>
      <c r="T378">
        <f t="shared" si="85"/>
        <v>0</v>
      </c>
      <c r="U378">
        <f t="shared" si="86"/>
        <v>0</v>
      </c>
      <c r="V378">
        <f t="shared" si="87"/>
        <v>0</v>
      </c>
      <c r="W378">
        <f t="shared" si="88"/>
        <v>0</v>
      </c>
      <c r="X378">
        <f t="shared" si="89"/>
        <v>0</v>
      </c>
      <c r="Y378">
        <f t="shared" si="90"/>
        <v>0</v>
      </c>
      <c r="Z378">
        <f t="shared" si="91"/>
        <v>0</v>
      </c>
      <c r="AA378">
        <f t="shared" si="92"/>
        <v>0</v>
      </c>
      <c r="AB378">
        <f t="shared" si="93"/>
        <v>0</v>
      </c>
      <c r="AC378">
        <f t="shared" si="94"/>
        <v>0</v>
      </c>
      <c r="AD378">
        <f t="shared" si="95"/>
        <v>1</v>
      </c>
      <c r="AE378">
        <v>89</v>
      </c>
      <c r="AF378">
        <v>2.0499999999999998</v>
      </c>
      <c r="AG378">
        <v>6.43</v>
      </c>
      <c r="AH378" t="s">
        <v>120</v>
      </c>
      <c r="AI378" t="s">
        <v>97</v>
      </c>
      <c r="AJ378" t="s">
        <v>97</v>
      </c>
      <c r="AK378" t="s">
        <v>97</v>
      </c>
      <c r="AL378" t="s">
        <v>97</v>
      </c>
      <c r="AM378">
        <v>5</v>
      </c>
      <c r="AN378" t="s">
        <v>238</v>
      </c>
      <c r="AO378" t="s">
        <v>213</v>
      </c>
      <c r="AP378" t="s">
        <v>122</v>
      </c>
      <c r="AQ378" t="s">
        <v>103</v>
      </c>
      <c r="AR378" t="s">
        <v>214</v>
      </c>
      <c r="AS378" t="s">
        <v>104</v>
      </c>
      <c r="AT378" t="s">
        <v>123</v>
      </c>
      <c r="AU378">
        <v>4</v>
      </c>
      <c r="AV378" t="s">
        <v>127</v>
      </c>
      <c r="AW378">
        <v>-0.23</v>
      </c>
      <c r="AX378">
        <v>0.51</v>
      </c>
      <c r="AY378">
        <v>-0.21</v>
      </c>
      <c r="AZ378">
        <v>2.36</v>
      </c>
      <c r="BA378" t="s">
        <v>97</v>
      </c>
      <c r="BB378" t="s">
        <v>97</v>
      </c>
      <c r="BC378" t="s">
        <v>97</v>
      </c>
      <c r="BD378">
        <v>2</v>
      </c>
      <c r="BE378">
        <v>136.12</v>
      </c>
      <c r="BF378">
        <v>131.79</v>
      </c>
      <c r="BG378" t="s">
        <v>97</v>
      </c>
      <c r="BH378" t="s">
        <v>97</v>
      </c>
      <c r="BI378">
        <v>669257</v>
      </c>
      <c r="BJ378">
        <v>669257</v>
      </c>
      <c r="BK378" t="s">
        <v>97</v>
      </c>
      <c r="BL378" t="s">
        <v>97</v>
      </c>
      <c r="BM378">
        <v>-5.089704974</v>
      </c>
      <c r="BN378">
        <v>-129.46517059999999</v>
      </c>
      <c r="BO378">
        <v>-5.0110920999999999</v>
      </c>
      <c r="BP378">
        <v>-1.4378939209999999</v>
      </c>
      <c r="BQ378">
        <v>29.751311269999999</v>
      </c>
      <c r="BR378">
        <v>-25.540504970000001</v>
      </c>
      <c r="BS378">
        <v>3.65</v>
      </c>
      <c r="BT378">
        <v>1.62</v>
      </c>
      <c r="BU378">
        <v>139</v>
      </c>
      <c r="BV378">
        <v>63.7</v>
      </c>
      <c r="BW378">
        <v>15</v>
      </c>
      <c r="BX378">
        <v>89.5</v>
      </c>
      <c r="BY378">
        <v>2287</v>
      </c>
      <c r="BZ378">
        <v>6.8</v>
      </c>
      <c r="CA378">
        <v>813027</v>
      </c>
      <c r="CB378">
        <v>669257</v>
      </c>
      <c r="CC378">
        <v>669257</v>
      </c>
      <c r="CD378">
        <v>518692</v>
      </c>
      <c r="CE378">
        <v>669242</v>
      </c>
      <c r="CF378">
        <v>571970</v>
      </c>
      <c r="CG378">
        <v>605141</v>
      </c>
      <c r="CH378">
        <v>571771</v>
      </c>
      <c r="CI378">
        <v>681624</v>
      </c>
      <c r="CJ378">
        <v>606192</v>
      </c>
      <c r="CK378">
        <v>53.65</v>
      </c>
      <c r="CL378">
        <v>0.28000000000000003</v>
      </c>
      <c r="CM378">
        <v>0.252</v>
      </c>
      <c r="CN378">
        <v>0</v>
      </c>
      <c r="CO378">
        <v>1</v>
      </c>
      <c r="CP378">
        <v>0</v>
      </c>
      <c r="CQ378">
        <v>0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 t="s">
        <v>107</v>
      </c>
      <c r="DB378" t="s">
        <v>107</v>
      </c>
      <c r="DC378">
        <v>172</v>
      </c>
      <c r="DD378">
        <v>-1.4E-2</v>
      </c>
      <c r="DE378">
        <v>-0.16</v>
      </c>
      <c r="DF378">
        <v>77.8</v>
      </c>
      <c r="DG378">
        <v>7.3</v>
      </c>
    </row>
    <row r="379" spans="1:111" x14ac:dyDescent="0.2">
      <c r="A379">
        <v>2025</v>
      </c>
      <c r="B379" s="1">
        <v>45954</v>
      </c>
      <c r="C379" t="s">
        <v>95</v>
      </c>
      <c r="D379">
        <v>605483</v>
      </c>
      <c r="E379">
        <v>666182</v>
      </c>
      <c r="F379">
        <v>0</v>
      </c>
      <c r="G379">
        <v>0</v>
      </c>
      <c r="H379">
        <v>6</v>
      </c>
      <c r="I379" t="s">
        <v>163</v>
      </c>
      <c r="J379">
        <v>47</v>
      </c>
      <c r="K379">
        <v>1</v>
      </c>
      <c r="L379" t="s">
        <v>97</v>
      </c>
      <c r="M379" t="s">
        <v>132</v>
      </c>
      <c r="N379" t="s">
        <v>133</v>
      </c>
      <c r="O379">
        <f t="shared" si="80"/>
        <v>0</v>
      </c>
      <c r="P379">
        <f t="shared" si="81"/>
        <v>0</v>
      </c>
      <c r="Q379">
        <f t="shared" si="82"/>
        <v>0</v>
      </c>
      <c r="R379">
        <f t="shared" si="83"/>
        <v>0</v>
      </c>
      <c r="S379">
        <f t="shared" si="84"/>
        <v>0</v>
      </c>
      <c r="T379">
        <f t="shared" si="85"/>
        <v>0</v>
      </c>
      <c r="U379">
        <f t="shared" si="86"/>
        <v>0</v>
      </c>
      <c r="V379">
        <f t="shared" si="87"/>
        <v>0</v>
      </c>
      <c r="W379">
        <f t="shared" si="88"/>
        <v>1</v>
      </c>
      <c r="X379">
        <f t="shared" si="89"/>
        <v>0</v>
      </c>
      <c r="Y379">
        <f t="shared" si="90"/>
        <v>0</v>
      </c>
      <c r="Z379">
        <f t="shared" si="91"/>
        <v>0</v>
      </c>
      <c r="AA379">
        <f t="shared" si="92"/>
        <v>0</v>
      </c>
      <c r="AB379">
        <f t="shared" si="93"/>
        <v>0</v>
      </c>
      <c r="AC379">
        <f t="shared" si="94"/>
        <v>0</v>
      </c>
      <c r="AD379">
        <f t="shared" si="95"/>
        <v>0</v>
      </c>
      <c r="AE379">
        <v>84.4</v>
      </c>
      <c r="AF379">
        <v>2.1800000000000002</v>
      </c>
      <c r="AG379">
        <v>6.27</v>
      </c>
      <c r="AH379" t="s">
        <v>100</v>
      </c>
      <c r="AI379" t="s">
        <v>97</v>
      </c>
      <c r="AJ379" t="s">
        <v>97</v>
      </c>
      <c r="AK379" t="s">
        <v>97</v>
      </c>
      <c r="AL379" t="s">
        <v>97</v>
      </c>
      <c r="AM379">
        <v>14</v>
      </c>
      <c r="AN379" t="s">
        <v>101</v>
      </c>
      <c r="AO379" t="s">
        <v>213</v>
      </c>
      <c r="AP379" t="s">
        <v>122</v>
      </c>
      <c r="AQ379" t="s">
        <v>103</v>
      </c>
      <c r="AR379" t="s">
        <v>214</v>
      </c>
      <c r="AS379" t="s">
        <v>104</v>
      </c>
      <c r="AT379" t="s">
        <v>106</v>
      </c>
      <c r="AU379" t="s">
        <v>97</v>
      </c>
      <c r="AV379" t="s">
        <v>97</v>
      </c>
      <c r="AW379">
        <v>1.22</v>
      </c>
      <c r="AX379">
        <v>1.04</v>
      </c>
      <c r="AY379">
        <v>0.01</v>
      </c>
      <c r="AZ379">
        <v>0.95</v>
      </c>
      <c r="BA379" t="s">
        <v>97</v>
      </c>
      <c r="BB379" t="s">
        <v>97</v>
      </c>
      <c r="BC379" t="s">
        <v>97</v>
      </c>
      <c r="BD379">
        <v>0</v>
      </c>
      <c r="BE379" t="s">
        <v>97</v>
      </c>
      <c r="BF379" t="s">
        <v>97</v>
      </c>
      <c r="BG379" t="s">
        <v>97</v>
      </c>
      <c r="BH379" t="s">
        <v>97</v>
      </c>
      <c r="BI379">
        <v>669257</v>
      </c>
      <c r="BJ379">
        <v>669257</v>
      </c>
      <c r="BK379" t="s">
        <v>97</v>
      </c>
      <c r="BL379" t="s">
        <v>97</v>
      </c>
      <c r="BM379">
        <v>-7.5359575430000003</v>
      </c>
      <c r="BN379">
        <v>-122.40478040000001</v>
      </c>
      <c r="BO379">
        <v>-8.0560467950000003</v>
      </c>
      <c r="BP379">
        <v>13.77123701</v>
      </c>
      <c r="BQ379">
        <v>25.768355140000001</v>
      </c>
      <c r="BR379">
        <v>-20.239994459999998</v>
      </c>
      <c r="BS379">
        <v>3.69</v>
      </c>
      <c r="BT379">
        <v>1.73</v>
      </c>
      <c r="BU379" t="s">
        <v>97</v>
      </c>
      <c r="BV379" t="s">
        <v>97</v>
      </c>
      <c r="BW379" t="s">
        <v>97</v>
      </c>
      <c r="BX379">
        <v>84.8</v>
      </c>
      <c r="BY379">
        <v>1851</v>
      </c>
      <c r="BZ379">
        <v>6.9</v>
      </c>
      <c r="CA379">
        <v>813027</v>
      </c>
      <c r="CB379">
        <v>669257</v>
      </c>
      <c r="CC379">
        <v>669257</v>
      </c>
      <c r="CD379">
        <v>518692</v>
      </c>
      <c r="CE379">
        <v>669242</v>
      </c>
      <c r="CF379">
        <v>571970</v>
      </c>
      <c r="CG379">
        <v>605141</v>
      </c>
      <c r="CH379">
        <v>571771</v>
      </c>
      <c r="CI379">
        <v>681624</v>
      </c>
      <c r="CJ379">
        <v>606192</v>
      </c>
      <c r="CK379">
        <v>53.63</v>
      </c>
      <c r="CL379" t="s">
        <v>97</v>
      </c>
      <c r="CM379" t="s">
        <v>97</v>
      </c>
      <c r="CN379" t="s">
        <v>97</v>
      </c>
      <c r="CO379" t="s">
        <v>97</v>
      </c>
      <c r="CP379" t="s">
        <v>97</v>
      </c>
      <c r="CQ379" t="s">
        <v>97</v>
      </c>
      <c r="CR379" t="s">
        <v>97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2</v>
      </c>
      <c r="DA379" t="s">
        <v>107</v>
      </c>
      <c r="DB379" t="s">
        <v>107</v>
      </c>
      <c r="DC379">
        <v>132</v>
      </c>
      <c r="DD379">
        <v>0</v>
      </c>
      <c r="DE379">
        <v>4.1000000000000002E-2</v>
      </c>
      <c r="DF379" t="s">
        <v>97</v>
      </c>
      <c r="DG379" t="s">
        <v>97</v>
      </c>
    </row>
    <row r="380" spans="1:111" x14ac:dyDescent="0.2">
      <c r="A380">
        <v>2025</v>
      </c>
      <c r="B380" s="1">
        <v>45954</v>
      </c>
      <c r="C380" t="s">
        <v>95</v>
      </c>
      <c r="D380">
        <v>605483</v>
      </c>
      <c r="E380">
        <v>666182</v>
      </c>
      <c r="F380">
        <v>1</v>
      </c>
      <c r="G380">
        <v>0</v>
      </c>
      <c r="H380">
        <v>6</v>
      </c>
      <c r="I380" t="s">
        <v>163</v>
      </c>
      <c r="J380">
        <v>47</v>
      </c>
      <c r="K380">
        <v>2</v>
      </c>
      <c r="L380" t="s">
        <v>97</v>
      </c>
      <c r="M380" t="s">
        <v>132</v>
      </c>
      <c r="N380" t="s">
        <v>133</v>
      </c>
      <c r="O380">
        <f t="shared" si="80"/>
        <v>0</v>
      </c>
      <c r="P380">
        <f t="shared" si="81"/>
        <v>0</v>
      </c>
      <c r="Q380">
        <f t="shared" si="82"/>
        <v>0</v>
      </c>
      <c r="R380">
        <f t="shared" si="83"/>
        <v>0</v>
      </c>
      <c r="S380">
        <f t="shared" si="84"/>
        <v>0</v>
      </c>
      <c r="T380">
        <f t="shared" si="85"/>
        <v>0</v>
      </c>
      <c r="U380">
        <f t="shared" si="86"/>
        <v>0</v>
      </c>
      <c r="V380">
        <f t="shared" si="87"/>
        <v>0</v>
      </c>
      <c r="W380">
        <f t="shared" si="88"/>
        <v>1</v>
      </c>
      <c r="X380">
        <f t="shared" si="89"/>
        <v>0</v>
      </c>
      <c r="Y380">
        <f t="shared" si="90"/>
        <v>0</v>
      </c>
      <c r="Z380">
        <f t="shared" si="91"/>
        <v>0</v>
      </c>
      <c r="AA380">
        <f t="shared" si="92"/>
        <v>0</v>
      </c>
      <c r="AB380">
        <f t="shared" si="93"/>
        <v>0</v>
      </c>
      <c r="AC380">
        <f t="shared" si="94"/>
        <v>0</v>
      </c>
      <c r="AD380">
        <f t="shared" si="95"/>
        <v>0</v>
      </c>
      <c r="AE380">
        <v>87</v>
      </c>
      <c r="AF380">
        <v>2.2200000000000002</v>
      </c>
      <c r="AG380">
        <v>6.27</v>
      </c>
      <c r="AH380" t="s">
        <v>100</v>
      </c>
      <c r="AI380" t="s">
        <v>97</v>
      </c>
      <c r="AJ380" t="s">
        <v>97</v>
      </c>
      <c r="AK380" t="s">
        <v>97</v>
      </c>
      <c r="AL380" t="s">
        <v>97</v>
      </c>
      <c r="AM380">
        <v>14</v>
      </c>
      <c r="AN380" t="s">
        <v>101</v>
      </c>
      <c r="AO380" t="s">
        <v>213</v>
      </c>
      <c r="AP380" t="s">
        <v>122</v>
      </c>
      <c r="AQ380" t="s">
        <v>103</v>
      </c>
      <c r="AR380" t="s">
        <v>214</v>
      </c>
      <c r="AS380" t="s">
        <v>104</v>
      </c>
      <c r="AT380" t="s">
        <v>106</v>
      </c>
      <c r="AU380" t="s">
        <v>97</v>
      </c>
      <c r="AV380" t="s">
        <v>97</v>
      </c>
      <c r="AW380">
        <v>1.21</v>
      </c>
      <c r="AX380">
        <v>1.17</v>
      </c>
      <c r="AY380">
        <v>0.62</v>
      </c>
      <c r="AZ380">
        <v>0.97</v>
      </c>
      <c r="BA380" t="s">
        <v>97</v>
      </c>
      <c r="BB380" t="s">
        <v>97</v>
      </c>
      <c r="BC380" t="s">
        <v>97</v>
      </c>
      <c r="BD380">
        <v>0</v>
      </c>
      <c r="BE380" t="s">
        <v>97</v>
      </c>
      <c r="BF380" t="s">
        <v>97</v>
      </c>
      <c r="BG380" t="s">
        <v>97</v>
      </c>
      <c r="BH380" t="s">
        <v>97</v>
      </c>
      <c r="BI380">
        <v>669257</v>
      </c>
      <c r="BJ380">
        <v>669257</v>
      </c>
      <c r="BK380" t="s">
        <v>97</v>
      </c>
      <c r="BL380" t="s">
        <v>97</v>
      </c>
      <c r="BM380">
        <v>-6.3892824480000003</v>
      </c>
      <c r="BN380">
        <v>-126.16561900000001</v>
      </c>
      <c r="BO380">
        <v>-8.9394184039999995</v>
      </c>
      <c r="BP380">
        <v>14.26699299</v>
      </c>
      <c r="BQ380">
        <v>27.892667490000001</v>
      </c>
      <c r="BR380">
        <v>-17.977261630000001</v>
      </c>
      <c r="BS380">
        <v>3.68</v>
      </c>
      <c r="BT380">
        <v>1.72</v>
      </c>
      <c r="BU380" t="s">
        <v>97</v>
      </c>
      <c r="BV380" t="s">
        <v>97</v>
      </c>
      <c r="BW380" t="s">
        <v>97</v>
      </c>
      <c r="BX380">
        <v>87.6</v>
      </c>
      <c r="BY380">
        <v>1971</v>
      </c>
      <c r="BZ380">
        <v>7.1</v>
      </c>
      <c r="CA380">
        <v>813027</v>
      </c>
      <c r="CB380">
        <v>669257</v>
      </c>
      <c r="CC380">
        <v>669257</v>
      </c>
      <c r="CD380">
        <v>518692</v>
      </c>
      <c r="CE380">
        <v>669242</v>
      </c>
      <c r="CF380">
        <v>571970</v>
      </c>
      <c r="CG380">
        <v>605141</v>
      </c>
      <c r="CH380">
        <v>571771</v>
      </c>
      <c r="CI380">
        <v>681624</v>
      </c>
      <c r="CJ380">
        <v>606192</v>
      </c>
      <c r="CK380">
        <v>53.43</v>
      </c>
      <c r="CL380" t="s">
        <v>97</v>
      </c>
      <c r="CM380" t="s">
        <v>97</v>
      </c>
      <c r="CN380" t="s">
        <v>97</v>
      </c>
      <c r="CO380" t="s">
        <v>97</v>
      </c>
      <c r="CP380" t="s">
        <v>97</v>
      </c>
      <c r="CQ380" t="s">
        <v>97</v>
      </c>
      <c r="CR380" t="s">
        <v>97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 t="s">
        <v>107</v>
      </c>
      <c r="DB380" t="s">
        <v>107</v>
      </c>
      <c r="DC380">
        <v>133</v>
      </c>
      <c r="DD380">
        <v>0</v>
      </c>
      <c r="DE380">
        <v>7.6999999999999999E-2</v>
      </c>
      <c r="DF380" t="s">
        <v>97</v>
      </c>
      <c r="DG380" t="s">
        <v>97</v>
      </c>
    </row>
    <row r="381" spans="1:111" x14ac:dyDescent="0.2">
      <c r="A381">
        <v>2025</v>
      </c>
      <c r="B381" s="1">
        <v>45954</v>
      </c>
      <c r="C381" t="s">
        <v>95</v>
      </c>
      <c r="D381">
        <v>605483</v>
      </c>
      <c r="E381">
        <v>666182</v>
      </c>
      <c r="F381">
        <v>2</v>
      </c>
      <c r="G381">
        <v>0</v>
      </c>
      <c r="H381">
        <v>6</v>
      </c>
      <c r="I381" t="s">
        <v>163</v>
      </c>
      <c r="J381">
        <v>47</v>
      </c>
      <c r="K381">
        <v>3</v>
      </c>
      <c r="L381" t="s">
        <v>97</v>
      </c>
      <c r="M381" t="s">
        <v>132</v>
      </c>
      <c r="N381" t="s">
        <v>133</v>
      </c>
      <c r="O381">
        <f t="shared" si="80"/>
        <v>0</v>
      </c>
      <c r="P381">
        <f t="shared" si="81"/>
        <v>0</v>
      </c>
      <c r="Q381">
        <f t="shared" si="82"/>
        <v>0</v>
      </c>
      <c r="R381">
        <f t="shared" si="83"/>
        <v>0</v>
      </c>
      <c r="S381">
        <f t="shared" si="84"/>
        <v>0</v>
      </c>
      <c r="T381">
        <f t="shared" si="85"/>
        <v>0</v>
      </c>
      <c r="U381">
        <f t="shared" si="86"/>
        <v>0</v>
      </c>
      <c r="V381">
        <f t="shared" si="87"/>
        <v>0</v>
      </c>
      <c r="W381">
        <f t="shared" si="88"/>
        <v>0</v>
      </c>
      <c r="X381">
        <f t="shared" si="89"/>
        <v>1</v>
      </c>
      <c r="Y381">
        <f t="shared" si="90"/>
        <v>0</v>
      </c>
      <c r="Z381">
        <f t="shared" si="91"/>
        <v>0</v>
      </c>
      <c r="AA381">
        <f t="shared" si="92"/>
        <v>0</v>
      </c>
      <c r="AB381">
        <f t="shared" si="93"/>
        <v>0</v>
      </c>
      <c r="AC381">
        <f t="shared" si="94"/>
        <v>0</v>
      </c>
      <c r="AD381">
        <f t="shared" si="95"/>
        <v>0</v>
      </c>
      <c r="AE381">
        <v>87.3</v>
      </c>
      <c r="AF381">
        <v>2.08</v>
      </c>
      <c r="AG381">
        <v>6.33</v>
      </c>
      <c r="AH381" t="s">
        <v>100</v>
      </c>
      <c r="AI381" t="s">
        <v>97</v>
      </c>
      <c r="AJ381" t="s">
        <v>97</v>
      </c>
      <c r="AK381" t="s">
        <v>97</v>
      </c>
      <c r="AL381" t="s">
        <v>97</v>
      </c>
      <c r="AM381">
        <v>13</v>
      </c>
      <c r="AN381" t="s">
        <v>101</v>
      </c>
      <c r="AO381" t="s">
        <v>213</v>
      </c>
      <c r="AP381" t="s">
        <v>122</v>
      </c>
      <c r="AQ381" t="s">
        <v>103</v>
      </c>
      <c r="AR381" t="s">
        <v>214</v>
      </c>
      <c r="AS381" t="s">
        <v>104</v>
      </c>
      <c r="AT381" t="s">
        <v>106</v>
      </c>
      <c r="AU381" t="s">
        <v>97</v>
      </c>
      <c r="AV381" t="s">
        <v>97</v>
      </c>
      <c r="AW381">
        <v>1.26</v>
      </c>
      <c r="AX381">
        <v>0.95</v>
      </c>
      <c r="AY381">
        <v>-0.19</v>
      </c>
      <c r="AZ381">
        <v>1.19</v>
      </c>
      <c r="BA381" t="s">
        <v>97</v>
      </c>
      <c r="BB381" t="s">
        <v>97</v>
      </c>
      <c r="BC381" t="s">
        <v>97</v>
      </c>
      <c r="BD381">
        <v>0</v>
      </c>
      <c r="BE381" t="s">
        <v>97</v>
      </c>
      <c r="BF381" t="s">
        <v>97</v>
      </c>
      <c r="BG381" t="s">
        <v>97</v>
      </c>
      <c r="BH381" t="s">
        <v>97</v>
      </c>
      <c r="BI381">
        <v>669257</v>
      </c>
      <c r="BJ381">
        <v>669257</v>
      </c>
      <c r="BK381" t="s">
        <v>97</v>
      </c>
      <c r="BL381" t="s">
        <v>97</v>
      </c>
      <c r="BM381">
        <v>-8.128866167</v>
      </c>
      <c r="BN381">
        <v>-126.5691522</v>
      </c>
      <c r="BO381">
        <v>-8.175277286</v>
      </c>
      <c r="BP381">
        <v>15.22270913</v>
      </c>
      <c r="BQ381">
        <v>27.418793260000001</v>
      </c>
      <c r="BR381">
        <v>-20.414964300000001</v>
      </c>
      <c r="BS381">
        <v>3.69</v>
      </c>
      <c r="BT381">
        <v>1.73</v>
      </c>
      <c r="BU381" t="s">
        <v>97</v>
      </c>
      <c r="BV381" t="s">
        <v>97</v>
      </c>
      <c r="BW381" t="s">
        <v>97</v>
      </c>
      <c r="BX381">
        <v>87.9</v>
      </c>
      <c r="BY381">
        <v>1921</v>
      </c>
      <c r="BZ381">
        <v>7</v>
      </c>
      <c r="CA381">
        <v>813027</v>
      </c>
      <c r="CB381">
        <v>669257</v>
      </c>
      <c r="CC381">
        <v>669257</v>
      </c>
      <c r="CD381">
        <v>518692</v>
      </c>
      <c r="CE381">
        <v>669242</v>
      </c>
      <c r="CF381">
        <v>571970</v>
      </c>
      <c r="CG381">
        <v>605141</v>
      </c>
      <c r="CH381">
        <v>571771</v>
      </c>
      <c r="CI381">
        <v>681624</v>
      </c>
      <c r="CJ381">
        <v>606192</v>
      </c>
      <c r="CK381">
        <v>53.5</v>
      </c>
      <c r="CL381" t="s">
        <v>97</v>
      </c>
      <c r="CM381" t="s">
        <v>97</v>
      </c>
      <c r="CN381" t="s">
        <v>97</v>
      </c>
      <c r="CO381" t="s">
        <v>97</v>
      </c>
      <c r="CP381" t="s">
        <v>97</v>
      </c>
      <c r="CQ381" t="s">
        <v>97</v>
      </c>
      <c r="CR381" t="s">
        <v>97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 t="s">
        <v>107</v>
      </c>
      <c r="DB381" t="s">
        <v>107</v>
      </c>
      <c r="DC381">
        <v>134</v>
      </c>
      <c r="DD381">
        <v>0</v>
      </c>
      <c r="DE381">
        <v>0.152</v>
      </c>
      <c r="DF381" t="s">
        <v>97</v>
      </c>
      <c r="DG381" t="s">
        <v>97</v>
      </c>
    </row>
    <row r="382" spans="1:111" x14ac:dyDescent="0.2">
      <c r="A382">
        <v>2025</v>
      </c>
      <c r="B382" s="1">
        <v>45954</v>
      </c>
      <c r="C382" t="s">
        <v>95</v>
      </c>
      <c r="D382">
        <v>605483</v>
      </c>
      <c r="E382">
        <v>666182</v>
      </c>
      <c r="F382">
        <v>3</v>
      </c>
      <c r="G382">
        <v>0</v>
      </c>
      <c r="H382">
        <v>6</v>
      </c>
      <c r="I382" t="s">
        <v>163</v>
      </c>
      <c r="J382">
        <v>47</v>
      </c>
      <c r="K382">
        <v>4</v>
      </c>
      <c r="L382" t="s">
        <v>97</v>
      </c>
      <c r="M382" t="s">
        <v>98</v>
      </c>
      <c r="N382" t="s">
        <v>99</v>
      </c>
      <c r="O382">
        <f t="shared" si="80"/>
        <v>0</v>
      </c>
      <c r="P382">
        <f t="shared" si="81"/>
        <v>0</v>
      </c>
      <c r="Q382">
        <f t="shared" si="82"/>
        <v>1</v>
      </c>
      <c r="R382">
        <f t="shared" si="83"/>
        <v>0</v>
      </c>
      <c r="S382">
        <f t="shared" si="84"/>
        <v>0</v>
      </c>
      <c r="T382">
        <f t="shared" si="85"/>
        <v>0</v>
      </c>
      <c r="U382">
        <f t="shared" si="86"/>
        <v>0</v>
      </c>
      <c r="V382">
        <f t="shared" si="87"/>
        <v>0</v>
      </c>
      <c r="W382">
        <f t="shared" si="88"/>
        <v>0</v>
      </c>
      <c r="X382">
        <f t="shared" si="89"/>
        <v>0</v>
      </c>
      <c r="Y382">
        <f t="shared" si="90"/>
        <v>0</v>
      </c>
      <c r="Z382">
        <f t="shared" si="91"/>
        <v>0</v>
      </c>
      <c r="AA382">
        <f t="shared" si="92"/>
        <v>0</v>
      </c>
      <c r="AB382">
        <f t="shared" si="93"/>
        <v>0</v>
      </c>
      <c r="AC382">
        <f t="shared" si="94"/>
        <v>0</v>
      </c>
      <c r="AD382">
        <f t="shared" si="95"/>
        <v>0</v>
      </c>
      <c r="AE382">
        <v>94.3</v>
      </c>
      <c r="AF382">
        <v>1.91</v>
      </c>
      <c r="AG382">
        <v>6.45</v>
      </c>
      <c r="AH382" t="s">
        <v>108</v>
      </c>
      <c r="AI382" t="s">
        <v>97</v>
      </c>
      <c r="AJ382" t="s">
        <v>97</v>
      </c>
      <c r="AK382" t="s">
        <v>97</v>
      </c>
      <c r="AL382" t="s">
        <v>97</v>
      </c>
      <c r="AM382">
        <v>6</v>
      </c>
      <c r="AN382" t="s">
        <v>109</v>
      </c>
      <c r="AO382" t="s">
        <v>213</v>
      </c>
      <c r="AP382" t="s">
        <v>122</v>
      </c>
      <c r="AQ382" t="s">
        <v>103</v>
      </c>
      <c r="AR382" t="s">
        <v>214</v>
      </c>
      <c r="AS382" t="s">
        <v>104</v>
      </c>
      <c r="AT382" t="s">
        <v>110</v>
      </c>
      <c r="AU382" t="s">
        <v>97</v>
      </c>
      <c r="AV382" t="s">
        <v>97</v>
      </c>
      <c r="AW382">
        <v>0.68</v>
      </c>
      <c r="AX382">
        <v>1.45</v>
      </c>
      <c r="AY382">
        <v>0.78</v>
      </c>
      <c r="AZ382">
        <v>2.4500000000000002</v>
      </c>
      <c r="BA382" t="s">
        <v>97</v>
      </c>
      <c r="BB382" t="s">
        <v>97</v>
      </c>
      <c r="BC382" t="s">
        <v>97</v>
      </c>
      <c r="BD382">
        <v>0</v>
      </c>
      <c r="BE382" t="s">
        <v>97</v>
      </c>
      <c r="BF382" t="s">
        <v>97</v>
      </c>
      <c r="BG382" t="s">
        <v>97</v>
      </c>
      <c r="BH382" t="s">
        <v>97</v>
      </c>
      <c r="BI382">
        <v>669257</v>
      </c>
      <c r="BJ382">
        <v>669257</v>
      </c>
      <c r="BK382" t="s">
        <v>97</v>
      </c>
      <c r="BL382" t="s">
        <v>97</v>
      </c>
      <c r="BM382">
        <v>-4.5090073779999997</v>
      </c>
      <c r="BN382">
        <v>-137.0566096</v>
      </c>
      <c r="BO382">
        <v>-7.9687374110000002</v>
      </c>
      <c r="BP382">
        <v>9.6368464849999995</v>
      </c>
      <c r="BQ382">
        <v>32.090835050000003</v>
      </c>
      <c r="BR382">
        <v>-12.27551845</v>
      </c>
      <c r="BS382">
        <v>3.8</v>
      </c>
      <c r="BT382">
        <v>1.76</v>
      </c>
      <c r="BU382" t="s">
        <v>97</v>
      </c>
      <c r="BV382" t="s">
        <v>97</v>
      </c>
      <c r="BW382" t="s">
        <v>97</v>
      </c>
      <c r="BX382">
        <v>95</v>
      </c>
      <c r="BY382">
        <v>2330</v>
      </c>
      <c r="BZ382">
        <v>6.9</v>
      </c>
      <c r="CA382">
        <v>813027</v>
      </c>
      <c r="CB382">
        <v>669257</v>
      </c>
      <c r="CC382">
        <v>669257</v>
      </c>
      <c r="CD382">
        <v>518692</v>
      </c>
      <c r="CE382">
        <v>669242</v>
      </c>
      <c r="CF382">
        <v>571970</v>
      </c>
      <c r="CG382">
        <v>605141</v>
      </c>
      <c r="CH382">
        <v>571771</v>
      </c>
      <c r="CI382">
        <v>681624</v>
      </c>
      <c r="CJ382">
        <v>606192</v>
      </c>
      <c r="CK382">
        <v>53.61</v>
      </c>
      <c r="CL382" t="s">
        <v>97</v>
      </c>
      <c r="CM382" t="s">
        <v>97</v>
      </c>
      <c r="CN382" t="s">
        <v>97</v>
      </c>
      <c r="CO382" t="s">
        <v>97</v>
      </c>
      <c r="CP382" t="s">
        <v>97</v>
      </c>
      <c r="CQ382" t="s">
        <v>97</v>
      </c>
      <c r="CR382" t="s">
        <v>97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2</v>
      </c>
      <c r="DA382" t="s">
        <v>107</v>
      </c>
      <c r="DB382" t="s">
        <v>107</v>
      </c>
      <c r="DC382">
        <v>156</v>
      </c>
      <c r="DD382">
        <v>0</v>
      </c>
      <c r="DE382">
        <v>-9.0999999999999998E-2</v>
      </c>
      <c r="DF382" t="s">
        <v>97</v>
      </c>
      <c r="DG382" t="s">
        <v>97</v>
      </c>
    </row>
    <row r="383" spans="1:111" x14ac:dyDescent="0.2">
      <c r="A383">
        <v>2025</v>
      </c>
      <c r="B383" s="1">
        <v>45954</v>
      </c>
      <c r="C383" t="s">
        <v>95</v>
      </c>
      <c r="D383">
        <v>605483</v>
      </c>
      <c r="E383">
        <v>666182</v>
      </c>
      <c r="F383">
        <v>3</v>
      </c>
      <c r="G383">
        <v>1</v>
      </c>
      <c r="H383">
        <v>6</v>
      </c>
      <c r="I383" t="s">
        <v>163</v>
      </c>
      <c r="J383">
        <v>47</v>
      </c>
      <c r="K383">
        <v>5</v>
      </c>
      <c r="L383" t="s">
        <v>97</v>
      </c>
      <c r="M383" t="s">
        <v>132</v>
      </c>
      <c r="N383" t="s">
        <v>133</v>
      </c>
      <c r="O383">
        <f t="shared" si="80"/>
        <v>0</v>
      </c>
      <c r="P383">
        <f t="shared" si="81"/>
        <v>0</v>
      </c>
      <c r="Q383">
        <f t="shared" si="82"/>
        <v>0</v>
      </c>
      <c r="R383">
        <f t="shared" si="83"/>
        <v>0</v>
      </c>
      <c r="S383">
        <f t="shared" si="84"/>
        <v>0</v>
      </c>
      <c r="T383">
        <f t="shared" si="85"/>
        <v>0</v>
      </c>
      <c r="U383">
        <f t="shared" si="86"/>
        <v>0</v>
      </c>
      <c r="V383">
        <f t="shared" si="87"/>
        <v>0</v>
      </c>
      <c r="W383">
        <f t="shared" si="88"/>
        <v>0</v>
      </c>
      <c r="X383">
        <f t="shared" si="89"/>
        <v>1</v>
      </c>
      <c r="Y383">
        <f t="shared" si="90"/>
        <v>0</v>
      </c>
      <c r="Z383">
        <f t="shared" si="91"/>
        <v>0</v>
      </c>
      <c r="AA383">
        <f t="shared" si="92"/>
        <v>0</v>
      </c>
      <c r="AB383">
        <f t="shared" si="93"/>
        <v>0</v>
      </c>
      <c r="AC383">
        <f t="shared" si="94"/>
        <v>0</v>
      </c>
      <c r="AD383">
        <f t="shared" si="95"/>
        <v>0</v>
      </c>
      <c r="AE383">
        <v>87.2</v>
      </c>
      <c r="AF383">
        <v>2.12</v>
      </c>
      <c r="AG383">
        <v>6.3</v>
      </c>
      <c r="AH383" t="s">
        <v>129</v>
      </c>
      <c r="AI383" t="s">
        <v>97</v>
      </c>
      <c r="AJ383" t="s">
        <v>97</v>
      </c>
      <c r="AK383" t="s">
        <v>97</v>
      </c>
      <c r="AL383" t="s">
        <v>97</v>
      </c>
      <c r="AM383">
        <v>13</v>
      </c>
      <c r="AN383" t="s">
        <v>130</v>
      </c>
      <c r="AO383" t="s">
        <v>213</v>
      </c>
      <c r="AP383" t="s">
        <v>122</v>
      </c>
      <c r="AQ383" t="s">
        <v>103</v>
      </c>
      <c r="AR383" t="s">
        <v>214</v>
      </c>
      <c r="AS383" t="s">
        <v>104</v>
      </c>
      <c r="AT383" t="s">
        <v>110</v>
      </c>
      <c r="AU383" t="s">
        <v>97</v>
      </c>
      <c r="AV383" t="s">
        <v>97</v>
      </c>
      <c r="AW383">
        <v>1.33</v>
      </c>
      <c r="AX383">
        <v>0.94</v>
      </c>
      <c r="AY383">
        <v>-0.3</v>
      </c>
      <c r="AZ383">
        <v>1.51</v>
      </c>
      <c r="BA383" t="s">
        <v>97</v>
      </c>
      <c r="BB383" t="s">
        <v>97</v>
      </c>
      <c r="BC383" t="s">
        <v>97</v>
      </c>
      <c r="BD383">
        <v>0</v>
      </c>
      <c r="BE383" t="s">
        <v>97</v>
      </c>
      <c r="BF383" t="s">
        <v>97</v>
      </c>
      <c r="BG383" t="s">
        <v>97</v>
      </c>
      <c r="BH383" t="s">
        <v>97</v>
      </c>
      <c r="BI383">
        <v>669257</v>
      </c>
      <c r="BJ383">
        <v>669257</v>
      </c>
      <c r="BK383" t="s">
        <v>97</v>
      </c>
      <c r="BL383" t="s">
        <v>97</v>
      </c>
      <c r="BM383">
        <v>-8.6455958370000001</v>
      </c>
      <c r="BN383">
        <v>-126.4352337</v>
      </c>
      <c r="BO383">
        <v>-7.2852870230000004</v>
      </c>
      <c r="BP383">
        <v>16.08311376</v>
      </c>
      <c r="BQ383">
        <v>27.399126849999998</v>
      </c>
      <c r="BR383">
        <v>-20.665296770000001</v>
      </c>
      <c r="BS383">
        <v>3.66</v>
      </c>
      <c r="BT383">
        <v>1.71</v>
      </c>
      <c r="BU383">
        <v>228</v>
      </c>
      <c r="BV383">
        <v>76.3</v>
      </c>
      <c r="BW383">
        <v>41</v>
      </c>
      <c r="BX383">
        <v>87.7</v>
      </c>
      <c r="BY383">
        <v>1912</v>
      </c>
      <c r="BZ383">
        <v>7</v>
      </c>
      <c r="CA383">
        <v>813027</v>
      </c>
      <c r="CB383">
        <v>669257</v>
      </c>
      <c r="CC383">
        <v>669257</v>
      </c>
      <c r="CD383">
        <v>518692</v>
      </c>
      <c r="CE383">
        <v>669242</v>
      </c>
      <c r="CF383">
        <v>571970</v>
      </c>
      <c r="CG383">
        <v>605141</v>
      </c>
      <c r="CH383">
        <v>571771</v>
      </c>
      <c r="CI383">
        <v>681624</v>
      </c>
      <c r="CJ383">
        <v>606192</v>
      </c>
      <c r="CK383">
        <v>53.54</v>
      </c>
      <c r="CL383" t="s">
        <v>97</v>
      </c>
      <c r="CM383" t="s">
        <v>97</v>
      </c>
      <c r="CN383" t="s">
        <v>97</v>
      </c>
      <c r="CO383" t="s">
        <v>97</v>
      </c>
      <c r="CP383" t="s">
        <v>97</v>
      </c>
      <c r="CQ383" t="s">
        <v>97</v>
      </c>
      <c r="CR383" t="s">
        <v>97</v>
      </c>
      <c r="CS383">
        <v>2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2</v>
      </c>
      <c r="DA383" t="s">
        <v>107</v>
      </c>
      <c r="DB383" t="s">
        <v>107</v>
      </c>
      <c r="DC383">
        <v>130</v>
      </c>
      <c r="DD383">
        <v>0</v>
      </c>
      <c r="DE383">
        <v>-9.4E-2</v>
      </c>
      <c r="DF383">
        <v>70.900000000000006</v>
      </c>
      <c r="DG383">
        <v>7.3</v>
      </c>
    </row>
    <row r="384" spans="1:111" x14ac:dyDescent="0.2">
      <c r="A384">
        <v>2025</v>
      </c>
      <c r="B384" s="1">
        <v>45954</v>
      </c>
      <c r="C384" t="s">
        <v>95</v>
      </c>
      <c r="D384">
        <v>605483</v>
      </c>
      <c r="E384">
        <v>666182</v>
      </c>
      <c r="F384">
        <v>3</v>
      </c>
      <c r="G384">
        <v>2</v>
      </c>
      <c r="H384">
        <v>6</v>
      </c>
      <c r="I384" t="s">
        <v>163</v>
      </c>
      <c r="J384">
        <v>47</v>
      </c>
      <c r="K384">
        <v>6</v>
      </c>
      <c r="L384" t="s">
        <v>142</v>
      </c>
      <c r="M384" t="s">
        <v>98</v>
      </c>
      <c r="N384" t="s">
        <v>99</v>
      </c>
      <c r="O384">
        <f t="shared" si="80"/>
        <v>0</v>
      </c>
      <c r="P384">
        <f t="shared" si="81"/>
        <v>0</v>
      </c>
      <c r="Q384">
        <f t="shared" si="82"/>
        <v>0</v>
      </c>
      <c r="R384">
        <f t="shared" si="83"/>
        <v>1</v>
      </c>
      <c r="S384">
        <f t="shared" si="84"/>
        <v>0</v>
      </c>
      <c r="T384">
        <f t="shared" si="85"/>
        <v>0</v>
      </c>
      <c r="U384">
        <f t="shared" si="86"/>
        <v>0</v>
      </c>
      <c r="V384">
        <f t="shared" si="87"/>
        <v>0</v>
      </c>
      <c r="W384">
        <f t="shared" si="88"/>
        <v>0</v>
      </c>
      <c r="X384">
        <f t="shared" si="89"/>
        <v>0</v>
      </c>
      <c r="Y384">
        <f t="shared" si="90"/>
        <v>0</v>
      </c>
      <c r="Z384">
        <f t="shared" si="91"/>
        <v>0</v>
      </c>
      <c r="AA384">
        <f t="shared" si="92"/>
        <v>0</v>
      </c>
      <c r="AB384">
        <f t="shared" si="93"/>
        <v>0</v>
      </c>
      <c r="AC384">
        <f t="shared" si="94"/>
        <v>0</v>
      </c>
      <c r="AD384">
        <f t="shared" si="95"/>
        <v>0</v>
      </c>
      <c r="AE384">
        <v>96.4</v>
      </c>
      <c r="AF384">
        <v>2.0499999999999998</v>
      </c>
      <c r="AG384">
        <v>6.41</v>
      </c>
      <c r="AH384" t="s">
        <v>100</v>
      </c>
      <c r="AI384" t="s">
        <v>97</v>
      </c>
      <c r="AJ384" t="s">
        <v>97</v>
      </c>
      <c r="AK384" t="s">
        <v>97</v>
      </c>
      <c r="AL384" t="s">
        <v>97</v>
      </c>
      <c r="AM384">
        <v>12</v>
      </c>
      <c r="AN384" t="s">
        <v>239</v>
      </c>
      <c r="AO384" t="s">
        <v>213</v>
      </c>
      <c r="AP384" t="s">
        <v>122</v>
      </c>
      <c r="AQ384" t="s">
        <v>103</v>
      </c>
      <c r="AR384" t="s">
        <v>214</v>
      </c>
      <c r="AS384" t="s">
        <v>104</v>
      </c>
      <c r="AT384" t="s">
        <v>106</v>
      </c>
      <c r="AU384" t="s">
        <v>97</v>
      </c>
      <c r="AV384" t="s">
        <v>97</v>
      </c>
      <c r="AW384">
        <v>0.63</v>
      </c>
      <c r="AX384">
        <v>1.57</v>
      </c>
      <c r="AY384">
        <v>1.03</v>
      </c>
      <c r="AZ384">
        <v>4.2</v>
      </c>
      <c r="BA384" t="s">
        <v>97</v>
      </c>
      <c r="BB384" t="s">
        <v>97</v>
      </c>
      <c r="BC384" t="s">
        <v>97</v>
      </c>
      <c r="BD384">
        <v>0</v>
      </c>
      <c r="BE384" t="s">
        <v>97</v>
      </c>
      <c r="BF384" t="s">
        <v>97</v>
      </c>
      <c r="BG384" t="s">
        <v>97</v>
      </c>
      <c r="BH384" t="s">
        <v>97</v>
      </c>
      <c r="BI384">
        <v>669257</v>
      </c>
      <c r="BJ384">
        <v>669257</v>
      </c>
      <c r="BK384" t="s">
        <v>97</v>
      </c>
      <c r="BL384" t="s">
        <v>97</v>
      </c>
      <c r="BM384">
        <v>-4.1944103899999998</v>
      </c>
      <c r="BN384">
        <v>-140.18251559999999</v>
      </c>
      <c r="BO384">
        <v>-3.8402146739999998</v>
      </c>
      <c r="BP384">
        <v>9.3005658150000006</v>
      </c>
      <c r="BQ384">
        <v>36.621506060000002</v>
      </c>
      <c r="BR384">
        <v>-10.96949723</v>
      </c>
      <c r="BS384">
        <v>3.32</v>
      </c>
      <c r="BT384">
        <v>1.56</v>
      </c>
      <c r="BU384" t="s">
        <v>97</v>
      </c>
      <c r="BV384" t="s">
        <v>97</v>
      </c>
      <c r="BW384" t="s">
        <v>97</v>
      </c>
      <c r="BX384">
        <v>96.8</v>
      </c>
      <c r="BY384">
        <v>2461</v>
      </c>
      <c r="BZ384">
        <v>6.9</v>
      </c>
      <c r="CA384">
        <v>813027</v>
      </c>
      <c r="CB384">
        <v>669257</v>
      </c>
      <c r="CC384">
        <v>669257</v>
      </c>
      <c r="CD384">
        <v>518692</v>
      </c>
      <c r="CE384">
        <v>669242</v>
      </c>
      <c r="CF384">
        <v>571970</v>
      </c>
      <c r="CG384">
        <v>605141</v>
      </c>
      <c r="CH384">
        <v>571771</v>
      </c>
      <c r="CI384">
        <v>681624</v>
      </c>
      <c r="CJ384">
        <v>606192</v>
      </c>
      <c r="CK384">
        <v>53.62</v>
      </c>
      <c r="CL384" t="s">
        <v>97</v>
      </c>
      <c r="CM384">
        <v>0.69149700000000003</v>
      </c>
      <c r="CN384">
        <v>0.7</v>
      </c>
      <c r="CO384">
        <v>1</v>
      </c>
      <c r="CP384">
        <v>0</v>
      </c>
      <c r="CQ384">
        <v>0</v>
      </c>
      <c r="CR384" t="s">
        <v>97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 t="s">
        <v>107</v>
      </c>
      <c r="DB384" t="s">
        <v>107</v>
      </c>
      <c r="DC384">
        <v>154</v>
      </c>
      <c r="DD384">
        <v>5.0999999999999997E-2</v>
      </c>
      <c r="DE384">
        <v>0.35599999999999998</v>
      </c>
      <c r="DF384" t="s">
        <v>97</v>
      </c>
      <c r="DG384" t="s">
        <v>97</v>
      </c>
    </row>
    <row r="385" spans="1:111" x14ac:dyDescent="0.2">
      <c r="A385">
        <v>2025</v>
      </c>
      <c r="B385" s="1">
        <v>45954</v>
      </c>
      <c r="C385" t="s">
        <v>95</v>
      </c>
      <c r="D385">
        <v>605483</v>
      </c>
      <c r="E385">
        <v>672386</v>
      </c>
      <c r="F385">
        <v>0</v>
      </c>
      <c r="G385">
        <v>0</v>
      </c>
      <c r="H385">
        <v>6</v>
      </c>
      <c r="I385" t="s">
        <v>163</v>
      </c>
      <c r="J385">
        <v>48</v>
      </c>
      <c r="K385">
        <v>1</v>
      </c>
      <c r="L385" t="s">
        <v>155</v>
      </c>
      <c r="M385" t="s">
        <v>138</v>
      </c>
      <c r="N385" t="s">
        <v>139</v>
      </c>
      <c r="O385">
        <f t="shared" si="80"/>
        <v>0</v>
      </c>
      <c r="P385">
        <f t="shared" si="81"/>
        <v>0</v>
      </c>
      <c r="Q385">
        <f t="shared" si="82"/>
        <v>0</v>
      </c>
      <c r="R385">
        <f t="shared" si="83"/>
        <v>0</v>
      </c>
      <c r="S385">
        <f t="shared" si="84"/>
        <v>0</v>
      </c>
      <c r="T385">
        <f t="shared" si="85"/>
        <v>0</v>
      </c>
      <c r="U385">
        <f t="shared" si="86"/>
        <v>0</v>
      </c>
      <c r="V385">
        <f t="shared" si="87"/>
        <v>0</v>
      </c>
      <c r="W385">
        <f t="shared" si="88"/>
        <v>0</v>
      </c>
      <c r="X385">
        <f t="shared" si="89"/>
        <v>0</v>
      </c>
      <c r="Y385">
        <f t="shared" si="90"/>
        <v>0</v>
      </c>
      <c r="Z385">
        <f t="shared" si="91"/>
        <v>0</v>
      </c>
      <c r="AA385">
        <f t="shared" si="92"/>
        <v>0</v>
      </c>
      <c r="AB385">
        <f t="shared" si="93"/>
        <v>0</v>
      </c>
      <c r="AC385">
        <f t="shared" si="94"/>
        <v>1</v>
      </c>
      <c r="AD385">
        <f t="shared" si="95"/>
        <v>0</v>
      </c>
      <c r="AE385">
        <v>90</v>
      </c>
      <c r="AF385">
        <v>1.94</v>
      </c>
      <c r="AG385">
        <v>6.36</v>
      </c>
      <c r="AH385" t="s">
        <v>120</v>
      </c>
      <c r="AI385" t="s">
        <v>97</v>
      </c>
      <c r="AJ385" t="s">
        <v>97</v>
      </c>
      <c r="AK385" t="s">
        <v>97</v>
      </c>
      <c r="AL385" t="s">
        <v>97</v>
      </c>
      <c r="AM385">
        <v>5</v>
      </c>
      <c r="AN385" t="s">
        <v>240</v>
      </c>
      <c r="AO385" t="s">
        <v>213</v>
      </c>
      <c r="AP385" t="s">
        <v>122</v>
      </c>
      <c r="AQ385" t="s">
        <v>103</v>
      </c>
      <c r="AR385" t="s">
        <v>214</v>
      </c>
      <c r="AS385" t="s">
        <v>104</v>
      </c>
      <c r="AT385" t="s">
        <v>123</v>
      </c>
      <c r="AU385">
        <v>9</v>
      </c>
      <c r="AV385" t="s">
        <v>127</v>
      </c>
      <c r="AW385">
        <v>0.19</v>
      </c>
      <c r="AX385">
        <v>0.56000000000000005</v>
      </c>
      <c r="AY385">
        <v>-0.2</v>
      </c>
      <c r="AZ385">
        <v>2.44</v>
      </c>
      <c r="BA385" t="s">
        <v>97</v>
      </c>
      <c r="BB385" t="s">
        <v>97</v>
      </c>
      <c r="BC385">
        <v>643396</v>
      </c>
      <c r="BD385">
        <v>0</v>
      </c>
      <c r="BE385">
        <v>173.55</v>
      </c>
      <c r="BF385">
        <v>128.91</v>
      </c>
      <c r="BG385" t="s">
        <v>97</v>
      </c>
      <c r="BH385" t="s">
        <v>97</v>
      </c>
      <c r="BI385">
        <v>669257</v>
      </c>
      <c r="BJ385">
        <v>669257</v>
      </c>
      <c r="BK385" t="s">
        <v>97</v>
      </c>
      <c r="BL385" t="s">
        <v>97</v>
      </c>
      <c r="BM385">
        <v>-5.7621998840000002</v>
      </c>
      <c r="BN385">
        <v>-130.8059452</v>
      </c>
      <c r="BO385">
        <v>-4.940931516</v>
      </c>
      <c r="BP385">
        <v>3.4432608290000002</v>
      </c>
      <c r="BQ385">
        <v>29.821718010000001</v>
      </c>
      <c r="BR385">
        <v>-24.885246500000001</v>
      </c>
      <c r="BS385">
        <v>3.1</v>
      </c>
      <c r="BT385">
        <v>1.49</v>
      </c>
      <c r="BU385">
        <v>11</v>
      </c>
      <c r="BV385">
        <v>99</v>
      </c>
      <c r="BW385">
        <v>-12</v>
      </c>
      <c r="BX385">
        <v>90.8</v>
      </c>
      <c r="BY385">
        <v>2299</v>
      </c>
      <c r="BZ385">
        <v>7</v>
      </c>
      <c r="CA385">
        <v>813027</v>
      </c>
      <c r="CB385">
        <v>669257</v>
      </c>
      <c r="CC385">
        <v>669257</v>
      </c>
      <c r="CD385">
        <v>518692</v>
      </c>
      <c r="CE385">
        <v>669242</v>
      </c>
      <c r="CF385">
        <v>571970</v>
      </c>
      <c r="CG385">
        <v>605141</v>
      </c>
      <c r="CH385">
        <v>571771</v>
      </c>
      <c r="CI385">
        <v>681624</v>
      </c>
      <c r="CJ385">
        <v>606192</v>
      </c>
      <c r="CK385">
        <v>53.48</v>
      </c>
      <c r="CL385">
        <v>0.30299999999999999</v>
      </c>
      <c r="CM385">
        <v>0.22</v>
      </c>
      <c r="CN385">
        <v>0.9</v>
      </c>
      <c r="CO385">
        <v>1</v>
      </c>
      <c r="CP385">
        <v>1</v>
      </c>
      <c r="CQ385">
        <v>0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2</v>
      </c>
      <c r="DA385" t="s">
        <v>107</v>
      </c>
      <c r="DB385" t="s">
        <v>107</v>
      </c>
      <c r="DC385">
        <v>167</v>
      </c>
      <c r="DD385">
        <v>7.0000000000000007E-2</v>
      </c>
      <c r="DE385">
        <v>0.46899999999999997</v>
      </c>
      <c r="DF385">
        <v>64.599999999999994</v>
      </c>
      <c r="DG385">
        <v>5.8</v>
      </c>
    </row>
    <row r="386" spans="1:111" x14ac:dyDescent="0.2">
      <c r="A386">
        <v>2025</v>
      </c>
      <c r="B386" s="1">
        <v>45954</v>
      </c>
      <c r="C386" t="s">
        <v>95</v>
      </c>
      <c r="D386">
        <v>605483</v>
      </c>
      <c r="E386">
        <v>662139</v>
      </c>
      <c r="F386">
        <v>0</v>
      </c>
      <c r="G386">
        <v>0</v>
      </c>
      <c r="H386">
        <v>6</v>
      </c>
      <c r="I386" t="s">
        <v>163</v>
      </c>
      <c r="J386">
        <v>49</v>
      </c>
      <c r="K386">
        <v>1</v>
      </c>
      <c r="L386" t="s">
        <v>97</v>
      </c>
      <c r="M386" t="s">
        <v>111</v>
      </c>
      <c r="N386" t="s">
        <v>112</v>
      </c>
      <c r="O386">
        <f t="shared" si="80"/>
        <v>0</v>
      </c>
      <c r="P386">
        <f t="shared" si="81"/>
        <v>0</v>
      </c>
      <c r="Q386">
        <f t="shared" si="82"/>
        <v>0</v>
      </c>
      <c r="R386">
        <f t="shared" si="83"/>
        <v>0</v>
      </c>
      <c r="S386">
        <f t="shared" si="84"/>
        <v>0</v>
      </c>
      <c r="T386">
        <f t="shared" si="85"/>
        <v>1</v>
      </c>
      <c r="U386">
        <f t="shared" si="86"/>
        <v>0</v>
      </c>
      <c r="V386">
        <f t="shared" si="87"/>
        <v>0</v>
      </c>
      <c r="W386">
        <f t="shared" si="88"/>
        <v>0</v>
      </c>
      <c r="X386">
        <f t="shared" si="89"/>
        <v>0</v>
      </c>
      <c r="Y386">
        <f t="shared" si="90"/>
        <v>0</v>
      </c>
      <c r="Z386">
        <f t="shared" si="91"/>
        <v>0</v>
      </c>
      <c r="AA386">
        <f t="shared" si="92"/>
        <v>0</v>
      </c>
      <c r="AB386">
        <f t="shared" si="93"/>
        <v>0</v>
      </c>
      <c r="AC386">
        <f t="shared" si="94"/>
        <v>0</v>
      </c>
      <c r="AD386">
        <f t="shared" si="95"/>
        <v>0</v>
      </c>
      <c r="AE386">
        <v>82.1</v>
      </c>
      <c r="AF386">
        <v>1.96</v>
      </c>
      <c r="AG386">
        <v>6.41</v>
      </c>
      <c r="AH386" t="s">
        <v>140</v>
      </c>
      <c r="AI386" t="s">
        <v>97</v>
      </c>
      <c r="AJ386" t="s">
        <v>97</v>
      </c>
      <c r="AK386" t="s">
        <v>97</v>
      </c>
      <c r="AL386" t="s">
        <v>97</v>
      </c>
      <c r="AM386">
        <v>13</v>
      </c>
      <c r="AN386" t="s">
        <v>141</v>
      </c>
      <c r="AO386" t="s">
        <v>213</v>
      </c>
      <c r="AP386" t="s">
        <v>103</v>
      </c>
      <c r="AQ386" t="s">
        <v>103</v>
      </c>
      <c r="AR386" t="s">
        <v>214</v>
      </c>
      <c r="AS386" t="s">
        <v>104</v>
      </c>
      <c r="AT386" t="s">
        <v>106</v>
      </c>
      <c r="AU386" t="s">
        <v>97</v>
      </c>
      <c r="AV386" t="s">
        <v>97</v>
      </c>
      <c r="AW386">
        <v>-0.84</v>
      </c>
      <c r="AX386">
        <v>-0.28000000000000003</v>
      </c>
      <c r="AY386">
        <v>-1.58</v>
      </c>
      <c r="AZ386">
        <v>0.71</v>
      </c>
      <c r="BA386" t="s">
        <v>97</v>
      </c>
      <c r="BB386">
        <v>643396</v>
      </c>
      <c r="BC386">
        <v>672386</v>
      </c>
      <c r="BD386">
        <v>0</v>
      </c>
      <c r="BE386" t="s">
        <v>97</v>
      </c>
      <c r="BF386" t="s">
        <v>97</v>
      </c>
      <c r="BG386" t="s">
        <v>97</v>
      </c>
      <c r="BH386" t="s">
        <v>97</v>
      </c>
      <c r="BI386">
        <v>669257</v>
      </c>
      <c r="BJ386">
        <v>669257</v>
      </c>
      <c r="BK386" t="s">
        <v>97</v>
      </c>
      <c r="BL386" t="s">
        <v>97</v>
      </c>
      <c r="BM386">
        <v>-6.4271168599999999</v>
      </c>
      <c r="BN386">
        <v>-119.2376067</v>
      </c>
      <c r="BO386">
        <v>-5.7090062440000002</v>
      </c>
      <c r="BP386">
        <v>-6.4322971779999998</v>
      </c>
      <c r="BQ386">
        <v>27.158143689999999</v>
      </c>
      <c r="BR386">
        <v>-33.752292420000003</v>
      </c>
      <c r="BS386">
        <v>3.34</v>
      </c>
      <c r="BT386">
        <v>1.48</v>
      </c>
      <c r="BU386" t="s">
        <v>97</v>
      </c>
      <c r="BV386" t="s">
        <v>97</v>
      </c>
      <c r="BW386" t="s">
        <v>97</v>
      </c>
      <c r="BX386">
        <v>82.2</v>
      </c>
      <c r="BY386">
        <v>2693</v>
      </c>
      <c r="BZ386">
        <v>6.9</v>
      </c>
      <c r="CA386">
        <v>813027</v>
      </c>
      <c r="CB386">
        <v>669257</v>
      </c>
      <c r="CC386">
        <v>669257</v>
      </c>
      <c r="CD386">
        <v>518692</v>
      </c>
      <c r="CE386">
        <v>669242</v>
      </c>
      <c r="CF386">
        <v>571970</v>
      </c>
      <c r="CG386">
        <v>605141</v>
      </c>
      <c r="CH386">
        <v>571771</v>
      </c>
      <c r="CI386">
        <v>681624</v>
      </c>
      <c r="CJ386">
        <v>606192</v>
      </c>
      <c r="CK386">
        <v>53.6</v>
      </c>
      <c r="CL386" t="s">
        <v>97</v>
      </c>
      <c r="CM386" t="s">
        <v>97</v>
      </c>
      <c r="CN386" t="s">
        <v>97</v>
      </c>
      <c r="CO386" t="s">
        <v>97</v>
      </c>
      <c r="CP386" t="s">
        <v>97</v>
      </c>
      <c r="CQ386" t="s">
        <v>97</v>
      </c>
      <c r="CR386" t="s">
        <v>97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2</v>
      </c>
      <c r="DA386" t="s">
        <v>107</v>
      </c>
      <c r="DB386" t="s">
        <v>107</v>
      </c>
      <c r="DC386">
        <v>320</v>
      </c>
      <c r="DD386">
        <v>0</v>
      </c>
      <c r="DE386">
        <v>4.4999999999999998E-2</v>
      </c>
      <c r="DF386" t="s">
        <v>97</v>
      </c>
      <c r="DG386" t="s">
        <v>97</v>
      </c>
    </row>
    <row r="387" spans="1:111" x14ac:dyDescent="0.2">
      <c r="A387">
        <v>2025</v>
      </c>
      <c r="B387" s="1">
        <v>45954</v>
      </c>
      <c r="C387" t="s">
        <v>95</v>
      </c>
      <c r="D387">
        <v>605483</v>
      </c>
      <c r="E387">
        <v>662139</v>
      </c>
      <c r="F387">
        <v>1</v>
      </c>
      <c r="G387">
        <v>0</v>
      </c>
      <c r="H387">
        <v>6</v>
      </c>
      <c r="I387" t="s">
        <v>163</v>
      </c>
      <c r="J387">
        <v>49</v>
      </c>
      <c r="K387">
        <v>2</v>
      </c>
      <c r="L387" t="s">
        <v>97</v>
      </c>
      <c r="M387" t="s">
        <v>98</v>
      </c>
      <c r="N387" t="s">
        <v>99</v>
      </c>
      <c r="O387">
        <f t="shared" ref="O387:O450" si="96">IF(AND(N387="4-Seam Fastball",N388="4-Seam Fastball"),1,0)</f>
        <v>0</v>
      </c>
      <c r="P387">
        <f t="shared" ref="P387:P450" si="97">IF(AND(N387="4-Seam Fastball",N388="Curveball"),1,0)</f>
        <v>1</v>
      </c>
      <c r="Q387">
        <f t="shared" ref="Q387:Q450" si="98">IF(AND(N387="4-Seam Fastball",N388="Changeup"),1,0)</f>
        <v>0</v>
      </c>
      <c r="R387">
        <f t="shared" ref="R387:R450" si="99">IF(AND(N387="4-Seam Fastball",N388="Slider"),1,0)</f>
        <v>0</v>
      </c>
      <c r="S387">
        <f t="shared" ref="S387:S450" si="100">IF(AND(N387="Curveball",N388="Curveball"),1,0)</f>
        <v>0</v>
      </c>
      <c r="T387">
        <f t="shared" ref="T387:T450" si="101">IF(AND(N387="Curveball",N388="4-Seam Fastball"),1,0)</f>
        <v>0</v>
      </c>
      <c r="U387">
        <f t="shared" ref="U387:U450" si="102">IF(AND(N387="Curveball",N388="Changeup"),1,0)</f>
        <v>0</v>
      </c>
      <c r="V387">
        <f t="shared" ref="V387:V450" si="103">IF(AND(N387="Curveball",N388="Slider"),1,0)</f>
        <v>0</v>
      </c>
      <c r="W387">
        <f t="shared" ref="W387:W450" si="104">IF(AND(N387="Changeup",N388="Changeup"),1,0)</f>
        <v>0</v>
      </c>
      <c r="X387">
        <f t="shared" ref="X387:X450" si="105">IF(AND(N387="Changeup",N388="4-Seam Fastball"),1,0)</f>
        <v>0</v>
      </c>
      <c r="Y387">
        <f t="shared" ref="Y387:Y450" si="106">IF(AND(N387="Changeup",N388="Curveball"),1,0)</f>
        <v>0</v>
      </c>
      <c r="Z387">
        <f t="shared" ref="Z387:Z450" si="107">IF(AND(N387="Changeup",N388="Slider"),1,0)</f>
        <v>0</v>
      </c>
      <c r="AA387">
        <f t="shared" ref="AA387:AA450" si="108">IF(AND(N387="Slider",N388="Slider"),1,0)</f>
        <v>0</v>
      </c>
      <c r="AB387">
        <f t="shared" ref="AB387:AB450" si="109">IF(AND(N387="Slider",N388="4-Seam Fastball"),1,0)</f>
        <v>0</v>
      </c>
      <c r="AC387">
        <f t="shared" ref="AC387:AC450" si="110">IF(AND(N387="Slider",N388="Curveball"),1,0)</f>
        <v>0</v>
      </c>
      <c r="AD387">
        <f t="shared" ref="AD387:AD450" si="111">IF(AND(N387="Slider",N388="Changeup"),1,0)</f>
        <v>0</v>
      </c>
      <c r="AE387">
        <v>95.6</v>
      </c>
      <c r="AF387">
        <v>2.0699999999999998</v>
      </c>
      <c r="AG387">
        <v>6.34</v>
      </c>
      <c r="AH387" t="s">
        <v>100</v>
      </c>
      <c r="AI387" t="s">
        <v>97</v>
      </c>
      <c r="AJ387" t="s">
        <v>97</v>
      </c>
      <c r="AK387" t="s">
        <v>97</v>
      </c>
      <c r="AL387" t="s">
        <v>97</v>
      </c>
      <c r="AM387">
        <v>12</v>
      </c>
      <c r="AN387" t="s">
        <v>101</v>
      </c>
      <c r="AO387" t="s">
        <v>213</v>
      </c>
      <c r="AP387" t="s">
        <v>103</v>
      </c>
      <c r="AQ387" t="s">
        <v>103</v>
      </c>
      <c r="AR387" t="s">
        <v>214</v>
      </c>
      <c r="AS387" t="s">
        <v>104</v>
      </c>
      <c r="AT387" t="s">
        <v>106</v>
      </c>
      <c r="AU387" t="s">
        <v>97</v>
      </c>
      <c r="AV387" t="s">
        <v>97</v>
      </c>
      <c r="AW387">
        <v>0.5</v>
      </c>
      <c r="AX387">
        <v>1.42</v>
      </c>
      <c r="AY387">
        <v>0.94</v>
      </c>
      <c r="AZ387">
        <v>3.43</v>
      </c>
      <c r="BA387" t="s">
        <v>97</v>
      </c>
      <c r="BB387">
        <v>643396</v>
      </c>
      <c r="BC387">
        <v>672386</v>
      </c>
      <c r="BD387">
        <v>0</v>
      </c>
      <c r="BE387" t="s">
        <v>97</v>
      </c>
      <c r="BF387" t="s">
        <v>97</v>
      </c>
      <c r="BG387" t="s">
        <v>97</v>
      </c>
      <c r="BH387" t="s">
        <v>97</v>
      </c>
      <c r="BI387">
        <v>669257</v>
      </c>
      <c r="BJ387">
        <v>669257</v>
      </c>
      <c r="BK387" t="s">
        <v>97</v>
      </c>
      <c r="BL387" t="s">
        <v>97</v>
      </c>
      <c r="BM387">
        <v>-4.1450621989999998</v>
      </c>
      <c r="BN387">
        <v>-139.0276868</v>
      </c>
      <c r="BO387">
        <v>-5.2545498420000003</v>
      </c>
      <c r="BP387">
        <v>7.4611606960000003</v>
      </c>
      <c r="BQ387">
        <v>34.09189945</v>
      </c>
      <c r="BR387">
        <v>-12.787674730000001</v>
      </c>
      <c r="BS387">
        <v>3.39</v>
      </c>
      <c r="BT387">
        <v>1.56</v>
      </c>
      <c r="BU387" t="s">
        <v>97</v>
      </c>
      <c r="BV387" t="s">
        <v>97</v>
      </c>
      <c r="BW387" t="s">
        <v>97</v>
      </c>
      <c r="BX387">
        <v>96.4</v>
      </c>
      <c r="BY387">
        <v>2411</v>
      </c>
      <c r="BZ387">
        <v>7</v>
      </c>
      <c r="CA387">
        <v>813027</v>
      </c>
      <c r="CB387">
        <v>669257</v>
      </c>
      <c r="CC387">
        <v>669257</v>
      </c>
      <c r="CD387">
        <v>518692</v>
      </c>
      <c r="CE387">
        <v>669242</v>
      </c>
      <c r="CF387">
        <v>571970</v>
      </c>
      <c r="CG387">
        <v>605141</v>
      </c>
      <c r="CH387">
        <v>571771</v>
      </c>
      <c r="CI387">
        <v>681624</v>
      </c>
      <c r="CJ387">
        <v>606192</v>
      </c>
      <c r="CK387">
        <v>53.53</v>
      </c>
      <c r="CL387" t="s">
        <v>97</v>
      </c>
      <c r="CM387" t="s">
        <v>97</v>
      </c>
      <c r="CN387" t="s">
        <v>97</v>
      </c>
      <c r="CO387" t="s">
        <v>97</v>
      </c>
      <c r="CP387" t="s">
        <v>97</v>
      </c>
      <c r="CQ387" t="s">
        <v>97</v>
      </c>
      <c r="CR387" t="s">
        <v>97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2</v>
      </c>
      <c r="DA387" t="s">
        <v>107</v>
      </c>
      <c r="DB387" t="s">
        <v>107</v>
      </c>
      <c r="DC387">
        <v>158</v>
      </c>
      <c r="DD387">
        <v>0</v>
      </c>
      <c r="DE387">
        <v>7.5999999999999998E-2</v>
      </c>
      <c r="DF387" t="s">
        <v>97</v>
      </c>
      <c r="DG387" t="s">
        <v>97</v>
      </c>
    </row>
    <row r="388" spans="1:111" x14ac:dyDescent="0.2">
      <c r="A388">
        <v>2025</v>
      </c>
      <c r="B388" s="1">
        <v>45954</v>
      </c>
      <c r="C388" t="s">
        <v>95</v>
      </c>
      <c r="D388">
        <v>605483</v>
      </c>
      <c r="E388">
        <v>662139</v>
      </c>
      <c r="F388">
        <v>2</v>
      </c>
      <c r="G388">
        <v>0</v>
      </c>
      <c r="H388">
        <v>6</v>
      </c>
      <c r="I388" t="s">
        <v>163</v>
      </c>
      <c r="J388">
        <v>49</v>
      </c>
      <c r="K388">
        <v>3</v>
      </c>
      <c r="L388" t="s">
        <v>97</v>
      </c>
      <c r="M388" t="s">
        <v>111</v>
      </c>
      <c r="N388" t="s">
        <v>112</v>
      </c>
      <c r="O388">
        <f t="shared" si="96"/>
        <v>0</v>
      </c>
      <c r="P388">
        <f t="shared" si="97"/>
        <v>0</v>
      </c>
      <c r="Q388">
        <f t="shared" si="98"/>
        <v>0</v>
      </c>
      <c r="R388">
        <f t="shared" si="99"/>
        <v>0</v>
      </c>
      <c r="S388">
        <f t="shared" si="100"/>
        <v>0</v>
      </c>
      <c r="T388">
        <f t="shared" si="101"/>
        <v>0</v>
      </c>
      <c r="U388">
        <f t="shared" si="102"/>
        <v>0</v>
      </c>
      <c r="V388">
        <f t="shared" si="103"/>
        <v>1</v>
      </c>
      <c r="W388">
        <f t="shared" si="104"/>
        <v>0</v>
      </c>
      <c r="X388">
        <f t="shared" si="105"/>
        <v>0</v>
      </c>
      <c r="Y388">
        <f t="shared" si="106"/>
        <v>0</v>
      </c>
      <c r="Z388">
        <f t="shared" si="107"/>
        <v>0</v>
      </c>
      <c r="AA388">
        <f t="shared" si="108"/>
        <v>0</v>
      </c>
      <c r="AB388">
        <f t="shared" si="109"/>
        <v>0</v>
      </c>
      <c r="AC388">
        <f t="shared" si="110"/>
        <v>0</v>
      </c>
      <c r="AD388">
        <f t="shared" si="111"/>
        <v>0</v>
      </c>
      <c r="AE388">
        <v>79.900000000000006</v>
      </c>
      <c r="AF388">
        <v>1.93</v>
      </c>
      <c r="AG388">
        <v>6.45</v>
      </c>
      <c r="AH388" t="s">
        <v>129</v>
      </c>
      <c r="AI388" t="s">
        <v>97</v>
      </c>
      <c r="AJ388" t="s">
        <v>97</v>
      </c>
      <c r="AK388" t="s">
        <v>97</v>
      </c>
      <c r="AL388" t="s">
        <v>97</v>
      </c>
      <c r="AM388">
        <v>6</v>
      </c>
      <c r="AN388" t="s">
        <v>130</v>
      </c>
      <c r="AO388" t="s">
        <v>213</v>
      </c>
      <c r="AP388" t="s">
        <v>103</v>
      </c>
      <c r="AQ388" t="s">
        <v>103</v>
      </c>
      <c r="AR388" t="s">
        <v>214</v>
      </c>
      <c r="AS388" t="s">
        <v>104</v>
      </c>
      <c r="AT388" t="s">
        <v>110</v>
      </c>
      <c r="AU388" t="s">
        <v>97</v>
      </c>
      <c r="AV388" t="s">
        <v>97</v>
      </c>
      <c r="AW388">
        <v>-1.1399999999999999</v>
      </c>
      <c r="AX388">
        <v>-0.76</v>
      </c>
      <c r="AY388">
        <v>0.34</v>
      </c>
      <c r="AZ388">
        <v>2.56</v>
      </c>
      <c r="BA388" t="s">
        <v>97</v>
      </c>
      <c r="BB388">
        <v>643396</v>
      </c>
      <c r="BC388">
        <v>672386</v>
      </c>
      <c r="BD388">
        <v>0</v>
      </c>
      <c r="BE388" t="s">
        <v>97</v>
      </c>
      <c r="BF388" t="s">
        <v>97</v>
      </c>
      <c r="BG388" t="s">
        <v>97</v>
      </c>
      <c r="BH388" t="s">
        <v>97</v>
      </c>
      <c r="BI388">
        <v>669257</v>
      </c>
      <c r="BJ388">
        <v>669257</v>
      </c>
      <c r="BK388" t="s">
        <v>97</v>
      </c>
      <c r="BL388" t="s">
        <v>97</v>
      </c>
      <c r="BM388">
        <v>-1.361791889</v>
      </c>
      <c r="BN388">
        <v>-116.2459698</v>
      </c>
      <c r="BO388">
        <v>-0.27736163200000002</v>
      </c>
      <c r="BP388">
        <v>-9.8599882609999998</v>
      </c>
      <c r="BQ388">
        <v>25.792512720000001</v>
      </c>
      <c r="BR388">
        <v>-39.20528942</v>
      </c>
      <c r="BS388">
        <v>3.38</v>
      </c>
      <c r="BT388">
        <v>1.56</v>
      </c>
      <c r="BU388" t="s">
        <v>97</v>
      </c>
      <c r="BV388" t="s">
        <v>97</v>
      </c>
      <c r="BW388" t="s">
        <v>97</v>
      </c>
      <c r="BX388">
        <v>80</v>
      </c>
      <c r="BY388">
        <v>2659</v>
      </c>
      <c r="BZ388">
        <v>6.8</v>
      </c>
      <c r="CA388">
        <v>813027</v>
      </c>
      <c r="CB388">
        <v>669257</v>
      </c>
      <c r="CC388">
        <v>669257</v>
      </c>
      <c r="CD388">
        <v>518692</v>
      </c>
      <c r="CE388">
        <v>669242</v>
      </c>
      <c r="CF388">
        <v>571970</v>
      </c>
      <c r="CG388">
        <v>605141</v>
      </c>
      <c r="CH388">
        <v>571771</v>
      </c>
      <c r="CI388">
        <v>681624</v>
      </c>
      <c r="CJ388">
        <v>606192</v>
      </c>
      <c r="CK388">
        <v>53.68</v>
      </c>
      <c r="CL388" t="s">
        <v>97</v>
      </c>
      <c r="CM388" t="s">
        <v>97</v>
      </c>
      <c r="CN388" t="s">
        <v>97</v>
      </c>
      <c r="CO388" t="s">
        <v>97</v>
      </c>
      <c r="CP388" t="s">
        <v>97</v>
      </c>
      <c r="CQ388" t="s">
        <v>97</v>
      </c>
      <c r="CR388" t="s">
        <v>97</v>
      </c>
      <c r="CS388">
        <v>2</v>
      </c>
      <c r="CT388">
        <v>2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 t="s">
        <v>107</v>
      </c>
      <c r="DB388" t="s">
        <v>107</v>
      </c>
      <c r="DC388">
        <v>322</v>
      </c>
      <c r="DD388">
        <v>0</v>
      </c>
      <c r="DE388">
        <v>-8.4000000000000005E-2</v>
      </c>
      <c r="DF388">
        <v>77.599999999999994</v>
      </c>
      <c r="DG388">
        <v>8.5</v>
      </c>
    </row>
    <row r="389" spans="1:111" x14ac:dyDescent="0.2">
      <c r="A389">
        <v>2025</v>
      </c>
      <c r="B389" s="1">
        <v>45954</v>
      </c>
      <c r="C389" t="s">
        <v>95</v>
      </c>
      <c r="D389">
        <v>605483</v>
      </c>
      <c r="E389">
        <v>662139</v>
      </c>
      <c r="F389">
        <v>2</v>
      </c>
      <c r="G389">
        <v>1</v>
      </c>
      <c r="H389">
        <v>6</v>
      </c>
      <c r="I389" t="s">
        <v>163</v>
      </c>
      <c r="J389">
        <v>49</v>
      </c>
      <c r="K389">
        <v>4</v>
      </c>
      <c r="L389" t="s">
        <v>97</v>
      </c>
      <c r="M389" t="s">
        <v>138</v>
      </c>
      <c r="N389" t="s">
        <v>139</v>
      </c>
      <c r="O389">
        <f t="shared" si="96"/>
        <v>0</v>
      </c>
      <c r="P389">
        <f t="shared" si="97"/>
        <v>0</v>
      </c>
      <c r="Q389">
        <f t="shared" si="98"/>
        <v>0</v>
      </c>
      <c r="R389">
        <f t="shared" si="99"/>
        <v>0</v>
      </c>
      <c r="S389">
        <f t="shared" si="100"/>
        <v>0</v>
      </c>
      <c r="T389">
        <f t="shared" si="101"/>
        <v>0</v>
      </c>
      <c r="U389">
        <f t="shared" si="102"/>
        <v>0</v>
      </c>
      <c r="V389">
        <f t="shared" si="103"/>
        <v>0</v>
      </c>
      <c r="W389">
        <f t="shared" si="104"/>
        <v>0</v>
      </c>
      <c r="X389">
        <f t="shared" si="105"/>
        <v>0</v>
      </c>
      <c r="Y389">
        <f t="shared" si="106"/>
        <v>0</v>
      </c>
      <c r="Z389">
        <f t="shared" si="107"/>
        <v>0</v>
      </c>
      <c r="AA389">
        <f t="shared" si="108"/>
        <v>0</v>
      </c>
      <c r="AB389">
        <f t="shared" si="109"/>
        <v>1</v>
      </c>
      <c r="AC389">
        <f t="shared" si="110"/>
        <v>0</v>
      </c>
      <c r="AD389">
        <f t="shared" si="111"/>
        <v>0</v>
      </c>
      <c r="AE389">
        <v>90.6</v>
      </c>
      <c r="AF389">
        <v>1.96</v>
      </c>
      <c r="AG389">
        <v>6.41</v>
      </c>
      <c r="AH389" t="s">
        <v>113</v>
      </c>
      <c r="AI389" t="s">
        <v>97</v>
      </c>
      <c r="AJ389" t="s">
        <v>97</v>
      </c>
      <c r="AK389" t="s">
        <v>97</v>
      </c>
      <c r="AL389" t="s">
        <v>97</v>
      </c>
      <c r="AM389">
        <v>8</v>
      </c>
      <c r="AN389" t="s">
        <v>114</v>
      </c>
      <c r="AO389" t="s">
        <v>213</v>
      </c>
      <c r="AP389" t="s">
        <v>103</v>
      </c>
      <c r="AQ389" t="s">
        <v>103</v>
      </c>
      <c r="AR389" t="s">
        <v>214</v>
      </c>
      <c r="AS389" t="s">
        <v>104</v>
      </c>
      <c r="AT389" t="s">
        <v>110</v>
      </c>
      <c r="AU389" t="s">
        <v>97</v>
      </c>
      <c r="AV389" t="s">
        <v>97</v>
      </c>
      <c r="AW389">
        <v>-0.24</v>
      </c>
      <c r="AX389">
        <v>0.71</v>
      </c>
      <c r="AY389">
        <v>-0.2</v>
      </c>
      <c r="AZ389">
        <v>2.0099999999999998</v>
      </c>
      <c r="BA389" t="s">
        <v>97</v>
      </c>
      <c r="BB389">
        <v>643396</v>
      </c>
      <c r="BC389">
        <v>672386</v>
      </c>
      <c r="BD389">
        <v>0</v>
      </c>
      <c r="BE389" t="s">
        <v>97</v>
      </c>
      <c r="BF389" t="s">
        <v>97</v>
      </c>
      <c r="BG389" t="s">
        <v>97</v>
      </c>
      <c r="BH389" t="s">
        <v>97</v>
      </c>
      <c r="BI389">
        <v>669257</v>
      </c>
      <c r="BJ389">
        <v>669257</v>
      </c>
      <c r="BK389" t="s">
        <v>97</v>
      </c>
      <c r="BL389" t="s">
        <v>97</v>
      </c>
      <c r="BM389">
        <v>-4.9423779400000001</v>
      </c>
      <c r="BN389">
        <v>-131.7718625</v>
      </c>
      <c r="BO389">
        <v>-6.6382487340000003</v>
      </c>
      <c r="BP389">
        <v>-1.738945344</v>
      </c>
      <c r="BQ389">
        <v>29.129708740000002</v>
      </c>
      <c r="BR389">
        <v>-22.70964962</v>
      </c>
      <c r="BS389">
        <v>3.38</v>
      </c>
      <c r="BT389">
        <v>1.56</v>
      </c>
      <c r="BU389" t="s">
        <v>97</v>
      </c>
      <c r="BV389" t="s">
        <v>97</v>
      </c>
      <c r="BW389" t="s">
        <v>97</v>
      </c>
      <c r="BX389">
        <v>91.6</v>
      </c>
      <c r="BY389">
        <v>2325</v>
      </c>
      <c r="BZ389">
        <v>7</v>
      </c>
      <c r="CA389">
        <v>813027</v>
      </c>
      <c r="CB389">
        <v>669257</v>
      </c>
      <c r="CC389">
        <v>669257</v>
      </c>
      <c r="CD389">
        <v>518692</v>
      </c>
      <c r="CE389">
        <v>669242</v>
      </c>
      <c r="CF389">
        <v>571970</v>
      </c>
      <c r="CG389">
        <v>605141</v>
      </c>
      <c r="CH389">
        <v>571771</v>
      </c>
      <c r="CI389">
        <v>681624</v>
      </c>
      <c r="CJ389">
        <v>606192</v>
      </c>
      <c r="CK389">
        <v>53.46</v>
      </c>
      <c r="CL389" t="s">
        <v>97</v>
      </c>
      <c r="CM389" t="s">
        <v>97</v>
      </c>
      <c r="CN389" t="s">
        <v>97</v>
      </c>
      <c r="CO389" t="s">
        <v>97</v>
      </c>
      <c r="CP389" t="s">
        <v>97</v>
      </c>
      <c r="CQ389" t="s">
        <v>97</v>
      </c>
      <c r="CR389" t="s">
        <v>97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2</v>
      </c>
      <c r="DA389" t="s">
        <v>107</v>
      </c>
      <c r="DB389" t="s">
        <v>107</v>
      </c>
      <c r="DC389">
        <v>163</v>
      </c>
      <c r="DD389">
        <v>0</v>
      </c>
      <c r="DE389">
        <v>-6.9000000000000006E-2</v>
      </c>
      <c r="DF389">
        <v>79.3</v>
      </c>
      <c r="DG389">
        <v>8.6999999999999993</v>
      </c>
    </row>
    <row r="390" spans="1:111" x14ac:dyDescent="0.2">
      <c r="A390">
        <v>2025</v>
      </c>
      <c r="B390" s="1">
        <v>45954</v>
      </c>
      <c r="C390" t="s">
        <v>95</v>
      </c>
      <c r="D390">
        <v>605483</v>
      </c>
      <c r="E390">
        <v>662139</v>
      </c>
      <c r="F390">
        <v>2</v>
      </c>
      <c r="G390">
        <v>2</v>
      </c>
      <c r="H390">
        <v>6</v>
      </c>
      <c r="I390" t="s">
        <v>163</v>
      </c>
      <c r="J390">
        <v>49</v>
      </c>
      <c r="K390">
        <v>5</v>
      </c>
      <c r="L390" t="s">
        <v>97</v>
      </c>
      <c r="M390" t="s">
        <v>98</v>
      </c>
      <c r="N390" t="s">
        <v>99</v>
      </c>
      <c r="O390">
        <f t="shared" si="96"/>
        <v>0</v>
      </c>
      <c r="P390">
        <f t="shared" si="97"/>
        <v>0</v>
      </c>
      <c r="Q390">
        <f t="shared" si="98"/>
        <v>0</v>
      </c>
      <c r="R390">
        <f t="shared" si="99"/>
        <v>1</v>
      </c>
      <c r="S390">
        <f t="shared" si="100"/>
        <v>0</v>
      </c>
      <c r="T390">
        <f t="shared" si="101"/>
        <v>0</v>
      </c>
      <c r="U390">
        <f t="shared" si="102"/>
        <v>0</v>
      </c>
      <c r="V390">
        <f t="shared" si="103"/>
        <v>0</v>
      </c>
      <c r="W390">
        <f t="shared" si="104"/>
        <v>0</v>
      </c>
      <c r="X390">
        <f t="shared" si="105"/>
        <v>0</v>
      </c>
      <c r="Y390">
        <f t="shared" si="106"/>
        <v>0</v>
      </c>
      <c r="Z390">
        <f t="shared" si="107"/>
        <v>0</v>
      </c>
      <c r="AA390">
        <f t="shared" si="108"/>
        <v>0</v>
      </c>
      <c r="AB390">
        <f t="shared" si="109"/>
        <v>0</v>
      </c>
      <c r="AC390">
        <f t="shared" si="110"/>
        <v>0</v>
      </c>
      <c r="AD390">
        <f t="shared" si="111"/>
        <v>0</v>
      </c>
      <c r="AE390">
        <v>95.7</v>
      </c>
      <c r="AF390">
        <v>2.16</v>
      </c>
      <c r="AG390">
        <v>6.31</v>
      </c>
      <c r="AH390" t="s">
        <v>129</v>
      </c>
      <c r="AI390" t="s">
        <v>97</v>
      </c>
      <c r="AJ390" t="s">
        <v>97</v>
      </c>
      <c r="AK390" t="s">
        <v>97</v>
      </c>
      <c r="AL390" t="s">
        <v>97</v>
      </c>
      <c r="AM390">
        <v>12</v>
      </c>
      <c r="AN390" t="s">
        <v>130</v>
      </c>
      <c r="AO390" t="s">
        <v>213</v>
      </c>
      <c r="AP390" t="s">
        <v>103</v>
      </c>
      <c r="AQ390" t="s">
        <v>103</v>
      </c>
      <c r="AR390" t="s">
        <v>214</v>
      </c>
      <c r="AS390" t="s">
        <v>104</v>
      </c>
      <c r="AT390" t="s">
        <v>110</v>
      </c>
      <c r="AU390" t="s">
        <v>97</v>
      </c>
      <c r="AV390" t="s">
        <v>97</v>
      </c>
      <c r="AW390">
        <v>0.06</v>
      </c>
      <c r="AX390">
        <v>1.35</v>
      </c>
      <c r="AY390">
        <v>0.87</v>
      </c>
      <c r="AZ390">
        <v>2.78</v>
      </c>
      <c r="BA390" t="s">
        <v>97</v>
      </c>
      <c r="BB390">
        <v>643396</v>
      </c>
      <c r="BC390">
        <v>672386</v>
      </c>
      <c r="BD390">
        <v>0</v>
      </c>
      <c r="BE390" t="s">
        <v>97</v>
      </c>
      <c r="BF390" t="s">
        <v>97</v>
      </c>
      <c r="BG390" t="s">
        <v>97</v>
      </c>
      <c r="BH390" t="s">
        <v>97</v>
      </c>
      <c r="BI390">
        <v>669257</v>
      </c>
      <c r="BJ390">
        <v>669257</v>
      </c>
      <c r="BK390" t="s">
        <v>97</v>
      </c>
      <c r="BL390" t="s">
        <v>97</v>
      </c>
      <c r="BM390">
        <v>-3.5943884779999999</v>
      </c>
      <c r="BN390">
        <v>-139.23171160000001</v>
      </c>
      <c r="BO390">
        <v>-6.8005370039999997</v>
      </c>
      <c r="BP390">
        <v>1.6459477090000001</v>
      </c>
      <c r="BQ390">
        <v>32.892541999999999</v>
      </c>
      <c r="BR390">
        <v>-13.264446080000001</v>
      </c>
      <c r="BS390">
        <v>3.38</v>
      </c>
      <c r="BT390">
        <v>1.56</v>
      </c>
      <c r="BU390">
        <v>217</v>
      </c>
      <c r="BV390">
        <v>71.099999999999994</v>
      </c>
      <c r="BW390">
        <v>29</v>
      </c>
      <c r="BX390">
        <v>96.7</v>
      </c>
      <c r="BY390">
        <v>2413</v>
      </c>
      <c r="BZ390">
        <v>7</v>
      </c>
      <c r="CA390">
        <v>813027</v>
      </c>
      <c r="CB390">
        <v>669257</v>
      </c>
      <c r="CC390">
        <v>669257</v>
      </c>
      <c r="CD390">
        <v>518692</v>
      </c>
      <c r="CE390">
        <v>669242</v>
      </c>
      <c r="CF390">
        <v>571970</v>
      </c>
      <c r="CG390">
        <v>605141</v>
      </c>
      <c r="CH390">
        <v>571771</v>
      </c>
      <c r="CI390">
        <v>681624</v>
      </c>
      <c r="CJ390">
        <v>606192</v>
      </c>
      <c r="CK390">
        <v>53.5</v>
      </c>
      <c r="CL390" t="s">
        <v>97</v>
      </c>
      <c r="CM390" t="s">
        <v>97</v>
      </c>
      <c r="CN390" t="s">
        <v>97</v>
      </c>
      <c r="CO390" t="s">
        <v>97</v>
      </c>
      <c r="CP390" t="s">
        <v>97</v>
      </c>
      <c r="CQ390" t="s">
        <v>97</v>
      </c>
      <c r="CR390" t="s">
        <v>97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 t="s">
        <v>107</v>
      </c>
      <c r="DB390" t="s">
        <v>107</v>
      </c>
      <c r="DC390">
        <v>158</v>
      </c>
      <c r="DD390">
        <v>0</v>
      </c>
      <c r="DE390">
        <v>0</v>
      </c>
      <c r="DF390">
        <v>72.900000000000006</v>
      </c>
      <c r="DG390">
        <v>6.8</v>
      </c>
    </row>
    <row r="391" spans="1:111" x14ac:dyDescent="0.2">
      <c r="A391">
        <v>2025</v>
      </c>
      <c r="B391" s="1">
        <v>45954</v>
      </c>
      <c r="C391" t="s">
        <v>95</v>
      </c>
      <c r="D391">
        <v>605483</v>
      </c>
      <c r="E391">
        <v>662139</v>
      </c>
      <c r="F391">
        <v>2</v>
      </c>
      <c r="G391">
        <v>2</v>
      </c>
      <c r="H391">
        <v>6</v>
      </c>
      <c r="I391" t="s">
        <v>163</v>
      </c>
      <c r="J391">
        <v>49</v>
      </c>
      <c r="K391">
        <v>6</v>
      </c>
      <c r="L391" t="s">
        <v>97</v>
      </c>
      <c r="M391" t="s">
        <v>138</v>
      </c>
      <c r="N391" t="s">
        <v>139</v>
      </c>
      <c r="O391">
        <f t="shared" si="96"/>
        <v>0</v>
      </c>
      <c r="P391">
        <f t="shared" si="97"/>
        <v>0</v>
      </c>
      <c r="Q391">
        <f t="shared" si="98"/>
        <v>0</v>
      </c>
      <c r="R391">
        <f t="shared" si="99"/>
        <v>0</v>
      </c>
      <c r="S391">
        <f t="shared" si="100"/>
        <v>0</v>
      </c>
      <c r="T391">
        <f t="shared" si="101"/>
        <v>0</v>
      </c>
      <c r="U391">
        <f t="shared" si="102"/>
        <v>0</v>
      </c>
      <c r="V391">
        <f t="shared" si="103"/>
        <v>0</v>
      </c>
      <c r="W391">
        <f t="shared" si="104"/>
        <v>0</v>
      </c>
      <c r="X391">
        <f t="shared" si="105"/>
        <v>0</v>
      </c>
      <c r="Y391">
        <f t="shared" si="106"/>
        <v>0</v>
      </c>
      <c r="Z391">
        <f t="shared" si="107"/>
        <v>0</v>
      </c>
      <c r="AA391">
        <f t="shared" si="108"/>
        <v>1</v>
      </c>
      <c r="AB391">
        <f t="shared" si="109"/>
        <v>0</v>
      </c>
      <c r="AC391">
        <f t="shared" si="110"/>
        <v>0</v>
      </c>
      <c r="AD391">
        <f t="shared" si="111"/>
        <v>0</v>
      </c>
      <c r="AE391">
        <v>87.9</v>
      </c>
      <c r="AF391">
        <v>2.04</v>
      </c>
      <c r="AG391">
        <v>6.39</v>
      </c>
      <c r="AH391" t="s">
        <v>140</v>
      </c>
      <c r="AI391" t="s">
        <v>97</v>
      </c>
      <c r="AJ391" t="s">
        <v>97</v>
      </c>
      <c r="AK391" t="s">
        <v>97</v>
      </c>
      <c r="AL391" t="s">
        <v>97</v>
      </c>
      <c r="AM391">
        <v>13</v>
      </c>
      <c r="AN391" t="s">
        <v>141</v>
      </c>
      <c r="AO391" t="s">
        <v>213</v>
      </c>
      <c r="AP391" t="s">
        <v>103</v>
      </c>
      <c r="AQ391" t="s">
        <v>103</v>
      </c>
      <c r="AR391" t="s">
        <v>214</v>
      </c>
      <c r="AS391" t="s">
        <v>104</v>
      </c>
      <c r="AT391" t="s">
        <v>106</v>
      </c>
      <c r="AU391" t="s">
        <v>97</v>
      </c>
      <c r="AV391" t="s">
        <v>97</v>
      </c>
      <c r="AW391">
        <v>0.11</v>
      </c>
      <c r="AX391">
        <v>0.55000000000000004</v>
      </c>
      <c r="AY391">
        <v>-0.57999999999999996</v>
      </c>
      <c r="AZ391">
        <v>0.1</v>
      </c>
      <c r="BA391" t="s">
        <v>97</v>
      </c>
      <c r="BB391">
        <v>643396</v>
      </c>
      <c r="BC391">
        <v>672386</v>
      </c>
      <c r="BD391">
        <v>0</v>
      </c>
      <c r="BE391" t="s">
        <v>97</v>
      </c>
      <c r="BF391" t="s">
        <v>97</v>
      </c>
      <c r="BG391" t="s">
        <v>97</v>
      </c>
      <c r="BH391" t="s">
        <v>97</v>
      </c>
      <c r="BI391">
        <v>669257</v>
      </c>
      <c r="BJ391">
        <v>669257</v>
      </c>
      <c r="BK391" t="s">
        <v>97</v>
      </c>
      <c r="BL391" t="s">
        <v>97</v>
      </c>
      <c r="BM391">
        <v>-6.6716195540000003</v>
      </c>
      <c r="BN391">
        <v>-127.56650399999999</v>
      </c>
      <c r="BO391">
        <v>-10.325024900000001</v>
      </c>
      <c r="BP391">
        <v>2.60913409</v>
      </c>
      <c r="BQ391">
        <v>27.504070160000001</v>
      </c>
      <c r="BR391">
        <v>-24.122083050000001</v>
      </c>
      <c r="BS391">
        <v>3.32</v>
      </c>
      <c r="BT391">
        <v>1.51</v>
      </c>
      <c r="BU391" t="s">
        <v>97</v>
      </c>
      <c r="BV391" t="s">
        <v>97</v>
      </c>
      <c r="BW391" t="s">
        <v>97</v>
      </c>
      <c r="BX391">
        <v>88.8</v>
      </c>
      <c r="BY391">
        <v>2255</v>
      </c>
      <c r="BZ391">
        <v>7.1</v>
      </c>
      <c r="CA391">
        <v>813027</v>
      </c>
      <c r="CB391">
        <v>669257</v>
      </c>
      <c r="CC391">
        <v>669257</v>
      </c>
      <c r="CD391">
        <v>518692</v>
      </c>
      <c r="CE391">
        <v>669242</v>
      </c>
      <c r="CF391">
        <v>571970</v>
      </c>
      <c r="CG391">
        <v>605141</v>
      </c>
      <c r="CH391">
        <v>571771</v>
      </c>
      <c r="CI391">
        <v>681624</v>
      </c>
      <c r="CJ391">
        <v>606192</v>
      </c>
      <c r="CK391">
        <v>53.43</v>
      </c>
      <c r="CL391" t="s">
        <v>97</v>
      </c>
      <c r="CM391" t="s">
        <v>97</v>
      </c>
      <c r="CN391" t="s">
        <v>97</v>
      </c>
      <c r="CO391" t="s">
        <v>97</v>
      </c>
      <c r="CP391" t="s">
        <v>97</v>
      </c>
      <c r="CQ391" t="s">
        <v>97</v>
      </c>
      <c r="CR391" t="s">
        <v>97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2</v>
      </c>
      <c r="DA391" t="s">
        <v>107</v>
      </c>
      <c r="DB391" t="s">
        <v>107</v>
      </c>
      <c r="DC391">
        <v>163</v>
      </c>
      <c r="DD391">
        <v>0</v>
      </c>
      <c r="DE391">
        <v>0.105</v>
      </c>
      <c r="DF391" t="s">
        <v>97</v>
      </c>
      <c r="DG391" t="s">
        <v>97</v>
      </c>
    </row>
    <row r="392" spans="1:111" x14ac:dyDescent="0.2">
      <c r="A392">
        <v>2025</v>
      </c>
      <c r="B392" s="1">
        <v>45954</v>
      </c>
      <c r="C392" t="s">
        <v>95</v>
      </c>
      <c r="D392">
        <v>605483</v>
      </c>
      <c r="E392">
        <v>662139</v>
      </c>
      <c r="F392">
        <v>3</v>
      </c>
      <c r="G392">
        <v>2</v>
      </c>
      <c r="H392">
        <v>6</v>
      </c>
      <c r="I392" t="s">
        <v>163</v>
      </c>
      <c r="J392">
        <v>49</v>
      </c>
      <c r="K392">
        <v>7</v>
      </c>
      <c r="L392" t="s">
        <v>97</v>
      </c>
      <c r="M392" t="s">
        <v>138</v>
      </c>
      <c r="N392" t="s">
        <v>139</v>
      </c>
      <c r="O392">
        <f t="shared" si="96"/>
        <v>0</v>
      </c>
      <c r="P392">
        <f t="shared" si="97"/>
        <v>0</v>
      </c>
      <c r="Q392">
        <f t="shared" si="98"/>
        <v>0</v>
      </c>
      <c r="R392">
        <f t="shared" si="99"/>
        <v>0</v>
      </c>
      <c r="S392">
        <f t="shared" si="100"/>
        <v>0</v>
      </c>
      <c r="T392">
        <f t="shared" si="101"/>
        <v>0</v>
      </c>
      <c r="U392">
        <f t="shared" si="102"/>
        <v>0</v>
      </c>
      <c r="V392">
        <f t="shared" si="103"/>
        <v>0</v>
      </c>
      <c r="W392">
        <f t="shared" si="104"/>
        <v>0</v>
      </c>
      <c r="X392">
        <f t="shared" si="105"/>
        <v>0</v>
      </c>
      <c r="Y392">
        <f t="shared" si="106"/>
        <v>0</v>
      </c>
      <c r="Z392">
        <f t="shared" si="107"/>
        <v>0</v>
      </c>
      <c r="AA392">
        <f t="shared" si="108"/>
        <v>0</v>
      </c>
      <c r="AB392">
        <f t="shared" si="109"/>
        <v>0</v>
      </c>
      <c r="AC392">
        <f t="shared" si="110"/>
        <v>1</v>
      </c>
      <c r="AD392">
        <f t="shared" si="111"/>
        <v>0</v>
      </c>
      <c r="AE392">
        <v>90.6</v>
      </c>
      <c r="AF392">
        <v>2.02</v>
      </c>
      <c r="AG392">
        <v>6.39</v>
      </c>
      <c r="AH392" t="s">
        <v>129</v>
      </c>
      <c r="AI392" t="s">
        <v>97</v>
      </c>
      <c r="AJ392" t="s">
        <v>97</v>
      </c>
      <c r="AK392" t="s">
        <v>97</v>
      </c>
      <c r="AL392" t="s">
        <v>97</v>
      </c>
      <c r="AM392">
        <v>7</v>
      </c>
      <c r="AN392" t="s">
        <v>130</v>
      </c>
      <c r="AO392" t="s">
        <v>213</v>
      </c>
      <c r="AP392" t="s">
        <v>103</v>
      </c>
      <c r="AQ392" t="s">
        <v>103</v>
      </c>
      <c r="AR392" t="s">
        <v>214</v>
      </c>
      <c r="AS392" t="s">
        <v>104</v>
      </c>
      <c r="AT392" t="s">
        <v>110</v>
      </c>
      <c r="AU392" t="s">
        <v>97</v>
      </c>
      <c r="AV392" t="s">
        <v>97</v>
      </c>
      <c r="AW392">
        <v>-0.28999999999999998</v>
      </c>
      <c r="AX392">
        <v>0.78</v>
      </c>
      <c r="AY392">
        <v>-0.37</v>
      </c>
      <c r="AZ392">
        <v>1.53</v>
      </c>
      <c r="BA392" t="s">
        <v>97</v>
      </c>
      <c r="BB392">
        <v>643396</v>
      </c>
      <c r="BC392">
        <v>672386</v>
      </c>
      <c r="BD392">
        <v>0</v>
      </c>
      <c r="BE392" t="s">
        <v>97</v>
      </c>
      <c r="BF392" t="s">
        <v>97</v>
      </c>
      <c r="BG392" t="s">
        <v>97</v>
      </c>
      <c r="BH392" t="s">
        <v>97</v>
      </c>
      <c r="BI392">
        <v>669257</v>
      </c>
      <c r="BJ392">
        <v>669257</v>
      </c>
      <c r="BK392" t="s">
        <v>97</v>
      </c>
      <c r="BL392" t="s">
        <v>97</v>
      </c>
      <c r="BM392">
        <v>-5.3808533540000001</v>
      </c>
      <c r="BN392">
        <v>-131.68238819999999</v>
      </c>
      <c r="BO392">
        <v>-7.9046780319999996</v>
      </c>
      <c r="BP392">
        <v>-2.1794055530000001</v>
      </c>
      <c r="BQ392">
        <v>29.522261879999999</v>
      </c>
      <c r="BR392">
        <v>-21.571499150000001</v>
      </c>
      <c r="BS392">
        <v>3.38</v>
      </c>
      <c r="BT392">
        <v>1.56</v>
      </c>
      <c r="BU392">
        <v>1</v>
      </c>
      <c r="BV392">
        <v>63.5</v>
      </c>
      <c r="BW392">
        <v>-56</v>
      </c>
      <c r="BX392">
        <v>91.2</v>
      </c>
      <c r="BY392">
        <v>2322</v>
      </c>
      <c r="BZ392">
        <v>6.9</v>
      </c>
      <c r="CA392">
        <v>813027</v>
      </c>
      <c r="CB392">
        <v>669257</v>
      </c>
      <c r="CC392">
        <v>669257</v>
      </c>
      <c r="CD392">
        <v>518692</v>
      </c>
      <c r="CE392">
        <v>669242</v>
      </c>
      <c r="CF392">
        <v>571970</v>
      </c>
      <c r="CG392">
        <v>605141</v>
      </c>
      <c r="CH392">
        <v>571771</v>
      </c>
      <c r="CI392">
        <v>681624</v>
      </c>
      <c r="CJ392">
        <v>606192</v>
      </c>
      <c r="CK392">
        <v>53.64</v>
      </c>
      <c r="CL392" t="s">
        <v>97</v>
      </c>
      <c r="CM392" t="s">
        <v>97</v>
      </c>
      <c r="CN392" t="s">
        <v>97</v>
      </c>
      <c r="CO392" t="s">
        <v>97</v>
      </c>
      <c r="CP392" t="s">
        <v>97</v>
      </c>
      <c r="CQ392" t="s">
        <v>97</v>
      </c>
      <c r="CR392" t="s">
        <v>97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 t="s">
        <v>107</v>
      </c>
      <c r="DB392" t="s">
        <v>107</v>
      </c>
      <c r="DC392">
        <v>170</v>
      </c>
      <c r="DD392">
        <v>0</v>
      </c>
      <c r="DE392">
        <v>0</v>
      </c>
      <c r="DF392">
        <v>75.5</v>
      </c>
      <c r="DG392">
        <v>8.5</v>
      </c>
    </row>
    <row r="393" spans="1:111" x14ac:dyDescent="0.2">
      <c r="A393">
        <v>2025</v>
      </c>
      <c r="B393" s="1">
        <v>45954</v>
      </c>
      <c r="C393" t="s">
        <v>95</v>
      </c>
      <c r="D393">
        <v>605483</v>
      </c>
      <c r="E393">
        <v>662139</v>
      </c>
      <c r="F393">
        <v>3</v>
      </c>
      <c r="G393">
        <v>2</v>
      </c>
      <c r="H393">
        <v>6</v>
      </c>
      <c r="I393" t="s">
        <v>163</v>
      </c>
      <c r="J393">
        <v>49</v>
      </c>
      <c r="K393">
        <v>8</v>
      </c>
      <c r="L393" t="s">
        <v>97</v>
      </c>
      <c r="M393" t="s">
        <v>111</v>
      </c>
      <c r="N393" t="s">
        <v>112</v>
      </c>
      <c r="O393">
        <f t="shared" si="96"/>
        <v>0</v>
      </c>
      <c r="P393">
        <f t="shared" si="97"/>
        <v>0</v>
      </c>
      <c r="Q393">
        <f t="shared" si="98"/>
        <v>0</v>
      </c>
      <c r="R393">
        <f t="shared" si="99"/>
        <v>0</v>
      </c>
      <c r="S393">
        <f t="shared" si="100"/>
        <v>0</v>
      </c>
      <c r="T393">
        <f t="shared" si="101"/>
        <v>1</v>
      </c>
      <c r="U393">
        <f t="shared" si="102"/>
        <v>0</v>
      </c>
      <c r="V393">
        <f t="shared" si="103"/>
        <v>0</v>
      </c>
      <c r="W393">
        <f t="shared" si="104"/>
        <v>0</v>
      </c>
      <c r="X393">
        <f t="shared" si="105"/>
        <v>0</v>
      </c>
      <c r="Y393">
        <f t="shared" si="106"/>
        <v>0</v>
      </c>
      <c r="Z393">
        <f t="shared" si="107"/>
        <v>0</v>
      </c>
      <c r="AA393">
        <f t="shared" si="108"/>
        <v>0</v>
      </c>
      <c r="AB393">
        <f t="shared" si="109"/>
        <v>0</v>
      </c>
      <c r="AC393">
        <f t="shared" si="110"/>
        <v>0</v>
      </c>
      <c r="AD393">
        <f t="shared" si="111"/>
        <v>0</v>
      </c>
      <c r="AE393">
        <v>81.099999999999994</v>
      </c>
      <c r="AF393">
        <v>1.85</v>
      </c>
      <c r="AG393">
        <v>6.48</v>
      </c>
      <c r="AH393" t="s">
        <v>129</v>
      </c>
      <c r="AI393" t="s">
        <v>97</v>
      </c>
      <c r="AJ393" t="s">
        <v>97</v>
      </c>
      <c r="AK393" t="s">
        <v>97</v>
      </c>
      <c r="AL393" t="s">
        <v>97</v>
      </c>
      <c r="AM393">
        <v>5</v>
      </c>
      <c r="AN393" t="s">
        <v>130</v>
      </c>
      <c r="AO393" t="s">
        <v>213</v>
      </c>
      <c r="AP393" t="s">
        <v>103</v>
      </c>
      <c r="AQ393" t="s">
        <v>103</v>
      </c>
      <c r="AR393" t="s">
        <v>214</v>
      </c>
      <c r="AS393" t="s">
        <v>104</v>
      </c>
      <c r="AT393" t="s">
        <v>110</v>
      </c>
      <c r="AU393" t="s">
        <v>97</v>
      </c>
      <c r="AV393" t="s">
        <v>97</v>
      </c>
      <c r="AW393">
        <v>-1.1499999999999999</v>
      </c>
      <c r="AX393">
        <v>-0.71</v>
      </c>
      <c r="AY393">
        <v>0.22</v>
      </c>
      <c r="AZ393">
        <v>2.21</v>
      </c>
      <c r="BA393" t="s">
        <v>97</v>
      </c>
      <c r="BB393">
        <v>643396</v>
      </c>
      <c r="BC393">
        <v>672386</v>
      </c>
      <c r="BD393">
        <v>0</v>
      </c>
      <c r="BE393" t="s">
        <v>97</v>
      </c>
      <c r="BF393" t="s">
        <v>97</v>
      </c>
      <c r="BG393" t="s">
        <v>97</v>
      </c>
      <c r="BH393" t="s">
        <v>97</v>
      </c>
      <c r="BI393">
        <v>669257</v>
      </c>
      <c r="BJ393">
        <v>669257</v>
      </c>
      <c r="BK393" t="s">
        <v>97</v>
      </c>
      <c r="BL393" t="s">
        <v>97</v>
      </c>
      <c r="BM393">
        <v>-1.456450392</v>
      </c>
      <c r="BN393">
        <v>-118.1175649</v>
      </c>
      <c r="BO393">
        <v>-1.4881765010000001</v>
      </c>
      <c r="BP393">
        <v>-10.353279479999999</v>
      </c>
      <c r="BQ393">
        <v>25.605338360000001</v>
      </c>
      <c r="BR393">
        <v>-38.648390890000002</v>
      </c>
      <c r="BS393">
        <v>3.38</v>
      </c>
      <c r="BT393">
        <v>1.56</v>
      </c>
      <c r="BU393">
        <v>340</v>
      </c>
      <c r="BV393">
        <v>96</v>
      </c>
      <c r="BW393">
        <v>28</v>
      </c>
      <c r="BX393">
        <v>81.400000000000006</v>
      </c>
      <c r="BY393">
        <v>2718</v>
      </c>
      <c r="BZ393">
        <v>6.8</v>
      </c>
      <c r="CA393">
        <v>813027</v>
      </c>
      <c r="CB393">
        <v>669257</v>
      </c>
      <c r="CC393">
        <v>669257</v>
      </c>
      <c r="CD393">
        <v>518692</v>
      </c>
      <c r="CE393">
        <v>669242</v>
      </c>
      <c r="CF393">
        <v>571970</v>
      </c>
      <c r="CG393">
        <v>605141</v>
      </c>
      <c r="CH393">
        <v>571771</v>
      </c>
      <c r="CI393">
        <v>681624</v>
      </c>
      <c r="CJ393">
        <v>606192</v>
      </c>
      <c r="CK393">
        <v>53.73</v>
      </c>
      <c r="CL393" t="s">
        <v>97</v>
      </c>
      <c r="CM393" t="s">
        <v>97</v>
      </c>
      <c r="CN393" t="s">
        <v>97</v>
      </c>
      <c r="CO393" t="s">
        <v>97</v>
      </c>
      <c r="CP393" t="s">
        <v>97</v>
      </c>
      <c r="CQ393" t="s">
        <v>97</v>
      </c>
      <c r="CR393" t="s">
        <v>97</v>
      </c>
      <c r="CS393">
        <v>2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 t="s">
        <v>107</v>
      </c>
      <c r="DB393" t="s">
        <v>107</v>
      </c>
      <c r="DC393">
        <v>327</v>
      </c>
      <c r="DD393">
        <v>0</v>
      </c>
      <c r="DE393">
        <v>0</v>
      </c>
      <c r="DF393">
        <v>76.3</v>
      </c>
      <c r="DG393">
        <v>8.1</v>
      </c>
    </row>
    <row r="394" spans="1:111" x14ac:dyDescent="0.2">
      <c r="A394">
        <v>2025</v>
      </c>
      <c r="B394" s="1">
        <v>45954</v>
      </c>
      <c r="C394" t="s">
        <v>95</v>
      </c>
      <c r="D394">
        <v>605483</v>
      </c>
      <c r="E394">
        <v>662139</v>
      </c>
      <c r="F394">
        <v>3</v>
      </c>
      <c r="G394">
        <v>2</v>
      </c>
      <c r="H394">
        <v>6</v>
      </c>
      <c r="I394" t="s">
        <v>163</v>
      </c>
      <c r="J394">
        <v>49</v>
      </c>
      <c r="K394">
        <v>9</v>
      </c>
      <c r="L394" t="s">
        <v>241</v>
      </c>
      <c r="M394" t="s">
        <v>98</v>
      </c>
      <c r="N394" t="s">
        <v>99</v>
      </c>
      <c r="O394">
        <f t="shared" si="96"/>
        <v>1</v>
      </c>
      <c r="P394">
        <f t="shared" si="97"/>
        <v>0</v>
      </c>
      <c r="Q394">
        <f t="shared" si="98"/>
        <v>0</v>
      </c>
      <c r="R394">
        <f t="shared" si="99"/>
        <v>0</v>
      </c>
      <c r="S394">
        <f t="shared" si="100"/>
        <v>0</v>
      </c>
      <c r="T394">
        <f t="shared" si="101"/>
        <v>0</v>
      </c>
      <c r="U394">
        <f t="shared" si="102"/>
        <v>0</v>
      </c>
      <c r="V394">
        <f t="shared" si="103"/>
        <v>0</v>
      </c>
      <c r="W394">
        <f t="shared" si="104"/>
        <v>0</v>
      </c>
      <c r="X394">
        <f t="shared" si="105"/>
        <v>0</v>
      </c>
      <c r="Y394">
        <f t="shared" si="106"/>
        <v>0</v>
      </c>
      <c r="Z394">
        <f t="shared" si="107"/>
        <v>0</v>
      </c>
      <c r="AA394">
        <f t="shared" si="108"/>
        <v>0</v>
      </c>
      <c r="AB394">
        <f t="shared" si="109"/>
        <v>0</v>
      </c>
      <c r="AC394">
        <f t="shared" si="110"/>
        <v>0</v>
      </c>
      <c r="AD394">
        <f t="shared" si="111"/>
        <v>0</v>
      </c>
      <c r="AE394">
        <v>95.9</v>
      </c>
      <c r="AF394">
        <v>2.08</v>
      </c>
      <c r="AG394">
        <v>6.38</v>
      </c>
      <c r="AH394" t="s">
        <v>241</v>
      </c>
      <c r="AI394" t="s">
        <v>97</v>
      </c>
      <c r="AJ394" t="s">
        <v>97</v>
      </c>
      <c r="AK394" t="s">
        <v>97</v>
      </c>
      <c r="AL394" t="s">
        <v>97</v>
      </c>
      <c r="AM394">
        <v>12</v>
      </c>
      <c r="AN394" t="s">
        <v>242</v>
      </c>
      <c r="AO394" t="s">
        <v>213</v>
      </c>
      <c r="AP394" t="s">
        <v>103</v>
      </c>
      <c r="AQ394" t="s">
        <v>103</v>
      </c>
      <c r="AR394" t="s">
        <v>214</v>
      </c>
      <c r="AS394" t="s">
        <v>104</v>
      </c>
      <c r="AT394" t="s">
        <v>106</v>
      </c>
      <c r="AU394" t="s">
        <v>97</v>
      </c>
      <c r="AV394" t="s">
        <v>97</v>
      </c>
      <c r="AW394">
        <v>0.69</v>
      </c>
      <c r="AX394">
        <v>1.29</v>
      </c>
      <c r="AY394">
        <v>1.93</v>
      </c>
      <c r="AZ394">
        <v>4.07</v>
      </c>
      <c r="BA394" t="s">
        <v>97</v>
      </c>
      <c r="BB394">
        <v>643396</v>
      </c>
      <c r="BC394">
        <v>672386</v>
      </c>
      <c r="BD394">
        <v>0</v>
      </c>
      <c r="BE394" t="s">
        <v>97</v>
      </c>
      <c r="BF394" t="s">
        <v>97</v>
      </c>
      <c r="BG394" t="s">
        <v>97</v>
      </c>
      <c r="BH394" t="s">
        <v>97</v>
      </c>
      <c r="BI394">
        <v>669257</v>
      </c>
      <c r="BJ394">
        <v>669257</v>
      </c>
      <c r="BK394" t="s">
        <v>97</v>
      </c>
      <c r="BL394" t="s">
        <v>97</v>
      </c>
      <c r="BM394">
        <v>-1.9999661820000001</v>
      </c>
      <c r="BN394">
        <v>-139.65555639999999</v>
      </c>
      <c r="BO394">
        <v>-3.4273651300000001</v>
      </c>
      <c r="BP394">
        <v>9.4275168839999992</v>
      </c>
      <c r="BQ394">
        <v>33.267026450000003</v>
      </c>
      <c r="BR394">
        <v>-14.769403110000001</v>
      </c>
      <c r="BS394">
        <v>3.38</v>
      </c>
      <c r="BT394">
        <v>1.56</v>
      </c>
      <c r="BU394" t="s">
        <v>97</v>
      </c>
      <c r="BV394" t="s">
        <v>97</v>
      </c>
      <c r="BW394" t="s">
        <v>97</v>
      </c>
      <c r="BX394">
        <v>96.9</v>
      </c>
      <c r="BY394">
        <v>2381</v>
      </c>
      <c r="BZ394">
        <v>6.9</v>
      </c>
      <c r="CA394">
        <v>813027</v>
      </c>
      <c r="CB394">
        <v>669257</v>
      </c>
      <c r="CC394">
        <v>669257</v>
      </c>
      <c r="CD394">
        <v>518692</v>
      </c>
      <c r="CE394">
        <v>669242</v>
      </c>
      <c r="CF394">
        <v>571970</v>
      </c>
      <c r="CG394">
        <v>605141</v>
      </c>
      <c r="CH394">
        <v>571771</v>
      </c>
      <c r="CI394">
        <v>681624</v>
      </c>
      <c r="CJ394">
        <v>606192</v>
      </c>
      <c r="CK394">
        <v>53.58</v>
      </c>
      <c r="CL394" t="s">
        <v>97</v>
      </c>
      <c r="CM394">
        <v>0.72228899999999996</v>
      </c>
      <c r="CN394">
        <v>0.7</v>
      </c>
      <c r="CO394">
        <v>1</v>
      </c>
      <c r="CP394">
        <v>0</v>
      </c>
      <c r="CQ394">
        <v>0</v>
      </c>
      <c r="CR394" t="s">
        <v>97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2</v>
      </c>
      <c r="DA394" t="s">
        <v>107</v>
      </c>
      <c r="DB394" t="s">
        <v>107</v>
      </c>
      <c r="DC394">
        <v>156</v>
      </c>
      <c r="DD394">
        <v>9.6000000000000002E-2</v>
      </c>
      <c r="DE394">
        <v>0.372</v>
      </c>
      <c r="DF394" t="s">
        <v>97</v>
      </c>
      <c r="DG394" t="s">
        <v>97</v>
      </c>
    </row>
    <row r="395" spans="1:111" x14ac:dyDescent="0.2">
      <c r="A395">
        <v>2025</v>
      </c>
      <c r="B395" s="1">
        <v>45959</v>
      </c>
      <c r="C395" t="s">
        <v>95</v>
      </c>
      <c r="D395">
        <v>605483</v>
      </c>
      <c r="E395">
        <v>676914</v>
      </c>
      <c r="F395">
        <v>0</v>
      </c>
      <c r="G395">
        <v>0</v>
      </c>
      <c r="H395">
        <v>1</v>
      </c>
      <c r="I395" t="s">
        <v>96</v>
      </c>
      <c r="J395">
        <v>1</v>
      </c>
      <c r="K395">
        <v>1</v>
      </c>
      <c r="L395" t="s">
        <v>231</v>
      </c>
      <c r="M395" t="s">
        <v>98</v>
      </c>
      <c r="N395" t="s">
        <v>99</v>
      </c>
      <c r="O395">
        <f t="shared" si="96"/>
        <v>1</v>
      </c>
      <c r="P395">
        <f t="shared" si="97"/>
        <v>0</v>
      </c>
      <c r="Q395">
        <f t="shared" si="98"/>
        <v>0</v>
      </c>
      <c r="R395">
        <f t="shared" si="99"/>
        <v>0</v>
      </c>
      <c r="S395">
        <f t="shared" si="100"/>
        <v>0</v>
      </c>
      <c r="T395">
        <f t="shared" si="101"/>
        <v>0</v>
      </c>
      <c r="U395">
        <f t="shared" si="102"/>
        <v>0</v>
      </c>
      <c r="V395">
        <f t="shared" si="103"/>
        <v>0</v>
      </c>
      <c r="W395">
        <f t="shared" si="104"/>
        <v>0</v>
      </c>
      <c r="X395">
        <f t="shared" si="105"/>
        <v>0</v>
      </c>
      <c r="Y395">
        <f t="shared" si="106"/>
        <v>0</v>
      </c>
      <c r="Z395">
        <f t="shared" si="107"/>
        <v>0</v>
      </c>
      <c r="AA395">
        <f t="shared" si="108"/>
        <v>0</v>
      </c>
      <c r="AB395">
        <f t="shared" si="109"/>
        <v>0</v>
      </c>
      <c r="AC395">
        <f t="shared" si="110"/>
        <v>0</v>
      </c>
      <c r="AD395">
        <f t="shared" si="111"/>
        <v>0</v>
      </c>
      <c r="AE395">
        <v>96.6</v>
      </c>
      <c r="AF395">
        <v>2</v>
      </c>
      <c r="AG395">
        <v>6.53</v>
      </c>
      <c r="AH395" t="s">
        <v>120</v>
      </c>
      <c r="AI395" t="s">
        <v>97</v>
      </c>
      <c r="AJ395" t="s">
        <v>97</v>
      </c>
      <c r="AK395" t="s">
        <v>97</v>
      </c>
      <c r="AL395" t="s">
        <v>97</v>
      </c>
      <c r="AM395">
        <v>1</v>
      </c>
      <c r="AN395" t="s">
        <v>243</v>
      </c>
      <c r="AO395" t="s">
        <v>213</v>
      </c>
      <c r="AP395" t="s">
        <v>122</v>
      </c>
      <c r="AQ395" t="s">
        <v>103</v>
      </c>
      <c r="AR395" t="s">
        <v>104</v>
      </c>
      <c r="AS395" t="s">
        <v>214</v>
      </c>
      <c r="AT395" t="s">
        <v>123</v>
      </c>
      <c r="AU395" t="s">
        <v>97</v>
      </c>
      <c r="AV395" t="s">
        <v>124</v>
      </c>
      <c r="AW395">
        <v>0.27</v>
      </c>
      <c r="AX395">
        <v>1.56</v>
      </c>
      <c r="AY395">
        <v>-0.37</v>
      </c>
      <c r="AZ395">
        <v>2.92</v>
      </c>
      <c r="BA395" t="s">
        <v>97</v>
      </c>
      <c r="BB395" t="s">
        <v>97</v>
      </c>
      <c r="BC395" t="s">
        <v>97</v>
      </c>
      <c r="BD395">
        <v>0</v>
      </c>
      <c r="BE395">
        <v>41.53</v>
      </c>
      <c r="BF395">
        <v>73.41</v>
      </c>
      <c r="BG395" t="s">
        <v>97</v>
      </c>
      <c r="BH395" t="s">
        <v>97</v>
      </c>
      <c r="BI395">
        <v>669257</v>
      </c>
      <c r="BJ395">
        <v>669257</v>
      </c>
      <c r="BK395" t="s">
        <v>97</v>
      </c>
      <c r="BL395" t="s">
        <v>97</v>
      </c>
      <c r="BM395">
        <v>-6.9775689139999999</v>
      </c>
      <c r="BN395">
        <v>-140.283109</v>
      </c>
      <c r="BO395">
        <v>-7.6031970920000003</v>
      </c>
      <c r="BP395">
        <v>5.2525624979999996</v>
      </c>
      <c r="BQ395">
        <v>34.212977969999997</v>
      </c>
      <c r="BR395">
        <v>-9.9677855609999995</v>
      </c>
      <c r="BS395">
        <v>3.11</v>
      </c>
      <c r="BT395">
        <v>1.52</v>
      </c>
      <c r="BU395">
        <v>373</v>
      </c>
      <c r="BV395">
        <v>97.5</v>
      </c>
      <c r="BW395">
        <v>34</v>
      </c>
      <c r="BX395">
        <v>96.9</v>
      </c>
      <c r="BY395">
        <v>2514</v>
      </c>
      <c r="BZ395">
        <v>6.8</v>
      </c>
      <c r="CA395">
        <v>813022</v>
      </c>
      <c r="CB395">
        <v>669257</v>
      </c>
      <c r="CC395">
        <v>669257</v>
      </c>
      <c r="CD395">
        <v>518692</v>
      </c>
      <c r="CE395">
        <v>669242</v>
      </c>
      <c r="CF395">
        <v>571970</v>
      </c>
      <c r="CG395">
        <v>605141</v>
      </c>
      <c r="CH395">
        <v>669743</v>
      </c>
      <c r="CI395">
        <v>571771</v>
      </c>
      <c r="CJ395">
        <v>606192</v>
      </c>
      <c r="CK395">
        <v>53.75</v>
      </c>
      <c r="CL395">
        <v>0.23400000000000001</v>
      </c>
      <c r="CM395">
        <v>0.45</v>
      </c>
      <c r="CN395">
        <v>2</v>
      </c>
      <c r="CO395">
        <v>1</v>
      </c>
      <c r="CP395">
        <v>0</v>
      </c>
      <c r="CQ395">
        <v>3</v>
      </c>
      <c r="CR395">
        <v>5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0</v>
      </c>
      <c r="CY395">
        <v>1</v>
      </c>
      <c r="CZ395">
        <v>0</v>
      </c>
      <c r="DA395" t="s">
        <v>107</v>
      </c>
      <c r="DB395" t="s">
        <v>107</v>
      </c>
      <c r="DC395">
        <v>158</v>
      </c>
      <c r="DD395">
        <v>-0.10100000000000001</v>
      </c>
      <c r="DE395">
        <v>1.1140000000000001</v>
      </c>
      <c r="DF395">
        <v>72.900000000000006</v>
      </c>
      <c r="DG395">
        <v>7</v>
      </c>
    </row>
    <row r="396" spans="1:111" x14ac:dyDescent="0.2">
      <c r="A396">
        <v>2025</v>
      </c>
      <c r="B396" s="1">
        <v>45959</v>
      </c>
      <c r="C396" t="s">
        <v>95</v>
      </c>
      <c r="D396">
        <v>605483</v>
      </c>
      <c r="E396">
        <v>665489</v>
      </c>
      <c r="F396">
        <v>0</v>
      </c>
      <c r="G396">
        <v>0</v>
      </c>
      <c r="H396">
        <v>1</v>
      </c>
      <c r="I396" t="s">
        <v>96</v>
      </c>
      <c r="J396">
        <v>2</v>
      </c>
      <c r="K396">
        <v>1</v>
      </c>
      <c r="L396" t="s">
        <v>97</v>
      </c>
      <c r="M396" t="s">
        <v>98</v>
      </c>
      <c r="N396" t="s">
        <v>99</v>
      </c>
      <c r="O396">
        <f t="shared" si="96"/>
        <v>1</v>
      </c>
      <c r="P396">
        <f t="shared" si="97"/>
        <v>0</v>
      </c>
      <c r="Q396">
        <f t="shared" si="98"/>
        <v>0</v>
      </c>
      <c r="R396">
        <f t="shared" si="99"/>
        <v>0</v>
      </c>
      <c r="S396">
        <f t="shared" si="100"/>
        <v>0</v>
      </c>
      <c r="T396">
        <f t="shared" si="101"/>
        <v>0</v>
      </c>
      <c r="U396">
        <f t="shared" si="102"/>
        <v>0</v>
      </c>
      <c r="V396">
        <f t="shared" si="103"/>
        <v>0</v>
      </c>
      <c r="W396">
        <f t="shared" si="104"/>
        <v>0</v>
      </c>
      <c r="X396">
        <f t="shared" si="105"/>
        <v>0</v>
      </c>
      <c r="Y396">
        <f t="shared" si="106"/>
        <v>0</v>
      </c>
      <c r="Z396">
        <f t="shared" si="107"/>
        <v>0</v>
      </c>
      <c r="AA396">
        <f t="shared" si="108"/>
        <v>0</v>
      </c>
      <c r="AB396">
        <f t="shared" si="109"/>
        <v>0</v>
      </c>
      <c r="AC396">
        <f t="shared" si="110"/>
        <v>0</v>
      </c>
      <c r="AD396">
        <f t="shared" si="111"/>
        <v>0</v>
      </c>
      <c r="AE396">
        <v>96.8</v>
      </c>
      <c r="AF396">
        <v>1.93</v>
      </c>
      <c r="AG396">
        <v>6.55</v>
      </c>
      <c r="AH396" t="s">
        <v>108</v>
      </c>
      <c r="AI396" t="s">
        <v>97</v>
      </c>
      <c r="AJ396" t="s">
        <v>97</v>
      </c>
      <c r="AK396" t="s">
        <v>97</v>
      </c>
      <c r="AL396" t="s">
        <v>97</v>
      </c>
      <c r="AM396">
        <v>7</v>
      </c>
      <c r="AN396" t="s">
        <v>109</v>
      </c>
      <c r="AO396" t="s">
        <v>213</v>
      </c>
      <c r="AP396" t="s">
        <v>122</v>
      </c>
      <c r="AQ396" t="s">
        <v>103</v>
      </c>
      <c r="AR396" t="s">
        <v>104</v>
      </c>
      <c r="AS396" t="s">
        <v>214</v>
      </c>
      <c r="AT396" t="s">
        <v>110</v>
      </c>
      <c r="AU396" t="s">
        <v>97</v>
      </c>
      <c r="AV396" t="s">
        <v>97</v>
      </c>
      <c r="AW396">
        <v>0.44</v>
      </c>
      <c r="AX396">
        <v>1.6</v>
      </c>
      <c r="AY396">
        <v>-0.51</v>
      </c>
      <c r="AZ396">
        <v>1.94</v>
      </c>
      <c r="BA396" t="s">
        <v>97</v>
      </c>
      <c r="BB396" t="s">
        <v>97</v>
      </c>
      <c r="BC396" t="s">
        <v>97</v>
      </c>
      <c r="BD396">
        <v>0</v>
      </c>
      <c r="BE396" t="s">
        <v>97</v>
      </c>
      <c r="BF396" t="s">
        <v>97</v>
      </c>
      <c r="BG396" t="s">
        <v>97</v>
      </c>
      <c r="BH396" t="s">
        <v>97</v>
      </c>
      <c r="BI396">
        <v>669257</v>
      </c>
      <c r="BJ396">
        <v>669257</v>
      </c>
      <c r="BK396" t="s">
        <v>97</v>
      </c>
      <c r="BL396" t="s">
        <v>97</v>
      </c>
      <c r="BM396">
        <v>-7.5641496210000003</v>
      </c>
      <c r="BN396">
        <v>-140.45722169999999</v>
      </c>
      <c r="BO396">
        <v>-10.477966390000001</v>
      </c>
      <c r="BP396">
        <v>7.459464798</v>
      </c>
      <c r="BQ396">
        <v>31.17582917</v>
      </c>
      <c r="BR396">
        <v>-8.8164183289999993</v>
      </c>
      <c r="BS396">
        <v>3.74</v>
      </c>
      <c r="BT396">
        <v>1.66</v>
      </c>
      <c r="BU396" t="s">
        <v>97</v>
      </c>
      <c r="BV396" t="s">
        <v>97</v>
      </c>
      <c r="BW396" t="s">
        <v>97</v>
      </c>
      <c r="BX396">
        <v>97.6</v>
      </c>
      <c r="BY396">
        <v>2554</v>
      </c>
      <c r="BZ396">
        <v>6.9</v>
      </c>
      <c r="CA396">
        <v>813022</v>
      </c>
      <c r="CB396">
        <v>669257</v>
      </c>
      <c r="CC396">
        <v>669257</v>
      </c>
      <c r="CD396">
        <v>518692</v>
      </c>
      <c r="CE396">
        <v>669242</v>
      </c>
      <c r="CF396">
        <v>571970</v>
      </c>
      <c r="CG396">
        <v>605141</v>
      </c>
      <c r="CH396">
        <v>669743</v>
      </c>
      <c r="CI396">
        <v>571771</v>
      </c>
      <c r="CJ396">
        <v>606192</v>
      </c>
      <c r="CK396">
        <v>53.63</v>
      </c>
      <c r="CL396" t="s">
        <v>97</v>
      </c>
      <c r="CM396" t="s">
        <v>97</v>
      </c>
      <c r="CN396" t="s">
        <v>97</v>
      </c>
      <c r="CO396" t="s">
        <v>97</v>
      </c>
      <c r="CP396" t="s">
        <v>97</v>
      </c>
      <c r="CQ396" t="s">
        <v>97</v>
      </c>
      <c r="CR396" t="s">
        <v>97</v>
      </c>
      <c r="CS396">
        <v>0</v>
      </c>
      <c r="CT396">
        <v>1</v>
      </c>
      <c r="CU396">
        <v>1</v>
      </c>
      <c r="CV396">
        <v>0</v>
      </c>
      <c r="CW396">
        <v>1</v>
      </c>
      <c r="CX396">
        <v>0</v>
      </c>
      <c r="CY396">
        <v>1</v>
      </c>
      <c r="CZ396">
        <v>0</v>
      </c>
      <c r="DA396" t="s">
        <v>115</v>
      </c>
      <c r="DB396" t="s">
        <v>107</v>
      </c>
      <c r="DC396">
        <v>159</v>
      </c>
      <c r="DD396">
        <v>0</v>
      </c>
      <c r="DE396">
        <v>-3.9E-2</v>
      </c>
      <c r="DF396" t="s">
        <v>97</v>
      </c>
      <c r="DG396" t="s">
        <v>97</v>
      </c>
    </row>
    <row r="397" spans="1:111" x14ac:dyDescent="0.2">
      <c r="A397">
        <v>2025</v>
      </c>
      <c r="B397" s="1">
        <v>45959</v>
      </c>
      <c r="C397" t="s">
        <v>95</v>
      </c>
      <c r="D397">
        <v>605483</v>
      </c>
      <c r="E397">
        <v>665489</v>
      </c>
      <c r="F397">
        <v>0</v>
      </c>
      <c r="G397">
        <v>1</v>
      </c>
      <c r="H397">
        <v>1</v>
      </c>
      <c r="I397" t="s">
        <v>96</v>
      </c>
      <c r="J397">
        <v>2</v>
      </c>
      <c r="K397">
        <v>2</v>
      </c>
      <c r="L397" t="s">
        <v>231</v>
      </c>
      <c r="M397" t="s">
        <v>98</v>
      </c>
      <c r="N397" t="s">
        <v>99</v>
      </c>
      <c r="O397">
        <f t="shared" si="96"/>
        <v>0</v>
      </c>
      <c r="P397">
        <f t="shared" si="97"/>
        <v>1</v>
      </c>
      <c r="Q397">
        <f t="shared" si="98"/>
        <v>0</v>
      </c>
      <c r="R397">
        <f t="shared" si="99"/>
        <v>0</v>
      </c>
      <c r="S397">
        <f t="shared" si="100"/>
        <v>0</v>
      </c>
      <c r="T397">
        <f t="shared" si="101"/>
        <v>0</v>
      </c>
      <c r="U397">
        <f t="shared" si="102"/>
        <v>0</v>
      </c>
      <c r="V397">
        <f t="shared" si="103"/>
        <v>0</v>
      </c>
      <c r="W397">
        <f t="shared" si="104"/>
        <v>0</v>
      </c>
      <c r="X397">
        <f t="shared" si="105"/>
        <v>0</v>
      </c>
      <c r="Y397">
        <f t="shared" si="106"/>
        <v>0</v>
      </c>
      <c r="Z397">
        <f t="shared" si="107"/>
        <v>0</v>
      </c>
      <c r="AA397">
        <f t="shared" si="108"/>
        <v>0</v>
      </c>
      <c r="AB397">
        <f t="shared" si="109"/>
        <v>0</v>
      </c>
      <c r="AC397">
        <f t="shared" si="110"/>
        <v>0</v>
      </c>
      <c r="AD397">
        <f t="shared" si="111"/>
        <v>0</v>
      </c>
      <c r="AE397">
        <v>96</v>
      </c>
      <c r="AF397">
        <v>1.97</v>
      </c>
      <c r="AG397">
        <v>6.54</v>
      </c>
      <c r="AH397" t="s">
        <v>120</v>
      </c>
      <c r="AI397" t="s">
        <v>97</v>
      </c>
      <c r="AJ397" t="s">
        <v>97</v>
      </c>
      <c r="AK397" t="s">
        <v>97</v>
      </c>
      <c r="AL397" t="s">
        <v>97</v>
      </c>
      <c r="AM397">
        <v>4</v>
      </c>
      <c r="AN397" t="s">
        <v>244</v>
      </c>
      <c r="AO397" t="s">
        <v>213</v>
      </c>
      <c r="AP397" t="s">
        <v>122</v>
      </c>
      <c r="AQ397" t="s">
        <v>103</v>
      </c>
      <c r="AR397" t="s">
        <v>104</v>
      </c>
      <c r="AS397" t="s">
        <v>214</v>
      </c>
      <c r="AT397" t="s">
        <v>123</v>
      </c>
      <c r="AU397" t="s">
        <v>97</v>
      </c>
      <c r="AV397" t="s">
        <v>124</v>
      </c>
      <c r="AW397">
        <v>0.4</v>
      </c>
      <c r="AX397">
        <v>1.69</v>
      </c>
      <c r="AY397">
        <v>-0.47</v>
      </c>
      <c r="AZ397">
        <v>2.42</v>
      </c>
      <c r="BA397" t="s">
        <v>97</v>
      </c>
      <c r="BB397" t="s">
        <v>97</v>
      </c>
      <c r="BC397" t="s">
        <v>97</v>
      </c>
      <c r="BD397">
        <v>0</v>
      </c>
      <c r="BE397">
        <v>19.600000000000001</v>
      </c>
      <c r="BF397">
        <v>78.680000000000007</v>
      </c>
      <c r="BG397" t="s">
        <v>97</v>
      </c>
      <c r="BH397" t="s">
        <v>97</v>
      </c>
      <c r="BI397">
        <v>669257</v>
      </c>
      <c r="BJ397">
        <v>669257</v>
      </c>
      <c r="BK397" t="s">
        <v>97</v>
      </c>
      <c r="BL397" t="s">
        <v>97</v>
      </c>
      <c r="BM397">
        <v>-7.3861137560000003</v>
      </c>
      <c r="BN397">
        <v>-139.33077979999999</v>
      </c>
      <c r="BO397">
        <v>-9.1527541079999999</v>
      </c>
      <c r="BP397">
        <v>6.8373324689999997</v>
      </c>
      <c r="BQ397">
        <v>31.612162640000001</v>
      </c>
      <c r="BR397">
        <v>-8.2583647330000005</v>
      </c>
      <c r="BS397">
        <v>3.66</v>
      </c>
      <c r="BT397">
        <v>1.6</v>
      </c>
      <c r="BU397">
        <v>394</v>
      </c>
      <c r="BV397">
        <v>104.4</v>
      </c>
      <c r="BW397">
        <v>24</v>
      </c>
      <c r="BX397">
        <v>96.5</v>
      </c>
      <c r="BY397">
        <v>2582</v>
      </c>
      <c r="BZ397">
        <v>6.7</v>
      </c>
      <c r="CA397">
        <v>813022</v>
      </c>
      <c r="CB397">
        <v>669257</v>
      </c>
      <c r="CC397">
        <v>669257</v>
      </c>
      <c r="CD397">
        <v>518692</v>
      </c>
      <c r="CE397">
        <v>669242</v>
      </c>
      <c r="CF397">
        <v>571970</v>
      </c>
      <c r="CG397">
        <v>605141</v>
      </c>
      <c r="CH397">
        <v>669743</v>
      </c>
      <c r="CI397">
        <v>571771</v>
      </c>
      <c r="CJ397">
        <v>606192</v>
      </c>
      <c r="CK397">
        <v>53.76</v>
      </c>
      <c r="CL397">
        <v>0.84899999999999998</v>
      </c>
      <c r="CM397">
        <v>1.5129999999999999</v>
      </c>
      <c r="CN397">
        <v>2</v>
      </c>
      <c r="CO397">
        <v>1</v>
      </c>
      <c r="CP397">
        <v>0</v>
      </c>
      <c r="CQ397">
        <v>3</v>
      </c>
      <c r="CR397">
        <v>6</v>
      </c>
      <c r="CS397">
        <v>0</v>
      </c>
      <c r="CT397">
        <v>1</v>
      </c>
      <c r="CU397">
        <v>1</v>
      </c>
      <c r="CV397">
        <v>0</v>
      </c>
      <c r="CW397">
        <v>2</v>
      </c>
      <c r="CX397">
        <v>0</v>
      </c>
      <c r="CY397">
        <v>2</v>
      </c>
      <c r="CZ397">
        <v>0</v>
      </c>
      <c r="DA397" t="s">
        <v>115</v>
      </c>
      <c r="DB397" t="s">
        <v>107</v>
      </c>
      <c r="DC397">
        <v>157</v>
      </c>
      <c r="DD397">
        <v>-9.2999999999999999E-2</v>
      </c>
      <c r="DE397">
        <v>1.1539999999999999</v>
      </c>
      <c r="DF397">
        <v>87.4</v>
      </c>
      <c r="DG397">
        <v>8.1999999999999993</v>
      </c>
    </row>
    <row r="398" spans="1:111" x14ac:dyDescent="0.2">
      <c r="A398">
        <v>2025</v>
      </c>
      <c r="B398" s="1">
        <v>45959</v>
      </c>
      <c r="C398" t="s">
        <v>95</v>
      </c>
      <c r="D398">
        <v>605483</v>
      </c>
      <c r="E398">
        <v>666182</v>
      </c>
      <c r="F398">
        <v>0</v>
      </c>
      <c r="G398">
        <v>0</v>
      </c>
      <c r="H398">
        <v>1</v>
      </c>
      <c r="I398" t="s">
        <v>96</v>
      </c>
      <c r="J398">
        <v>3</v>
      </c>
      <c r="K398">
        <v>1</v>
      </c>
      <c r="L398" t="s">
        <v>97</v>
      </c>
      <c r="M398" t="s">
        <v>111</v>
      </c>
      <c r="N398" t="s">
        <v>112</v>
      </c>
      <c r="O398">
        <f t="shared" si="96"/>
        <v>0</v>
      </c>
      <c r="P398">
        <f t="shared" si="97"/>
        <v>0</v>
      </c>
      <c r="Q398">
        <f t="shared" si="98"/>
        <v>0</v>
      </c>
      <c r="R398">
        <f t="shared" si="99"/>
        <v>0</v>
      </c>
      <c r="S398">
        <f t="shared" si="100"/>
        <v>1</v>
      </c>
      <c r="T398">
        <f t="shared" si="101"/>
        <v>0</v>
      </c>
      <c r="U398">
        <f t="shared" si="102"/>
        <v>0</v>
      </c>
      <c r="V398">
        <f t="shared" si="103"/>
        <v>0</v>
      </c>
      <c r="W398">
        <f t="shared" si="104"/>
        <v>0</v>
      </c>
      <c r="X398">
        <f t="shared" si="105"/>
        <v>0</v>
      </c>
      <c r="Y398">
        <f t="shared" si="106"/>
        <v>0</v>
      </c>
      <c r="Z398">
        <f t="shared" si="107"/>
        <v>0</v>
      </c>
      <c r="AA398">
        <f t="shared" si="108"/>
        <v>0</v>
      </c>
      <c r="AB398">
        <f t="shared" si="109"/>
        <v>0</v>
      </c>
      <c r="AC398">
        <f t="shared" si="110"/>
        <v>0</v>
      </c>
      <c r="AD398">
        <f t="shared" si="111"/>
        <v>0</v>
      </c>
      <c r="AE398">
        <v>81.5</v>
      </c>
      <c r="AF398">
        <v>1.96</v>
      </c>
      <c r="AG398">
        <v>6.6</v>
      </c>
      <c r="AH398" t="s">
        <v>113</v>
      </c>
      <c r="AI398" t="s">
        <v>97</v>
      </c>
      <c r="AJ398" t="s">
        <v>97</v>
      </c>
      <c r="AK398" t="s">
        <v>97</v>
      </c>
      <c r="AL398" t="s">
        <v>97</v>
      </c>
      <c r="AM398">
        <v>13</v>
      </c>
      <c r="AN398" t="s">
        <v>114</v>
      </c>
      <c r="AO398" t="s">
        <v>213</v>
      </c>
      <c r="AP398" t="s">
        <v>122</v>
      </c>
      <c r="AQ398" t="s">
        <v>103</v>
      </c>
      <c r="AR398" t="s">
        <v>104</v>
      </c>
      <c r="AS398" t="s">
        <v>214</v>
      </c>
      <c r="AT398" t="s">
        <v>110</v>
      </c>
      <c r="AU398" t="s">
        <v>97</v>
      </c>
      <c r="AV398" t="s">
        <v>97</v>
      </c>
      <c r="AW398">
        <v>-1.1000000000000001</v>
      </c>
      <c r="AX398">
        <v>-0.87</v>
      </c>
      <c r="AY398">
        <v>-0.7</v>
      </c>
      <c r="AZ398">
        <v>1.35</v>
      </c>
      <c r="BA398" t="s">
        <v>97</v>
      </c>
      <c r="BB398" t="s">
        <v>97</v>
      </c>
      <c r="BC398" t="s">
        <v>97</v>
      </c>
      <c r="BD398">
        <v>0</v>
      </c>
      <c r="BE398" t="s">
        <v>97</v>
      </c>
      <c r="BF398" t="s">
        <v>97</v>
      </c>
      <c r="BG398" t="s">
        <v>97</v>
      </c>
      <c r="BH398" t="s">
        <v>97</v>
      </c>
      <c r="BI398">
        <v>669257</v>
      </c>
      <c r="BJ398">
        <v>669257</v>
      </c>
      <c r="BK398" t="s">
        <v>97</v>
      </c>
      <c r="BL398" t="s">
        <v>97</v>
      </c>
      <c r="BM398">
        <v>-3.883320801</v>
      </c>
      <c r="BN398">
        <v>-118.6274787</v>
      </c>
      <c r="BO398">
        <v>-3.4556358889999998</v>
      </c>
      <c r="BP398">
        <v>-9.4314940140000001</v>
      </c>
      <c r="BQ398">
        <v>26.075080459999999</v>
      </c>
      <c r="BR398">
        <v>-39.774071229999997</v>
      </c>
      <c r="BS398">
        <v>3.71</v>
      </c>
      <c r="BT398">
        <v>1.75</v>
      </c>
      <c r="BU398" t="s">
        <v>97</v>
      </c>
      <c r="BV398" t="s">
        <v>97</v>
      </c>
      <c r="BW398" t="s">
        <v>97</v>
      </c>
      <c r="BX398">
        <v>81.400000000000006</v>
      </c>
      <c r="BY398">
        <v>2488</v>
      </c>
      <c r="BZ398">
        <v>6.6</v>
      </c>
      <c r="CA398">
        <v>813022</v>
      </c>
      <c r="CB398">
        <v>669257</v>
      </c>
      <c r="CC398">
        <v>669257</v>
      </c>
      <c r="CD398">
        <v>518692</v>
      </c>
      <c r="CE398">
        <v>669242</v>
      </c>
      <c r="CF398">
        <v>571970</v>
      </c>
      <c r="CG398">
        <v>605141</v>
      </c>
      <c r="CH398">
        <v>669743</v>
      </c>
      <c r="CI398">
        <v>571771</v>
      </c>
      <c r="CJ398">
        <v>606192</v>
      </c>
      <c r="CK398">
        <v>53.95</v>
      </c>
      <c r="CL398" t="s">
        <v>97</v>
      </c>
      <c r="CM398" t="s">
        <v>97</v>
      </c>
      <c r="CN398" t="s">
        <v>97</v>
      </c>
      <c r="CO398" t="s">
        <v>97</v>
      </c>
      <c r="CP398" t="s">
        <v>97</v>
      </c>
      <c r="CQ398" t="s">
        <v>97</v>
      </c>
      <c r="CR398" t="s">
        <v>97</v>
      </c>
      <c r="CS398">
        <v>0</v>
      </c>
      <c r="CT398">
        <v>2</v>
      </c>
      <c r="CU398">
        <v>2</v>
      </c>
      <c r="CV398">
        <v>0</v>
      </c>
      <c r="CW398">
        <v>2</v>
      </c>
      <c r="CX398">
        <v>0</v>
      </c>
      <c r="CY398">
        <v>2</v>
      </c>
      <c r="CZ398">
        <v>0</v>
      </c>
      <c r="DA398" t="s">
        <v>107</v>
      </c>
      <c r="DB398" t="s">
        <v>107</v>
      </c>
      <c r="DC398">
        <v>322</v>
      </c>
      <c r="DD398">
        <v>0</v>
      </c>
      <c r="DE398">
        <v>-3.9E-2</v>
      </c>
      <c r="DF398">
        <v>72</v>
      </c>
      <c r="DG398">
        <v>8.6</v>
      </c>
    </row>
    <row r="399" spans="1:111" x14ac:dyDescent="0.2">
      <c r="A399">
        <v>2025</v>
      </c>
      <c r="B399" s="1">
        <v>45959</v>
      </c>
      <c r="C399" t="s">
        <v>95</v>
      </c>
      <c r="D399">
        <v>605483</v>
      </c>
      <c r="E399">
        <v>666182</v>
      </c>
      <c r="F399">
        <v>0</v>
      </c>
      <c r="G399">
        <v>1</v>
      </c>
      <c r="H399">
        <v>1</v>
      </c>
      <c r="I399" t="s">
        <v>96</v>
      </c>
      <c r="J399">
        <v>3</v>
      </c>
      <c r="K399">
        <v>2</v>
      </c>
      <c r="L399" t="s">
        <v>97</v>
      </c>
      <c r="M399" t="s">
        <v>111</v>
      </c>
      <c r="N399" t="s">
        <v>112</v>
      </c>
      <c r="O399">
        <f t="shared" si="96"/>
        <v>0</v>
      </c>
      <c r="P399">
        <f t="shared" si="97"/>
        <v>0</v>
      </c>
      <c r="Q399">
        <f t="shared" si="98"/>
        <v>0</v>
      </c>
      <c r="R399">
        <f t="shared" si="99"/>
        <v>0</v>
      </c>
      <c r="S399">
        <f t="shared" si="100"/>
        <v>1</v>
      </c>
      <c r="T399">
        <f t="shared" si="101"/>
        <v>0</v>
      </c>
      <c r="U399">
        <f t="shared" si="102"/>
        <v>0</v>
      </c>
      <c r="V399">
        <f t="shared" si="103"/>
        <v>0</v>
      </c>
      <c r="W399">
        <f t="shared" si="104"/>
        <v>0</v>
      </c>
      <c r="X399">
        <f t="shared" si="105"/>
        <v>0</v>
      </c>
      <c r="Y399">
        <f t="shared" si="106"/>
        <v>0</v>
      </c>
      <c r="Z399">
        <f t="shared" si="107"/>
        <v>0</v>
      </c>
      <c r="AA399">
        <f t="shared" si="108"/>
        <v>0</v>
      </c>
      <c r="AB399">
        <f t="shared" si="109"/>
        <v>0</v>
      </c>
      <c r="AC399">
        <f t="shared" si="110"/>
        <v>0</v>
      </c>
      <c r="AD399">
        <f t="shared" si="111"/>
        <v>0</v>
      </c>
      <c r="AE399">
        <v>83.1</v>
      </c>
      <c r="AF399">
        <v>1.97</v>
      </c>
      <c r="AG399">
        <v>6.58</v>
      </c>
      <c r="AH399" t="s">
        <v>129</v>
      </c>
      <c r="AI399" t="s">
        <v>97</v>
      </c>
      <c r="AJ399" t="s">
        <v>97</v>
      </c>
      <c r="AK399" t="s">
        <v>97</v>
      </c>
      <c r="AL399" t="s">
        <v>97</v>
      </c>
      <c r="AM399">
        <v>7</v>
      </c>
      <c r="AN399" t="s">
        <v>130</v>
      </c>
      <c r="AO399" t="s">
        <v>213</v>
      </c>
      <c r="AP399" t="s">
        <v>122</v>
      </c>
      <c r="AQ399" t="s">
        <v>103</v>
      </c>
      <c r="AR399" t="s">
        <v>104</v>
      </c>
      <c r="AS399" t="s">
        <v>214</v>
      </c>
      <c r="AT399" t="s">
        <v>110</v>
      </c>
      <c r="AU399" t="s">
        <v>97</v>
      </c>
      <c r="AV399" t="s">
        <v>97</v>
      </c>
      <c r="AW399">
        <v>-1.36</v>
      </c>
      <c r="AX399">
        <v>-0.45</v>
      </c>
      <c r="AY399">
        <v>-0.43</v>
      </c>
      <c r="AZ399">
        <v>1.91</v>
      </c>
      <c r="BA399" t="s">
        <v>97</v>
      </c>
      <c r="BB399" t="s">
        <v>97</v>
      </c>
      <c r="BC399" t="s">
        <v>97</v>
      </c>
      <c r="BD399">
        <v>0</v>
      </c>
      <c r="BE399" t="s">
        <v>97</v>
      </c>
      <c r="BF399" t="s">
        <v>97</v>
      </c>
      <c r="BG399" t="s">
        <v>97</v>
      </c>
      <c r="BH399" t="s">
        <v>97</v>
      </c>
      <c r="BI399">
        <v>669257</v>
      </c>
      <c r="BJ399">
        <v>669257</v>
      </c>
      <c r="BK399" t="s">
        <v>97</v>
      </c>
      <c r="BL399" t="s">
        <v>97</v>
      </c>
      <c r="BM399">
        <v>-2.8443607759999998</v>
      </c>
      <c r="BN399">
        <v>-120.9926141</v>
      </c>
      <c r="BO399">
        <v>-3.3403638889999998</v>
      </c>
      <c r="BP399">
        <v>-12.721373529999999</v>
      </c>
      <c r="BQ399">
        <v>25.20126557</v>
      </c>
      <c r="BR399">
        <v>-36.113107659999997</v>
      </c>
      <c r="BS399">
        <v>3.71</v>
      </c>
      <c r="BT399">
        <v>1.75</v>
      </c>
      <c r="BU399">
        <v>182</v>
      </c>
      <c r="BV399">
        <v>109.1</v>
      </c>
      <c r="BW399">
        <v>10</v>
      </c>
      <c r="BX399">
        <v>83.5</v>
      </c>
      <c r="BY399">
        <v>2545</v>
      </c>
      <c r="BZ399">
        <v>6.7</v>
      </c>
      <c r="CA399">
        <v>813022</v>
      </c>
      <c r="CB399">
        <v>669257</v>
      </c>
      <c r="CC399">
        <v>669257</v>
      </c>
      <c r="CD399">
        <v>518692</v>
      </c>
      <c r="CE399">
        <v>669242</v>
      </c>
      <c r="CF399">
        <v>571970</v>
      </c>
      <c r="CG399">
        <v>605141</v>
      </c>
      <c r="CH399">
        <v>669743</v>
      </c>
      <c r="CI399">
        <v>571771</v>
      </c>
      <c r="CJ399">
        <v>606192</v>
      </c>
      <c r="CK399">
        <v>53.85</v>
      </c>
      <c r="CL399" t="s">
        <v>97</v>
      </c>
      <c r="CM399" t="s">
        <v>97</v>
      </c>
      <c r="CN399" t="s">
        <v>97</v>
      </c>
      <c r="CO399" t="s">
        <v>97</v>
      </c>
      <c r="CP399" t="s">
        <v>97</v>
      </c>
      <c r="CQ399" t="s">
        <v>97</v>
      </c>
      <c r="CR399" t="s">
        <v>97</v>
      </c>
      <c r="CS399">
        <v>0</v>
      </c>
      <c r="CT399">
        <v>2</v>
      </c>
      <c r="CU399">
        <v>2</v>
      </c>
      <c r="CV399">
        <v>0</v>
      </c>
      <c r="CW399">
        <v>2</v>
      </c>
      <c r="CX399">
        <v>0</v>
      </c>
      <c r="CY399">
        <v>2</v>
      </c>
      <c r="CZ399">
        <v>0</v>
      </c>
      <c r="DA399" t="s">
        <v>107</v>
      </c>
      <c r="DB399" t="s">
        <v>107</v>
      </c>
      <c r="DC399">
        <v>322</v>
      </c>
      <c r="DD399">
        <v>0</v>
      </c>
      <c r="DE399">
        <v>-5.5E-2</v>
      </c>
      <c r="DF399">
        <v>76</v>
      </c>
      <c r="DG399">
        <v>8.3000000000000007</v>
      </c>
    </row>
    <row r="400" spans="1:111" x14ac:dyDescent="0.2">
      <c r="A400">
        <v>2025</v>
      </c>
      <c r="B400" s="1">
        <v>45959</v>
      </c>
      <c r="C400" t="s">
        <v>95</v>
      </c>
      <c r="D400">
        <v>605483</v>
      </c>
      <c r="E400">
        <v>666182</v>
      </c>
      <c r="F400">
        <v>0</v>
      </c>
      <c r="G400">
        <v>2</v>
      </c>
      <c r="H400">
        <v>1</v>
      </c>
      <c r="I400" t="s">
        <v>96</v>
      </c>
      <c r="J400">
        <v>3</v>
      </c>
      <c r="K400">
        <v>3</v>
      </c>
      <c r="L400" t="s">
        <v>97</v>
      </c>
      <c r="M400" t="s">
        <v>111</v>
      </c>
      <c r="N400" t="s">
        <v>112</v>
      </c>
      <c r="O400">
        <f t="shared" si="96"/>
        <v>0</v>
      </c>
      <c r="P400">
        <f t="shared" si="97"/>
        <v>0</v>
      </c>
      <c r="Q400">
        <f t="shared" si="98"/>
        <v>0</v>
      </c>
      <c r="R400">
        <f t="shared" si="99"/>
        <v>0</v>
      </c>
      <c r="S400">
        <f t="shared" si="100"/>
        <v>1</v>
      </c>
      <c r="T400">
        <f t="shared" si="101"/>
        <v>0</v>
      </c>
      <c r="U400">
        <f t="shared" si="102"/>
        <v>0</v>
      </c>
      <c r="V400">
        <f t="shared" si="103"/>
        <v>0</v>
      </c>
      <c r="W400">
        <f t="shared" si="104"/>
        <v>0</v>
      </c>
      <c r="X400">
        <f t="shared" si="105"/>
        <v>0</v>
      </c>
      <c r="Y400">
        <f t="shared" si="106"/>
        <v>0</v>
      </c>
      <c r="Z400">
        <f t="shared" si="107"/>
        <v>0</v>
      </c>
      <c r="AA400">
        <f t="shared" si="108"/>
        <v>0</v>
      </c>
      <c r="AB400">
        <f t="shared" si="109"/>
        <v>0</v>
      </c>
      <c r="AC400">
        <f t="shared" si="110"/>
        <v>0</v>
      </c>
      <c r="AD400">
        <f t="shared" si="111"/>
        <v>0</v>
      </c>
      <c r="AE400">
        <v>82.2</v>
      </c>
      <c r="AF400">
        <v>1.96</v>
      </c>
      <c r="AG400">
        <v>6.55</v>
      </c>
      <c r="AH400" t="s">
        <v>129</v>
      </c>
      <c r="AI400" t="s">
        <v>97</v>
      </c>
      <c r="AJ400" t="s">
        <v>97</v>
      </c>
      <c r="AK400" t="s">
        <v>97</v>
      </c>
      <c r="AL400" t="s">
        <v>97</v>
      </c>
      <c r="AM400">
        <v>13</v>
      </c>
      <c r="AN400" t="s">
        <v>130</v>
      </c>
      <c r="AO400" t="s">
        <v>213</v>
      </c>
      <c r="AP400" t="s">
        <v>122</v>
      </c>
      <c r="AQ400" t="s">
        <v>103</v>
      </c>
      <c r="AR400" t="s">
        <v>104</v>
      </c>
      <c r="AS400" t="s">
        <v>214</v>
      </c>
      <c r="AT400" t="s">
        <v>110</v>
      </c>
      <c r="AU400" t="s">
        <v>97</v>
      </c>
      <c r="AV400" t="s">
        <v>97</v>
      </c>
      <c r="AW400">
        <v>-1.24</v>
      </c>
      <c r="AX400">
        <v>-0.69</v>
      </c>
      <c r="AY400">
        <v>-0.19</v>
      </c>
      <c r="AZ400">
        <v>0.85</v>
      </c>
      <c r="BA400" t="s">
        <v>97</v>
      </c>
      <c r="BB400" t="s">
        <v>97</v>
      </c>
      <c r="BC400" t="s">
        <v>97</v>
      </c>
      <c r="BD400">
        <v>0</v>
      </c>
      <c r="BE400" t="s">
        <v>97</v>
      </c>
      <c r="BF400" t="s">
        <v>97</v>
      </c>
      <c r="BG400" t="s">
        <v>97</v>
      </c>
      <c r="BH400" t="s">
        <v>97</v>
      </c>
      <c r="BI400">
        <v>669257</v>
      </c>
      <c r="BJ400">
        <v>669257</v>
      </c>
      <c r="BK400" t="s">
        <v>97</v>
      </c>
      <c r="BL400" t="s">
        <v>97</v>
      </c>
      <c r="BM400">
        <v>-2.4695047959999998</v>
      </c>
      <c r="BN400">
        <v>-119.5989799</v>
      </c>
      <c r="BO400">
        <v>-4.9739896290000001</v>
      </c>
      <c r="BP400">
        <v>-11.259980730000001</v>
      </c>
      <c r="BQ400">
        <v>26.332381810000001</v>
      </c>
      <c r="BR400">
        <v>-37.85995071</v>
      </c>
      <c r="BS400">
        <v>3.71</v>
      </c>
      <c r="BT400">
        <v>1.75</v>
      </c>
      <c r="BU400">
        <v>9</v>
      </c>
      <c r="BV400">
        <v>90.8</v>
      </c>
      <c r="BW400">
        <v>-6</v>
      </c>
      <c r="BX400">
        <v>82.4</v>
      </c>
      <c r="BY400">
        <v>2578</v>
      </c>
      <c r="BZ400">
        <v>6.7</v>
      </c>
      <c r="CA400">
        <v>813022</v>
      </c>
      <c r="CB400">
        <v>669257</v>
      </c>
      <c r="CC400">
        <v>669257</v>
      </c>
      <c r="CD400">
        <v>518692</v>
      </c>
      <c r="CE400">
        <v>669242</v>
      </c>
      <c r="CF400">
        <v>571970</v>
      </c>
      <c r="CG400">
        <v>605141</v>
      </c>
      <c r="CH400">
        <v>669743</v>
      </c>
      <c r="CI400">
        <v>571771</v>
      </c>
      <c r="CJ400">
        <v>606192</v>
      </c>
      <c r="CK400">
        <v>53.77</v>
      </c>
      <c r="CL400" t="s">
        <v>97</v>
      </c>
      <c r="CM400" t="s">
        <v>97</v>
      </c>
      <c r="CN400" t="s">
        <v>97</v>
      </c>
      <c r="CO400" t="s">
        <v>97</v>
      </c>
      <c r="CP400" t="s">
        <v>97</v>
      </c>
      <c r="CQ400" t="s">
        <v>97</v>
      </c>
      <c r="CR400" t="s">
        <v>97</v>
      </c>
      <c r="CS400">
        <v>0</v>
      </c>
      <c r="CT400">
        <v>2</v>
      </c>
      <c r="CU400">
        <v>2</v>
      </c>
      <c r="CV400">
        <v>0</v>
      </c>
      <c r="CW400">
        <v>2</v>
      </c>
      <c r="CX400">
        <v>0</v>
      </c>
      <c r="CY400">
        <v>2</v>
      </c>
      <c r="CZ400">
        <v>0</v>
      </c>
      <c r="DA400" t="s">
        <v>107</v>
      </c>
      <c r="DB400" t="s">
        <v>107</v>
      </c>
      <c r="DC400">
        <v>328</v>
      </c>
      <c r="DD400">
        <v>0</v>
      </c>
      <c r="DE400">
        <v>0</v>
      </c>
      <c r="DF400">
        <v>72</v>
      </c>
      <c r="DG400">
        <v>8.5</v>
      </c>
    </row>
    <row r="401" spans="1:111" x14ac:dyDescent="0.2">
      <c r="A401">
        <v>2025</v>
      </c>
      <c r="B401" s="1">
        <v>45959</v>
      </c>
      <c r="C401" t="s">
        <v>95</v>
      </c>
      <c r="D401">
        <v>605483</v>
      </c>
      <c r="E401">
        <v>666182</v>
      </c>
      <c r="F401">
        <v>0</v>
      </c>
      <c r="G401">
        <v>2</v>
      </c>
      <c r="H401">
        <v>1</v>
      </c>
      <c r="I401" t="s">
        <v>96</v>
      </c>
      <c r="J401">
        <v>3</v>
      </c>
      <c r="K401">
        <v>4</v>
      </c>
      <c r="L401" t="s">
        <v>97</v>
      </c>
      <c r="M401" t="s">
        <v>111</v>
      </c>
      <c r="N401" t="s">
        <v>112</v>
      </c>
      <c r="O401">
        <f t="shared" si="96"/>
        <v>0</v>
      </c>
      <c r="P401">
        <f t="shared" si="97"/>
        <v>0</v>
      </c>
      <c r="Q401">
        <f t="shared" si="98"/>
        <v>0</v>
      </c>
      <c r="R401">
        <f t="shared" si="99"/>
        <v>0</v>
      </c>
      <c r="S401">
        <f t="shared" si="100"/>
        <v>0</v>
      </c>
      <c r="T401">
        <f t="shared" si="101"/>
        <v>0</v>
      </c>
      <c r="U401">
        <f t="shared" si="102"/>
        <v>1</v>
      </c>
      <c r="V401">
        <f t="shared" si="103"/>
        <v>0</v>
      </c>
      <c r="W401">
        <f t="shared" si="104"/>
        <v>0</v>
      </c>
      <c r="X401">
        <f t="shared" si="105"/>
        <v>0</v>
      </c>
      <c r="Y401">
        <f t="shared" si="106"/>
        <v>0</v>
      </c>
      <c r="Z401">
        <f t="shared" si="107"/>
        <v>0</v>
      </c>
      <c r="AA401">
        <f t="shared" si="108"/>
        <v>0</v>
      </c>
      <c r="AB401">
        <f t="shared" si="109"/>
        <v>0</v>
      </c>
      <c r="AC401">
        <f t="shared" si="110"/>
        <v>0</v>
      </c>
      <c r="AD401">
        <f t="shared" si="111"/>
        <v>0</v>
      </c>
      <c r="AE401">
        <v>81.7</v>
      </c>
      <c r="AF401">
        <v>1.98</v>
      </c>
      <c r="AG401">
        <v>6.56</v>
      </c>
      <c r="AH401" t="s">
        <v>100</v>
      </c>
      <c r="AI401" t="s">
        <v>97</v>
      </c>
      <c r="AJ401" t="s">
        <v>97</v>
      </c>
      <c r="AK401" t="s">
        <v>97</v>
      </c>
      <c r="AL401" t="s">
        <v>97</v>
      </c>
      <c r="AM401">
        <v>13</v>
      </c>
      <c r="AN401" t="s">
        <v>101</v>
      </c>
      <c r="AO401" t="s">
        <v>213</v>
      </c>
      <c r="AP401" t="s">
        <v>122</v>
      </c>
      <c r="AQ401" t="s">
        <v>103</v>
      </c>
      <c r="AR401" t="s">
        <v>104</v>
      </c>
      <c r="AS401" t="s">
        <v>214</v>
      </c>
      <c r="AT401" t="s">
        <v>106</v>
      </c>
      <c r="AU401" t="s">
        <v>97</v>
      </c>
      <c r="AV401" t="s">
        <v>97</v>
      </c>
      <c r="AW401">
        <v>-1.43</v>
      </c>
      <c r="AX401">
        <v>-0.74</v>
      </c>
      <c r="AY401">
        <v>-0.64</v>
      </c>
      <c r="AZ401">
        <v>-0.16</v>
      </c>
      <c r="BA401" t="s">
        <v>97</v>
      </c>
      <c r="BB401" t="s">
        <v>97</v>
      </c>
      <c r="BC401" t="s">
        <v>97</v>
      </c>
      <c r="BD401">
        <v>0</v>
      </c>
      <c r="BE401" t="s">
        <v>97</v>
      </c>
      <c r="BF401" t="s">
        <v>97</v>
      </c>
      <c r="BG401" t="s">
        <v>97</v>
      </c>
      <c r="BH401" t="s">
        <v>97</v>
      </c>
      <c r="BI401">
        <v>669257</v>
      </c>
      <c r="BJ401">
        <v>669257</v>
      </c>
      <c r="BK401" t="s">
        <v>97</v>
      </c>
      <c r="BL401" t="s">
        <v>97</v>
      </c>
      <c r="BM401">
        <v>-3.1640930909999998</v>
      </c>
      <c r="BN401">
        <v>-118.68652109999999</v>
      </c>
      <c r="BO401">
        <v>-7.0490792180000001</v>
      </c>
      <c r="BP401">
        <v>-12.637889619999999</v>
      </c>
      <c r="BQ401">
        <v>26.20456261</v>
      </c>
      <c r="BR401">
        <v>-37.797821390000003</v>
      </c>
      <c r="BS401">
        <v>3.43</v>
      </c>
      <c r="BT401">
        <v>1.64</v>
      </c>
      <c r="BU401" t="s">
        <v>97</v>
      </c>
      <c r="BV401" t="s">
        <v>97</v>
      </c>
      <c r="BW401" t="s">
        <v>97</v>
      </c>
      <c r="BX401">
        <v>81.8</v>
      </c>
      <c r="BY401">
        <v>2562</v>
      </c>
      <c r="BZ401">
        <v>6.8</v>
      </c>
      <c r="CA401">
        <v>813022</v>
      </c>
      <c r="CB401">
        <v>669257</v>
      </c>
      <c r="CC401">
        <v>669257</v>
      </c>
      <c r="CD401">
        <v>518692</v>
      </c>
      <c r="CE401">
        <v>669242</v>
      </c>
      <c r="CF401">
        <v>571970</v>
      </c>
      <c r="CG401">
        <v>605141</v>
      </c>
      <c r="CH401">
        <v>669743</v>
      </c>
      <c r="CI401">
        <v>571771</v>
      </c>
      <c r="CJ401">
        <v>606192</v>
      </c>
      <c r="CK401">
        <v>53.73</v>
      </c>
      <c r="CL401" t="s">
        <v>97</v>
      </c>
      <c r="CM401" t="s">
        <v>97</v>
      </c>
      <c r="CN401" t="s">
        <v>97</v>
      </c>
      <c r="CO401" t="s">
        <v>97</v>
      </c>
      <c r="CP401" t="s">
        <v>97</v>
      </c>
      <c r="CQ401" t="s">
        <v>97</v>
      </c>
      <c r="CR401" t="s">
        <v>97</v>
      </c>
      <c r="CS401">
        <v>0</v>
      </c>
      <c r="CT401">
        <v>2</v>
      </c>
      <c r="CU401">
        <v>2</v>
      </c>
      <c r="CV401">
        <v>0</v>
      </c>
      <c r="CW401">
        <v>2</v>
      </c>
      <c r="CX401">
        <v>0</v>
      </c>
      <c r="CY401">
        <v>2</v>
      </c>
      <c r="CZ401">
        <v>0</v>
      </c>
      <c r="DA401" t="s">
        <v>107</v>
      </c>
      <c r="DB401" t="s">
        <v>107</v>
      </c>
      <c r="DC401">
        <v>329</v>
      </c>
      <c r="DD401">
        <v>0</v>
      </c>
      <c r="DE401">
        <v>2.4E-2</v>
      </c>
      <c r="DF401" t="s">
        <v>97</v>
      </c>
      <c r="DG401" t="s">
        <v>97</v>
      </c>
    </row>
    <row r="402" spans="1:111" x14ac:dyDescent="0.2">
      <c r="A402">
        <v>2025</v>
      </c>
      <c r="B402" s="1">
        <v>45959</v>
      </c>
      <c r="C402" t="s">
        <v>95</v>
      </c>
      <c r="D402">
        <v>605483</v>
      </c>
      <c r="E402">
        <v>666182</v>
      </c>
      <c r="F402">
        <v>1</v>
      </c>
      <c r="G402">
        <v>2</v>
      </c>
      <c r="H402">
        <v>1</v>
      </c>
      <c r="I402" t="s">
        <v>96</v>
      </c>
      <c r="J402">
        <v>3</v>
      </c>
      <c r="K402">
        <v>5</v>
      </c>
      <c r="L402" t="s">
        <v>97</v>
      </c>
      <c r="M402" t="s">
        <v>132</v>
      </c>
      <c r="N402" t="s">
        <v>133</v>
      </c>
      <c r="O402">
        <f t="shared" si="96"/>
        <v>0</v>
      </c>
      <c r="P402">
        <f t="shared" si="97"/>
        <v>0</v>
      </c>
      <c r="Q402">
        <f t="shared" si="98"/>
        <v>0</v>
      </c>
      <c r="R402">
        <f t="shared" si="99"/>
        <v>0</v>
      </c>
      <c r="S402">
        <f t="shared" si="100"/>
        <v>0</v>
      </c>
      <c r="T402">
        <f t="shared" si="101"/>
        <v>0</v>
      </c>
      <c r="U402">
        <f t="shared" si="102"/>
        <v>0</v>
      </c>
      <c r="V402">
        <f t="shared" si="103"/>
        <v>0</v>
      </c>
      <c r="W402">
        <f t="shared" si="104"/>
        <v>1</v>
      </c>
      <c r="X402">
        <f t="shared" si="105"/>
        <v>0</v>
      </c>
      <c r="Y402">
        <f t="shared" si="106"/>
        <v>0</v>
      </c>
      <c r="Z402">
        <f t="shared" si="107"/>
        <v>0</v>
      </c>
      <c r="AA402">
        <f t="shared" si="108"/>
        <v>0</v>
      </c>
      <c r="AB402">
        <f t="shared" si="109"/>
        <v>0</v>
      </c>
      <c r="AC402">
        <f t="shared" si="110"/>
        <v>0</v>
      </c>
      <c r="AD402">
        <f t="shared" si="111"/>
        <v>0</v>
      </c>
      <c r="AE402">
        <v>84.4</v>
      </c>
      <c r="AF402">
        <v>2.2799999999999998</v>
      </c>
      <c r="AG402">
        <v>6.39</v>
      </c>
      <c r="AH402" t="s">
        <v>100</v>
      </c>
      <c r="AI402" t="s">
        <v>97</v>
      </c>
      <c r="AJ402" t="s">
        <v>97</v>
      </c>
      <c r="AK402" t="s">
        <v>97</v>
      </c>
      <c r="AL402" t="s">
        <v>97</v>
      </c>
      <c r="AM402">
        <v>12</v>
      </c>
      <c r="AN402" t="s">
        <v>101</v>
      </c>
      <c r="AO402" t="s">
        <v>213</v>
      </c>
      <c r="AP402" t="s">
        <v>122</v>
      </c>
      <c r="AQ402" t="s">
        <v>103</v>
      </c>
      <c r="AR402" t="s">
        <v>104</v>
      </c>
      <c r="AS402" t="s">
        <v>214</v>
      </c>
      <c r="AT402" t="s">
        <v>106</v>
      </c>
      <c r="AU402" t="s">
        <v>97</v>
      </c>
      <c r="AV402" t="s">
        <v>97</v>
      </c>
      <c r="AW402">
        <v>1.07</v>
      </c>
      <c r="AX402">
        <v>0.84</v>
      </c>
      <c r="AY402">
        <v>1.57</v>
      </c>
      <c r="AZ402">
        <v>2.98</v>
      </c>
      <c r="BA402" t="s">
        <v>97</v>
      </c>
      <c r="BB402" t="s">
        <v>97</v>
      </c>
      <c r="BC402" t="s">
        <v>97</v>
      </c>
      <c r="BD402">
        <v>0</v>
      </c>
      <c r="BE402" t="s">
        <v>97</v>
      </c>
      <c r="BF402" t="s">
        <v>97</v>
      </c>
      <c r="BG402" t="s">
        <v>97</v>
      </c>
      <c r="BH402" t="s">
        <v>97</v>
      </c>
      <c r="BI402">
        <v>669257</v>
      </c>
      <c r="BJ402">
        <v>669257</v>
      </c>
      <c r="BK402" t="s">
        <v>97</v>
      </c>
      <c r="BL402" t="s">
        <v>97</v>
      </c>
      <c r="BM402">
        <v>-3.829472875</v>
      </c>
      <c r="BN402">
        <v>-122.8266529</v>
      </c>
      <c r="BO402">
        <v>-3.2293190589999998</v>
      </c>
      <c r="BP402">
        <v>11.637055200000001</v>
      </c>
      <c r="BQ402">
        <v>25.852843839999998</v>
      </c>
      <c r="BR402">
        <v>-23.233949500000001</v>
      </c>
      <c r="BS402">
        <v>3.43</v>
      </c>
      <c r="BT402">
        <v>1.64</v>
      </c>
      <c r="BU402" t="s">
        <v>97</v>
      </c>
      <c r="BV402" t="s">
        <v>97</v>
      </c>
      <c r="BW402" t="s">
        <v>97</v>
      </c>
      <c r="BX402">
        <v>85</v>
      </c>
      <c r="BY402">
        <v>1891</v>
      </c>
      <c r="BZ402">
        <v>6.8</v>
      </c>
      <c r="CA402">
        <v>813022</v>
      </c>
      <c r="CB402">
        <v>669257</v>
      </c>
      <c r="CC402">
        <v>669257</v>
      </c>
      <c r="CD402">
        <v>518692</v>
      </c>
      <c r="CE402">
        <v>669242</v>
      </c>
      <c r="CF402">
        <v>571970</v>
      </c>
      <c r="CG402">
        <v>605141</v>
      </c>
      <c r="CH402">
        <v>669743</v>
      </c>
      <c r="CI402">
        <v>571771</v>
      </c>
      <c r="CJ402">
        <v>606192</v>
      </c>
      <c r="CK402">
        <v>53.69</v>
      </c>
      <c r="CL402" t="s">
        <v>97</v>
      </c>
      <c r="CM402" t="s">
        <v>97</v>
      </c>
      <c r="CN402" t="s">
        <v>97</v>
      </c>
      <c r="CO402" t="s">
        <v>97</v>
      </c>
      <c r="CP402" t="s">
        <v>97</v>
      </c>
      <c r="CQ402" t="s">
        <v>97</v>
      </c>
      <c r="CR402" t="s">
        <v>97</v>
      </c>
      <c r="CS402">
        <v>0</v>
      </c>
      <c r="CT402">
        <v>2</v>
      </c>
      <c r="CU402">
        <v>2</v>
      </c>
      <c r="CV402">
        <v>0</v>
      </c>
      <c r="CW402">
        <v>2</v>
      </c>
      <c r="CX402">
        <v>0</v>
      </c>
      <c r="CY402">
        <v>2</v>
      </c>
      <c r="CZ402">
        <v>0</v>
      </c>
      <c r="DA402" t="s">
        <v>107</v>
      </c>
      <c r="DB402" t="s">
        <v>107</v>
      </c>
      <c r="DC402">
        <v>134</v>
      </c>
      <c r="DD402">
        <v>0</v>
      </c>
      <c r="DE402">
        <v>4.2999999999999997E-2</v>
      </c>
      <c r="DF402" t="s">
        <v>97</v>
      </c>
      <c r="DG402" t="s">
        <v>97</v>
      </c>
    </row>
    <row r="403" spans="1:111" x14ac:dyDescent="0.2">
      <c r="A403">
        <v>2025</v>
      </c>
      <c r="B403" s="1">
        <v>45959</v>
      </c>
      <c r="C403" t="s">
        <v>95</v>
      </c>
      <c r="D403">
        <v>605483</v>
      </c>
      <c r="E403">
        <v>666182</v>
      </c>
      <c r="F403">
        <v>2</v>
      </c>
      <c r="G403">
        <v>2</v>
      </c>
      <c r="H403">
        <v>1</v>
      </c>
      <c r="I403" t="s">
        <v>96</v>
      </c>
      <c r="J403">
        <v>3</v>
      </c>
      <c r="K403">
        <v>6</v>
      </c>
      <c r="L403" t="s">
        <v>116</v>
      </c>
      <c r="M403" t="s">
        <v>132</v>
      </c>
      <c r="N403" t="s">
        <v>133</v>
      </c>
      <c r="O403">
        <f t="shared" si="96"/>
        <v>0</v>
      </c>
      <c r="P403">
        <f t="shared" si="97"/>
        <v>0</v>
      </c>
      <c r="Q403">
        <f t="shared" si="98"/>
        <v>0</v>
      </c>
      <c r="R403">
        <f t="shared" si="99"/>
        <v>0</v>
      </c>
      <c r="S403">
        <f t="shared" si="100"/>
        <v>0</v>
      </c>
      <c r="T403">
        <f t="shared" si="101"/>
        <v>0</v>
      </c>
      <c r="U403">
        <f t="shared" si="102"/>
        <v>0</v>
      </c>
      <c r="V403">
        <f t="shared" si="103"/>
        <v>0</v>
      </c>
      <c r="W403">
        <f t="shared" si="104"/>
        <v>1</v>
      </c>
      <c r="X403">
        <f t="shared" si="105"/>
        <v>0</v>
      </c>
      <c r="Y403">
        <f t="shared" si="106"/>
        <v>0</v>
      </c>
      <c r="Z403">
        <f t="shared" si="107"/>
        <v>0</v>
      </c>
      <c r="AA403">
        <f t="shared" si="108"/>
        <v>0</v>
      </c>
      <c r="AB403">
        <f t="shared" si="109"/>
        <v>0</v>
      </c>
      <c r="AC403">
        <f t="shared" si="110"/>
        <v>0</v>
      </c>
      <c r="AD403">
        <f t="shared" si="111"/>
        <v>0</v>
      </c>
      <c r="AE403">
        <v>84.8</v>
      </c>
      <c r="AF403">
        <v>2.16</v>
      </c>
      <c r="AG403">
        <v>6.27</v>
      </c>
      <c r="AH403" t="s">
        <v>113</v>
      </c>
      <c r="AI403" t="s">
        <v>97</v>
      </c>
      <c r="AJ403" t="s">
        <v>97</v>
      </c>
      <c r="AK403" t="s">
        <v>97</v>
      </c>
      <c r="AL403" t="s">
        <v>97</v>
      </c>
      <c r="AM403">
        <v>14</v>
      </c>
      <c r="AN403" t="s">
        <v>245</v>
      </c>
      <c r="AO403" t="s">
        <v>213</v>
      </c>
      <c r="AP403" t="s">
        <v>122</v>
      </c>
      <c r="AQ403" t="s">
        <v>103</v>
      </c>
      <c r="AR403" t="s">
        <v>104</v>
      </c>
      <c r="AS403" t="s">
        <v>214</v>
      </c>
      <c r="AT403" t="s">
        <v>110</v>
      </c>
      <c r="AU403">
        <v>2</v>
      </c>
      <c r="AV403" t="s">
        <v>97</v>
      </c>
      <c r="AW403">
        <v>1.31</v>
      </c>
      <c r="AX403">
        <v>0.59</v>
      </c>
      <c r="AY403">
        <v>0.6</v>
      </c>
      <c r="AZ403">
        <v>1.1200000000000001</v>
      </c>
      <c r="BA403" t="s">
        <v>97</v>
      </c>
      <c r="BB403" t="s">
        <v>97</v>
      </c>
      <c r="BC403" t="s">
        <v>97</v>
      </c>
      <c r="BD403">
        <v>0</v>
      </c>
      <c r="BE403" t="s">
        <v>97</v>
      </c>
      <c r="BF403" t="s">
        <v>97</v>
      </c>
      <c r="BG403" t="s">
        <v>97</v>
      </c>
      <c r="BH403" t="s">
        <v>97</v>
      </c>
      <c r="BI403">
        <v>669257</v>
      </c>
      <c r="BJ403">
        <v>669257</v>
      </c>
      <c r="BK403" t="s">
        <v>97</v>
      </c>
      <c r="BL403" t="s">
        <v>97</v>
      </c>
      <c r="BM403">
        <v>-6.3299116</v>
      </c>
      <c r="BN403">
        <v>-123.1290578</v>
      </c>
      <c r="BO403">
        <v>-6.9203880990000002</v>
      </c>
      <c r="BP403">
        <v>14.603814590000001</v>
      </c>
      <c r="BQ403">
        <v>24.954041520000001</v>
      </c>
      <c r="BR403">
        <v>-24.923753420000001</v>
      </c>
      <c r="BS403">
        <v>3.71</v>
      </c>
      <c r="BT403">
        <v>1.75</v>
      </c>
      <c r="BU403" t="s">
        <v>97</v>
      </c>
      <c r="BV403" t="s">
        <v>97</v>
      </c>
      <c r="BW403" t="s">
        <v>97</v>
      </c>
      <c r="BX403">
        <v>85.5</v>
      </c>
      <c r="BY403">
        <v>1879</v>
      </c>
      <c r="BZ403">
        <v>6.9</v>
      </c>
      <c r="CA403">
        <v>813022</v>
      </c>
      <c r="CB403">
        <v>669257</v>
      </c>
      <c r="CC403">
        <v>669257</v>
      </c>
      <c r="CD403">
        <v>518692</v>
      </c>
      <c r="CE403">
        <v>669242</v>
      </c>
      <c r="CF403">
        <v>571970</v>
      </c>
      <c r="CG403">
        <v>605141</v>
      </c>
      <c r="CH403">
        <v>669743</v>
      </c>
      <c r="CI403">
        <v>571771</v>
      </c>
      <c r="CJ403">
        <v>606192</v>
      </c>
      <c r="CK403">
        <v>53.59</v>
      </c>
      <c r="CL403" t="s">
        <v>97</v>
      </c>
      <c r="CM403">
        <v>0</v>
      </c>
      <c r="CN403">
        <v>0</v>
      </c>
      <c r="CO403">
        <v>1</v>
      </c>
      <c r="CP403">
        <v>0</v>
      </c>
      <c r="CQ403">
        <v>0</v>
      </c>
      <c r="CR403" t="s">
        <v>97</v>
      </c>
      <c r="CS403">
        <v>0</v>
      </c>
      <c r="CT403">
        <v>2</v>
      </c>
      <c r="CU403">
        <v>2</v>
      </c>
      <c r="CV403">
        <v>0</v>
      </c>
      <c r="CW403">
        <v>2</v>
      </c>
      <c r="CX403">
        <v>0</v>
      </c>
      <c r="CY403">
        <v>2</v>
      </c>
      <c r="CZ403">
        <v>0</v>
      </c>
      <c r="DA403" t="s">
        <v>107</v>
      </c>
      <c r="DB403" t="s">
        <v>107</v>
      </c>
      <c r="DC403">
        <v>131</v>
      </c>
      <c r="DD403">
        <v>1.7000000000000001E-2</v>
      </c>
      <c r="DE403">
        <v>-0.23200000000000001</v>
      </c>
      <c r="DF403">
        <v>71.400000000000006</v>
      </c>
      <c r="DG403">
        <v>8.4</v>
      </c>
    </row>
    <row r="404" spans="1:111" x14ac:dyDescent="0.2">
      <c r="A404">
        <v>2025</v>
      </c>
      <c r="B404" s="1">
        <v>45959</v>
      </c>
      <c r="C404" t="s">
        <v>95</v>
      </c>
      <c r="D404">
        <v>605483</v>
      </c>
      <c r="E404">
        <v>672386</v>
      </c>
      <c r="F404">
        <v>0</v>
      </c>
      <c r="G404">
        <v>0</v>
      </c>
      <c r="H404">
        <v>1</v>
      </c>
      <c r="I404" t="s">
        <v>96</v>
      </c>
      <c r="J404">
        <v>4</v>
      </c>
      <c r="K404">
        <v>1</v>
      </c>
      <c r="L404" t="s">
        <v>97</v>
      </c>
      <c r="M404" t="s">
        <v>132</v>
      </c>
      <c r="N404" t="s">
        <v>133</v>
      </c>
      <c r="O404">
        <f t="shared" si="96"/>
        <v>0</v>
      </c>
      <c r="P404">
        <f t="shared" si="97"/>
        <v>0</v>
      </c>
      <c r="Q404">
        <f t="shared" si="98"/>
        <v>0</v>
      </c>
      <c r="R404">
        <f t="shared" si="99"/>
        <v>0</v>
      </c>
      <c r="S404">
        <f t="shared" si="100"/>
        <v>0</v>
      </c>
      <c r="T404">
        <f t="shared" si="101"/>
        <v>0</v>
      </c>
      <c r="U404">
        <f t="shared" si="102"/>
        <v>0</v>
      </c>
      <c r="V404">
        <f t="shared" si="103"/>
        <v>0</v>
      </c>
      <c r="W404">
        <f t="shared" si="104"/>
        <v>0</v>
      </c>
      <c r="X404">
        <f t="shared" si="105"/>
        <v>0</v>
      </c>
      <c r="Y404">
        <f t="shared" si="106"/>
        <v>0</v>
      </c>
      <c r="Z404">
        <f t="shared" si="107"/>
        <v>1</v>
      </c>
      <c r="AA404">
        <f t="shared" si="108"/>
        <v>0</v>
      </c>
      <c r="AB404">
        <f t="shared" si="109"/>
        <v>0</v>
      </c>
      <c r="AC404">
        <f t="shared" si="110"/>
        <v>0</v>
      </c>
      <c r="AD404">
        <f t="shared" si="111"/>
        <v>0</v>
      </c>
      <c r="AE404">
        <v>87.7</v>
      </c>
      <c r="AF404">
        <v>2.19</v>
      </c>
      <c r="AG404">
        <v>6.41</v>
      </c>
      <c r="AH404" t="s">
        <v>100</v>
      </c>
      <c r="AI404" t="s">
        <v>97</v>
      </c>
      <c r="AJ404" t="s">
        <v>97</v>
      </c>
      <c r="AK404" t="s">
        <v>97</v>
      </c>
      <c r="AL404" t="s">
        <v>97</v>
      </c>
      <c r="AM404">
        <v>12</v>
      </c>
      <c r="AN404" t="s">
        <v>101</v>
      </c>
      <c r="AO404" t="s">
        <v>213</v>
      </c>
      <c r="AP404" t="s">
        <v>122</v>
      </c>
      <c r="AQ404" t="s">
        <v>103</v>
      </c>
      <c r="AR404" t="s">
        <v>104</v>
      </c>
      <c r="AS404" t="s">
        <v>214</v>
      </c>
      <c r="AT404" t="s">
        <v>106</v>
      </c>
      <c r="AU404" t="s">
        <v>97</v>
      </c>
      <c r="AV404" t="s">
        <v>97</v>
      </c>
      <c r="AW404">
        <v>1.1000000000000001</v>
      </c>
      <c r="AX404">
        <v>0.77</v>
      </c>
      <c r="AY404">
        <v>0.66</v>
      </c>
      <c r="AZ404">
        <v>3.38</v>
      </c>
      <c r="BA404" t="s">
        <v>97</v>
      </c>
      <c r="BB404" t="s">
        <v>97</v>
      </c>
      <c r="BC404" t="s">
        <v>97</v>
      </c>
      <c r="BD404">
        <v>1</v>
      </c>
      <c r="BE404" t="s">
        <v>97</v>
      </c>
      <c r="BF404" t="s">
        <v>97</v>
      </c>
      <c r="BG404" t="s">
        <v>97</v>
      </c>
      <c r="BH404" t="s">
        <v>97</v>
      </c>
      <c r="BI404">
        <v>669257</v>
      </c>
      <c r="BJ404">
        <v>669257</v>
      </c>
      <c r="BK404" t="s">
        <v>97</v>
      </c>
      <c r="BL404" t="s">
        <v>97</v>
      </c>
      <c r="BM404">
        <v>-6.031447537</v>
      </c>
      <c r="BN404">
        <v>-127.69429510000001</v>
      </c>
      <c r="BO404">
        <v>-2.8378621329999998</v>
      </c>
      <c r="BP404">
        <v>13.220516030000001</v>
      </c>
      <c r="BQ404">
        <v>25.411832530000002</v>
      </c>
      <c r="BR404">
        <v>-23.312507020000002</v>
      </c>
      <c r="BS404">
        <v>3.19</v>
      </c>
      <c r="BT404">
        <v>1.5</v>
      </c>
      <c r="BU404" t="s">
        <v>97</v>
      </c>
      <c r="BV404" t="s">
        <v>97</v>
      </c>
      <c r="BW404" t="s">
        <v>97</v>
      </c>
      <c r="BX404">
        <v>88.8</v>
      </c>
      <c r="BY404">
        <v>1811</v>
      </c>
      <c r="BZ404">
        <v>6.9</v>
      </c>
      <c r="CA404">
        <v>813022</v>
      </c>
      <c r="CB404">
        <v>669257</v>
      </c>
      <c r="CC404">
        <v>669257</v>
      </c>
      <c r="CD404">
        <v>518692</v>
      </c>
      <c r="CE404">
        <v>669242</v>
      </c>
      <c r="CF404">
        <v>571970</v>
      </c>
      <c r="CG404">
        <v>605141</v>
      </c>
      <c r="CH404">
        <v>669743</v>
      </c>
      <c r="CI404">
        <v>571771</v>
      </c>
      <c r="CJ404">
        <v>606192</v>
      </c>
      <c r="CK404">
        <v>53.63</v>
      </c>
      <c r="CL404" t="s">
        <v>97</v>
      </c>
      <c r="CM404" t="s">
        <v>97</v>
      </c>
      <c r="CN404" t="s">
        <v>97</v>
      </c>
      <c r="CO404" t="s">
        <v>97</v>
      </c>
      <c r="CP404" t="s">
        <v>97</v>
      </c>
      <c r="CQ404" t="s">
        <v>97</v>
      </c>
      <c r="CR404" t="s">
        <v>97</v>
      </c>
      <c r="CS404">
        <v>0</v>
      </c>
      <c r="CT404">
        <v>2</v>
      </c>
      <c r="CU404">
        <v>2</v>
      </c>
      <c r="CV404">
        <v>0</v>
      </c>
      <c r="CW404">
        <v>2</v>
      </c>
      <c r="CX404">
        <v>0</v>
      </c>
      <c r="CY404">
        <v>2</v>
      </c>
      <c r="CZ404">
        <v>0</v>
      </c>
      <c r="DA404" t="s">
        <v>107</v>
      </c>
      <c r="DB404" t="s">
        <v>107</v>
      </c>
      <c r="DC404">
        <v>133</v>
      </c>
      <c r="DD404">
        <v>0</v>
      </c>
      <c r="DE404">
        <v>3.9E-2</v>
      </c>
      <c r="DF404" t="s">
        <v>97</v>
      </c>
      <c r="DG404" t="s">
        <v>97</v>
      </c>
    </row>
    <row r="405" spans="1:111" x14ac:dyDescent="0.2">
      <c r="A405">
        <v>2025</v>
      </c>
      <c r="B405" s="1">
        <v>45959</v>
      </c>
      <c r="C405" t="s">
        <v>95</v>
      </c>
      <c r="D405">
        <v>605483</v>
      </c>
      <c r="E405">
        <v>672386</v>
      </c>
      <c r="F405">
        <v>1</v>
      </c>
      <c r="G405">
        <v>0</v>
      </c>
      <c r="H405">
        <v>1</v>
      </c>
      <c r="I405" t="s">
        <v>96</v>
      </c>
      <c r="J405">
        <v>4</v>
      </c>
      <c r="K405">
        <v>2</v>
      </c>
      <c r="L405" t="s">
        <v>97</v>
      </c>
      <c r="M405" t="s">
        <v>138</v>
      </c>
      <c r="N405" t="s">
        <v>139</v>
      </c>
      <c r="O405">
        <f t="shared" si="96"/>
        <v>0</v>
      </c>
      <c r="P405">
        <f t="shared" si="97"/>
        <v>0</v>
      </c>
      <c r="Q405">
        <f t="shared" si="98"/>
        <v>0</v>
      </c>
      <c r="R405">
        <f t="shared" si="99"/>
        <v>0</v>
      </c>
      <c r="S405">
        <f t="shared" si="100"/>
        <v>0</v>
      </c>
      <c r="T405">
        <f t="shared" si="101"/>
        <v>0</v>
      </c>
      <c r="U405">
        <f t="shared" si="102"/>
        <v>0</v>
      </c>
      <c r="V405">
        <f t="shared" si="103"/>
        <v>0</v>
      </c>
      <c r="W405">
        <f t="shared" si="104"/>
        <v>0</v>
      </c>
      <c r="X405">
        <f t="shared" si="105"/>
        <v>0</v>
      </c>
      <c r="Y405">
        <f t="shared" si="106"/>
        <v>0</v>
      </c>
      <c r="Z405">
        <f t="shared" si="107"/>
        <v>0</v>
      </c>
      <c r="AA405">
        <f t="shared" si="108"/>
        <v>1</v>
      </c>
      <c r="AB405">
        <f t="shared" si="109"/>
        <v>0</v>
      </c>
      <c r="AC405">
        <f t="shared" si="110"/>
        <v>0</v>
      </c>
      <c r="AD405">
        <f t="shared" si="111"/>
        <v>0</v>
      </c>
      <c r="AE405">
        <v>89.5</v>
      </c>
      <c r="AF405">
        <v>2.11</v>
      </c>
      <c r="AG405">
        <v>6.54</v>
      </c>
      <c r="AH405" t="s">
        <v>129</v>
      </c>
      <c r="AI405" t="s">
        <v>97</v>
      </c>
      <c r="AJ405" t="s">
        <v>97</v>
      </c>
      <c r="AK405" t="s">
        <v>97</v>
      </c>
      <c r="AL405" t="s">
        <v>97</v>
      </c>
      <c r="AM405">
        <v>7</v>
      </c>
      <c r="AN405" t="s">
        <v>130</v>
      </c>
      <c r="AO405" t="s">
        <v>213</v>
      </c>
      <c r="AP405" t="s">
        <v>122</v>
      </c>
      <c r="AQ405" t="s">
        <v>103</v>
      </c>
      <c r="AR405" t="s">
        <v>104</v>
      </c>
      <c r="AS405" t="s">
        <v>214</v>
      </c>
      <c r="AT405" t="s">
        <v>110</v>
      </c>
      <c r="AU405" t="s">
        <v>97</v>
      </c>
      <c r="AV405" t="s">
        <v>97</v>
      </c>
      <c r="AW405">
        <v>-0.37</v>
      </c>
      <c r="AX405">
        <v>0.71</v>
      </c>
      <c r="AY405">
        <v>-0.52</v>
      </c>
      <c r="AZ405">
        <v>1.68</v>
      </c>
      <c r="BA405" t="s">
        <v>97</v>
      </c>
      <c r="BB405" t="s">
        <v>97</v>
      </c>
      <c r="BC405" t="s">
        <v>97</v>
      </c>
      <c r="BD405">
        <v>1</v>
      </c>
      <c r="BE405" t="s">
        <v>97</v>
      </c>
      <c r="BF405" t="s">
        <v>97</v>
      </c>
      <c r="BG405" t="s">
        <v>97</v>
      </c>
      <c r="BH405" t="s">
        <v>97</v>
      </c>
      <c r="BI405">
        <v>669257</v>
      </c>
      <c r="BJ405">
        <v>669257</v>
      </c>
      <c r="BK405" t="s">
        <v>97</v>
      </c>
      <c r="BL405" t="s">
        <v>97</v>
      </c>
      <c r="BM405">
        <v>-5.7251745400000003</v>
      </c>
      <c r="BN405">
        <v>-130.1269446</v>
      </c>
      <c r="BO405">
        <v>-7.5321124250000002</v>
      </c>
      <c r="BP405">
        <v>-3.0964655620000001</v>
      </c>
      <c r="BQ405">
        <v>25.633822819999999</v>
      </c>
      <c r="BR405">
        <v>-22.8072181</v>
      </c>
      <c r="BS405">
        <v>3.13</v>
      </c>
      <c r="BT405">
        <v>1.5</v>
      </c>
      <c r="BU405" t="s">
        <v>97</v>
      </c>
      <c r="BV405" t="s">
        <v>97</v>
      </c>
      <c r="BW405" t="s">
        <v>97</v>
      </c>
      <c r="BX405">
        <v>90.1</v>
      </c>
      <c r="BY405">
        <v>2432</v>
      </c>
      <c r="BZ405">
        <v>6.6</v>
      </c>
      <c r="CA405">
        <v>813022</v>
      </c>
      <c r="CB405">
        <v>669257</v>
      </c>
      <c r="CC405">
        <v>669257</v>
      </c>
      <c r="CD405">
        <v>518692</v>
      </c>
      <c r="CE405">
        <v>669242</v>
      </c>
      <c r="CF405">
        <v>571970</v>
      </c>
      <c r="CG405">
        <v>605141</v>
      </c>
      <c r="CH405">
        <v>669743</v>
      </c>
      <c r="CI405">
        <v>571771</v>
      </c>
      <c r="CJ405">
        <v>606192</v>
      </c>
      <c r="CK405">
        <v>53.93</v>
      </c>
      <c r="CL405" t="s">
        <v>97</v>
      </c>
      <c r="CM405" t="s">
        <v>97</v>
      </c>
      <c r="CN405" t="s">
        <v>97</v>
      </c>
      <c r="CO405" t="s">
        <v>97</v>
      </c>
      <c r="CP405" t="s">
        <v>97</v>
      </c>
      <c r="CQ405" t="s">
        <v>97</v>
      </c>
      <c r="CR405" t="s">
        <v>97</v>
      </c>
      <c r="CS405">
        <v>0</v>
      </c>
      <c r="CT405">
        <v>2</v>
      </c>
      <c r="CU405">
        <v>2</v>
      </c>
      <c r="CV405">
        <v>0</v>
      </c>
      <c r="CW405">
        <v>2</v>
      </c>
      <c r="CX405">
        <v>0</v>
      </c>
      <c r="CY405">
        <v>2</v>
      </c>
      <c r="CZ405">
        <v>0</v>
      </c>
      <c r="DA405" t="s">
        <v>107</v>
      </c>
      <c r="DB405" t="s">
        <v>107</v>
      </c>
      <c r="DC405">
        <v>163</v>
      </c>
      <c r="DD405">
        <v>0</v>
      </c>
      <c r="DE405">
        <v>-0.05</v>
      </c>
      <c r="DF405">
        <v>76.599999999999994</v>
      </c>
      <c r="DG405">
        <v>8.1</v>
      </c>
    </row>
    <row r="406" spans="1:111" x14ac:dyDescent="0.2">
      <c r="A406">
        <v>2025</v>
      </c>
      <c r="B406" s="1">
        <v>45959</v>
      </c>
      <c r="C406" t="s">
        <v>95</v>
      </c>
      <c r="D406">
        <v>605483</v>
      </c>
      <c r="E406">
        <v>672386</v>
      </c>
      <c r="F406">
        <v>1</v>
      </c>
      <c r="G406">
        <v>1</v>
      </c>
      <c r="H406">
        <v>1</v>
      </c>
      <c r="I406" t="s">
        <v>96</v>
      </c>
      <c r="J406">
        <v>4</v>
      </c>
      <c r="K406">
        <v>3</v>
      </c>
      <c r="L406" t="s">
        <v>155</v>
      </c>
      <c r="M406" t="s">
        <v>138</v>
      </c>
      <c r="N406" t="s">
        <v>139</v>
      </c>
      <c r="O406">
        <f t="shared" si="96"/>
        <v>0</v>
      </c>
      <c r="P406">
        <f t="shared" si="97"/>
        <v>0</v>
      </c>
      <c r="Q406">
        <f t="shared" si="98"/>
        <v>0</v>
      </c>
      <c r="R406">
        <f t="shared" si="99"/>
        <v>0</v>
      </c>
      <c r="S406">
        <f t="shared" si="100"/>
        <v>0</v>
      </c>
      <c r="T406">
        <f t="shared" si="101"/>
        <v>0</v>
      </c>
      <c r="U406">
        <f t="shared" si="102"/>
        <v>0</v>
      </c>
      <c r="V406">
        <f t="shared" si="103"/>
        <v>0</v>
      </c>
      <c r="W406">
        <f t="shared" si="104"/>
        <v>0</v>
      </c>
      <c r="X406">
        <f t="shared" si="105"/>
        <v>0</v>
      </c>
      <c r="Y406">
        <f t="shared" si="106"/>
        <v>0</v>
      </c>
      <c r="Z406">
        <f t="shared" si="107"/>
        <v>0</v>
      </c>
      <c r="AA406">
        <f t="shared" si="108"/>
        <v>1</v>
      </c>
      <c r="AB406">
        <f t="shared" si="109"/>
        <v>0</v>
      </c>
      <c r="AC406">
        <f t="shared" si="110"/>
        <v>0</v>
      </c>
      <c r="AD406">
        <f t="shared" si="111"/>
        <v>0</v>
      </c>
      <c r="AE406">
        <v>90.2</v>
      </c>
      <c r="AF406">
        <v>2.02</v>
      </c>
      <c r="AG406">
        <v>6.52</v>
      </c>
      <c r="AH406" t="s">
        <v>120</v>
      </c>
      <c r="AI406" t="s">
        <v>97</v>
      </c>
      <c r="AJ406" t="s">
        <v>97</v>
      </c>
      <c r="AK406" t="s">
        <v>97</v>
      </c>
      <c r="AL406" t="s">
        <v>97</v>
      </c>
      <c r="AM406">
        <v>4</v>
      </c>
      <c r="AN406" t="s">
        <v>246</v>
      </c>
      <c r="AO406" t="s">
        <v>213</v>
      </c>
      <c r="AP406" t="s">
        <v>122</v>
      </c>
      <c r="AQ406" t="s">
        <v>103</v>
      </c>
      <c r="AR406" t="s">
        <v>104</v>
      </c>
      <c r="AS406" t="s">
        <v>214</v>
      </c>
      <c r="AT406" t="s">
        <v>123</v>
      </c>
      <c r="AU406">
        <v>8</v>
      </c>
      <c r="AV406" t="s">
        <v>158</v>
      </c>
      <c r="AW406">
        <v>-0.21</v>
      </c>
      <c r="AX406">
        <v>0.59</v>
      </c>
      <c r="AY406">
        <v>-0.54</v>
      </c>
      <c r="AZ406">
        <v>2.02</v>
      </c>
      <c r="BA406" t="s">
        <v>97</v>
      </c>
      <c r="BB406" t="s">
        <v>97</v>
      </c>
      <c r="BC406" t="s">
        <v>97</v>
      </c>
      <c r="BD406">
        <v>1</v>
      </c>
      <c r="BE406">
        <v>105.68</v>
      </c>
      <c r="BF406">
        <v>82.73</v>
      </c>
      <c r="BG406" t="s">
        <v>97</v>
      </c>
      <c r="BH406" t="s">
        <v>97</v>
      </c>
      <c r="BI406">
        <v>669257</v>
      </c>
      <c r="BJ406">
        <v>669257</v>
      </c>
      <c r="BK406" t="s">
        <v>97</v>
      </c>
      <c r="BL406" t="s">
        <v>97</v>
      </c>
      <c r="BM406">
        <v>-5.9426809990000002</v>
      </c>
      <c r="BN406">
        <v>-131.20233500000001</v>
      </c>
      <c r="BO406">
        <v>-6.5574127689999999</v>
      </c>
      <c r="BP406">
        <v>-1.33298334</v>
      </c>
      <c r="BQ406">
        <v>24.896432470000001</v>
      </c>
      <c r="BR406">
        <v>-24.267472659999999</v>
      </c>
      <c r="BS406">
        <v>3.13</v>
      </c>
      <c r="BT406">
        <v>1.5</v>
      </c>
      <c r="BU406">
        <v>195</v>
      </c>
      <c r="BV406">
        <v>85.5</v>
      </c>
      <c r="BW406">
        <v>14</v>
      </c>
      <c r="BX406">
        <v>91</v>
      </c>
      <c r="BY406">
        <v>2416</v>
      </c>
      <c r="BZ406">
        <v>6.6</v>
      </c>
      <c r="CA406">
        <v>813022</v>
      </c>
      <c r="CB406">
        <v>669257</v>
      </c>
      <c r="CC406">
        <v>669257</v>
      </c>
      <c r="CD406">
        <v>518692</v>
      </c>
      <c r="CE406">
        <v>669242</v>
      </c>
      <c r="CF406">
        <v>571970</v>
      </c>
      <c r="CG406">
        <v>605141</v>
      </c>
      <c r="CH406">
        <v>669743</v>
      </c>
      <c r="CI406">
        <v>571771</v>
      </c>
      <c r="CJ406">
        <v>606192</v>
      </c>
      <c r="CK406">
        <v>53.95</v>
      </c>
      <c r="CL406">
        <v>0.91100000000000003</v>
      </c>
      <c r="CM406">
        <v>0.86099999999999999</v>
      </c>
      <c r="CN406">
        <v>0.9</v>
      </c>
      <c r="CO406">
        <v>1</v>
      </c>
      <c r="CP406">
        <v>1</v>
      </c>
      <c r="CQ406">
        <v>0</v>
      </c>
      <c r="CR406">
        <v>4</v>
      </c>
      <c r="CS406">
        <v>0</v>
      </c>
      <c r="CT406">
        <v>2</v>
      </c>
      <c r="CU406">
        <v>2</v>
      </c>
      <c r="CV406">
        <v>0</v>
      </c>
      <c r="CW406">
        <v>2</v>
      </c>
      <c r="CX406">
        <v>0</v>
      </c>
      <c r="CY406">
        <v>2</v>
      </c>
      <c r="CZ406">
        <v>0</v>
      </c>
      <c r="DA406" t="s">
        <v>107</v>
      </c>
      <c r="DB406" t="s">
        <v>107</v>
      </c>
      <c r="DC406">
        <v>164</v>
      </c>
      <c r="DD406">
        <v>-1.9E-2</v>
      </c>
      <c r="DE406">
        <v>0.42499999999999999</v>
      </c>
      <c r="DF406">
        <v>74.400000000000006</v>
      </c>
      <c r="DG406">
        <v>7.1</v>
      </c>
    </row>
    <row r="407" spans="1:111" x14ac:dyDescent="0.2">
      <c r="A407">
        <v>2025</v>
      </c>
      <c r="B407" s="1">
        <v>45959</v>
      </c>
      <c r="C407" t="s">
        <v>95</v>
      </c>
      <c r="D407">
        <v>605483</v>
      </c>
      <c r="E407">
        <v>662139</v>
      </c>
      <c r="F407">
        <v>0</v>
      </c>
      <c r="G407">
        <v>0</v>
      </c>
      <c r="H407">
        <v>1</v>
      </c>
      <c r="I407" t="s">
        <v>96</v>
      </c>
      <c r="J407">
        <v>5</v>
      </c>
      <c r="K407">
        <v>1</v>
      </c>
      <c r="L407" t="s">
        <v>159</v>
      </c>
      <c r="M407" t="s">
        <v>138</v>
      </c>
      <c r="N407" t="s">
        <v>139</v>
      </c>
      <c r="O407">
        <f t="shared" si="96"/>
        <v>0</v>
      </c>
      <c r="P407">
        <f t="shared" si="97"/>
        <v>0</v>
      </c>
      <c r="Q407">
        <f t="shared" si="98"/>
        <v>0</v>
      </c>
      <c r="R407">
        <f t="shared" si="99"/>
        <v>0</v>
      </c>
      <c r="S407">
        <f t="shared" si="100"/>
        <v>0</v>
      </c>
      <c r="T407">
        <f t="shared" si="101"/>
        <v>0</v>
      </c>
      <c r="U407">
        <f t="shared" si="102"/>
        <v>0</v>
      </c>
      <c r="V407">
        <f t="shared" si="103"/>
        <v>0</v>
      </c>
      <c r="W407">
        <f t="shared" si="104"/>
        <v>0</v>
      </c>
      <c r="X407">
        <f t="shared" si="105"/>
        <v>0</v>
      </c>
      <c r="Y407">
        <f t="shared" si="106"/>
        <v>0</v>
      </c>
      <c r="Z407">
        <f t="shared" si="107"/>
        <v>0</v>
      </c>
      <c r="AA407">
        <f t="shared" si="108"/>
        <v>0</v>
      </c>
      <c r="AB407">
        <f t="shared" si="109"/>
        <v>0</v>
      </c>
      <c r="AC407">
        <f t="shared" si="110"/>
        <v>0</v>
      </c>
      <c r="AD407">
        <f t="shared" si="111"/>
        <v>1</v>
      </c>
      <c r="AE407">
        <v>90.7</v>
      </c>
      <c r="AF407">
        <v>1.98</v>
      </c>
      <c r="AG407">
        <v>6.56</v>
      </c>
      <c r="AH407" t="s">
        <v>120</v>
      </c>
      <c r="AI407" t="s">
        <v>97</v>
      </c>
      <c r="AJ407" t="s">
        <v>97</v>
      </c>
      <c r="AK407" t="s">
        <v>97</v>
      </c>
      <c r="AL407" t="s">
        <v>97</v>
      </c>
      <c r="AM407">
        <v>7</v>
      </c>
      <c r="AN407" t="s">
        <v>247</v>
      </c>
      <c r="AO407" t="s">
        <v>213</v>
      </c>
      <c r="AP407" t="s">
        <v>103</v>
      </c>
      <c r="AQ407" t="s">
        <v>103</v>
      </c>
      <c r="AR407" t="s">
        <v>104</v>
      </c>
      <c r="AS407" t="s">
        <v>214</v>
      </c>
      <c r="AT407" t="s">
        <v>123</v>
      </c>
      <c r="AU407">
        <v>4</v>
      </c>
      <c r="AV407" t="s">
        <v>127</v>
      </c>
      <c r="AW407">
        <v>-0.22</v>
      </c>
      <c r="AX407">
        <v>0.62</v>
      </c>
      <c r="AY407">
        <v>-0.46</v>
      </c>
      <c r="AZ407">
        <v>2.0499999999999998</v>
      </c>
      <c r="BA407" t="s">
        <v>97</v>
      </c>
      <c r="BB407" t="s">
        <v>97</v>
      </c>
      <c r="BC407">
        <v>672386</v>
      </c>
      <c r="BD407">
        <v>1</v>
      </c>
      <c r="BE407">
        <v>155.56</v>
      </c>
      <c r="BF407">
        <v>155.13</v>
      </c>
      <c r="BG407" t="s">
        <v>97</v>
      </c>
      <c r="BH407" t="s">
        <v>97</v>
      </c>
      <c r="BI407">
        <v>669257</v>
      </c>
      <c r="BJ407">
        <v>669257</v>
      </c>
      <c r="BK407" t="s">
        <v>97</v>
      </c>
      <c r="BL407" t="s">
        <v>97</v>
      </c>
      <c r="BM407">
        <v>-5.6771052360000001</v>
      </c>
      <c r="BN407">
        <v>-131.84282540000001</v>
      </c>
      <c r="BO407">
        <v>-6.6918868189999996</v>
      </c>
      <c r="BP407">
        <v>-1.3150251289999999</v>
      </c>
      <c r="BQ407">
        <v>29.271269319999998</v>
      </c>
      <c r="BR407">
        <v>-23.624288889999999</v>
      </c>
      <c r="BS407">
        <v>3.4</v>
      </c>
      <c r="BT407">
        <v>1.58</v>
      </c>
      <c r="BU407">
        <v>11</v>
      </c>
      <c r="BV407">
        <v>103.9</v>
      </c>
      <c r="BW407">
        <v>-10</v>
      </c>
      <c r="BX407">
        <v>91.2</v>
      </c>
      <c r="BY407">
        <v>2317</v>
      </c>
      <c r="BZ407">
        <v>6.8</v>
      </c>
      <c r="CA407">
        <v>813022</v>
      </c>
      <c r="CB407">
        <v>669257</v>
      </c>
      <c r="CC407">
        <v>669257</v>
      </c>
      <c r="CD407">
        <v>518692</v>
      </c>
      <c r="CE407">
        <v>669242</v>
      </c>
      <c r="CF407">
        <v>571970</v>
      </c>
      <c r="CG407">
        <v>605141</v>
      </c>
      <c r="CH407">
        <v>669743</v>
      </c>
      <c r="CI407">
        <v>571771</v>
      </c>
      <c r="CJ407">
        <v>606192</v>
      </c>
      <c r="CK407">
        <v>53.73</v>
      </c>
      <c r="CL407">
        <v>0.314</v>
      </c>
      <c r="CM407">
        <v>0.30599999999999999</v>
      </c>
      <c r="CN407">
        <v>0</v>
      </c>
      <c r="CO407">
        <v>1</v>
      </c>
      <c r="CP407">
        <v>0</v>
      </c>
      <c r="CQ407">
        <v>0</v>
      </c>
      <c r="CR407">
        <v>2</v>
      </c>
      <c r="CS407">
        <v>0</v>
      </c>
      <c r="CT407">
        <v>2</v>
      </c>
      <c r="CU407">
        <v>2</v>
      </c>
      <c r="CV407">
        <v>0</v>
      </c>
      <c r="CW407">
        <v>2</v>
      </c>
      <c r="CX407">
        <v>0</v>
      </c>
      <c r="CY407">
        <v>2</v>
      </c>
      <c r="CZ407">
        <v>0</v>
      </c>
      <c r="DA407" t="s">
        <v>107</v>
      </c>
      <c r="DB407" t="s">
        <v>107</v>
      </c>
      <c r="DC407">
        <v>165</v>
      </c>
      <c r="DD407">
        <v>2.1000000000000001E-2</v>
      </c>
      <c r="DE407">
        <v>-0.318</v>
      </c>
      <c r="DF407" t="s">
        <v>97</v>
      </c>
      <c r="DG407" t="s">
        <v>97</v>
      </c>
    </row>
    <row r="408" spans="1:111" x14ac:dyDescent="0.2">
      <c r="A408">
        <v>2025</v>
      </c>
      <c r="B408" s="1">
        <v>45959</v>
      </c>
      <c r="C408" t="s">
        <v>95</v>
      </c>
      <c r="D408">
        <v>605483</v>
      </c>
      <c r="E408">
        <v>676391</v>
      </c>
      <c r="F408">
        <v>0</v>
      </c>
      <c r="G408">
        <v>0</v>
      </c>
      <c r="H408">
        <v>1</v>
      </c>
      <c r="I408" t="s">
        <v>96</v>
      </c>
      <c r="J408">
        <v>6</v>
      </c>
      <c r="K408">
        <v>1</v>
      </c>
      <c r="L408" t="s">
        <v>97</v>
      </c>
      <c r="M408" t="s">
        <v>132</v>
      </c>
      <c r="N408" t="s">
        <v>133</v>
      </c>
      <c r="O408">
        <f t="shared" si="96"/>
        <v>0</v>
      </c>
      <c r="P408">
        <f t="shared" si="97"/>
        <v>0</v>
      </c>
      <c r="Q408">
        <f t="shared" si="98"/>
        <v>0</v>
      </c>
      <c r="R408">
        <f t="shared" si="99"/>
        <v>0</v>
      </c>
      <c r="S408">
        <f t="shared" si="100"/>
        <v>0</v>
      </c>
      <c r="T408">
        <f t="shared" si="101"/>
        <v>0</v>
      </c>
      <c r="U408">
        <f t="shared" si="102"/>
        <v>0</v>
      </c>
      <c r="V408">
        <f t="shared" si="103"/>
        <v>0</v>
      </c>
      <c r="W408">
        <f t="shared" si="104"/>
        <v>0</v>
      </c>
      <c r="X408">
        <f t="shared" si="105"/>
        <v>0</v>
      </c>
      <c r="Y408">
        <f t="shared" si="106"/>
        <v>0</v>
      </c>
      <c r="Z408">
        <f t="shared" si="107"/>
        <v>1</v>
      </c>
      <c r="AA408">
        <f t="shared" si="108"/>
        <v>0</v>
      </c>
      <c r="AB408">
        <f t="shared" si="109"/>
        <v>0</v>
      </c>
      <c r="AC408">
        <f t="shared" si="110"/>
        <v>0</v>
      </c>
      <c r="AD408">
        <f t="shared" si="111"/>
        <v>0</v>
      </c>
      <c r="AE408">
        <v>87.5</v>
      </c>
      <c r="AF408">
        <v>2.11</v>
      </c>
      <c r="AG408">
        <v>6.4</v>
      </c>
      <c r="AH408" t="s">
        <v>100</v>
      </c>
      <c r="AI408" t="s">
        <v>97</v>
      </c>
      <c r="AJ408" t="s">
        <v>97</v>
      </c>
      <c r="AK408" t="s">
        <v>97</v>
      </c>
      <c r="AL408" t="s">
        <v>97</v>
      </c>
      <c r="AM408">
        <v>12</v>
      </c>
      <c r="AN408" t="s">
        <v>101</v>
      </c>
      <c r="AO408" t="s">
        <v>213</v>
      </c>
      <c r="AP408" t="s">
        <v>122</v>
      </c>
      <c r="AQ408" t="s">
        <v>103</v>
      </c>
      <c r="AR408" t="s">
        <v>104</v>
      </c>
      <c r="AS408" t="s">
        <v>214</v>
      </c>
      <c r="AT408" t="s">
        <v>106</v>
      </c>
      <c r="AU408" t="s">
        <v>97</v>
      </c>
      <c r="AV408" t="s">
        <v>97</v>
      </c>
      <c r="AW408">
        <v>1.1000000000000001</v>
      </c>
      <c r="AX408">
        <v>0.78</v>
      </c>
      <c r="AY408">
        <v>0.95</v>
      </c>
      <c r="AZ408">
        <v>2.59</v>
      </c>
      <c r="BA408" t="s">
        <v>97</v>
      </c>
      <c r="BB408" t="s">
        <v>97</v>
      </c>
      <c r="BC408">
        <v>662139</v>
      </c>
      <c r="BD408">
        <v>2</v>
      </c>
      <c r="BE408" t="s">
        <v>97</v>
      </c>
      <c r="BF408" t="s">
        <v>97</v>
      </c>
      <c r="BG408" t="s">
        <v>97</v>
      </c>
      <c r="BH408" t="s">
        <v>97</v>
      </c>
      <c r="BI408">
        <v>669257</v>
      </c>
      <c r="BJ408">
        <v>669257</v>
      </c>
      <c r="BK408" t="s">
        <v>97</v>
      </c>
      <c r="BL408" t="s">
        <v>97</v>
      </c>
      <c r="BM408">
        <v>-5.1359785240000004</v>
      </c>
      <c r="BN408">
        <v>-127.4203097</v>
      </c>
      <c r="BO408">
        <v>-4.7414281169999999</v>
      </c>
      <c r="BP408">
        <v>13.06207914</v>
      </c>
      <c r="BQ408">
        <v>24.780485880000001</v>
      </c>
      <c r="BR408">
        <v>-22.89123902</v>
      </c>
      <c r="BS408">
        <v>3.46</v>
      </c>
      <c r="BT408">
        <v>1.66</v>
      </c>
      <c r="BU408" t="s">
        <v>97</v>
      </c>
      <c r="BV408" t="s">
        <v>97</v>
      </c>
      <c r="BW408" t="s">
        <v>97</v>
      </c>
      <c r="BX408">
        <v>88.7</v>
      </c>
      <c r="BY408">
        <v>1648</v>
      </c>
      <c r="BZ408">
        <v>6.9</v>
      </c>
      <c r="CA408">
        <v>813022</v>
      </c>
      <c r="CB408">
        <v>669257</v>
      </c>
      <c r="CC408">
        <v>669257</v>
      </c>
      <c r="CD408">
        <v>518692</v>
      </c>
      <c r="CE408">
        <v>669242</v>
      </c>
      <c r="CF408">
        <v>571970</v>
      </c>
      <c r="CG408">
        <v>605141</v>
      </c>
      <c r="CH408">
        <v>669743</v>
      </c>
      <c r="CI408">
        <v>571771</v>
      </c>
      <c r="CJ408">
        <v>606192</v>
      </c>
      <c r="CK408">
        <v>53.62</v>
      </c>
      <c r="CL408" t="s">
        <v>97</v>
      </c>
      <c r="CM408" t="s">
        <v>97</v>
      </c>
      <c r="CN408" t="s">
        <v>97</v>
      </c>
      <c r="CO408" t="s">
        <v>97</v>
      </c>
      <c r="CP408" t="s">
        <v>97</v>
      </c>
      <c r="CQ408" t="s">
        <v>97</v>
      </c>
      <c r="CR408" t="s">
        <v>97</v>
      </c>
      <c r="CS408">
        <v>0</v>
      </c>
      <c r="CT408">
        <v>2</v>
      </c>
      <c r="CU408">
        <v>2</v>
      </c>
      <c r="CV408">
        <v>0</v>
      </c>
      <c r="CW408">
        <v>2</v>
      </c>
      <c r="CX408">
        <v>0</v>
      </c>
      <c r="CY408">
        <v>2</v>
      </c>
      <c r="CZ408">
        <v>0</v>
      </c>
      <c r="DA408" t="s">
        <v>107</v>
      </c>
      <c r="DB408" t="s">
        <v>107</v>
      </c>
      <c r="DC408">
        <v>131</v>
      </c>
      <c r="DD408">
        <v>0</v>
      </c>
      <c r="DE408">
        <v>3.5000000000000003E-2</v>
      </c>
      <c r="DF408" t="s">
        <v>97</v>
      </c>
      <c r="DG408" t="s">
        <v>97</v>
      </c>
    </row>
    <row r="409" spans="1:111" x14ac:dyDescent="0.2">
      <c r="A409">
        <v>2025</v>
      </c>
      <c r="B409" s="1">
        <v>45959</v>
      </c>
      <c r="C409" t="s">
        <v>95</v>
      </c>
      <c r="D409">
        <v>605483</v>
      </c>
      <c r="E409">
        <v>676391</v>
      </c>
      <c r="F409">
        <v>1</v>
      </c>
      <c r="G409">
        <v>0</v>
      </c>
      <c r="H409">
        <v>1</v>
      </c>
      <c r="I409" t="s">
        <v>96</v>
      </c>
      <c r="J409">
        <v>6</v>
      </c>
      <c r="K409">
        <v>2</v>
      </c>
      <c r="L409" t="s">
        <v>248</v>
      </c>
      <c r="M409" t="s">
        <v>138</v>
      </c>
      <c r="N409" t="s">
        <v>139</v>
      </c>
      <c r="O409">
        <f t="shared" si="96"/>
        <v>0</v>
      </c>
      <c r="P409">
        <f t="shared" si="97"/>
        <v>0</v>
      </c>
      <c r="Q409">
        <f t="shared" si="98"/>
        <v>0</v>
      </c>
      <c r="R409">
        <f t="shared" si="99"/>
        <v>0</v>
      </c>
      <c r="S409">
        <f t="shared" si="100"/>
        <v>0</v>
      </c>
      <c r="T409">
        <f t="shared" si="101"/>
        <v>0</v>
      </c>
      <c r="U409">
        <f t="shared" si="102"/>
        <v>0</v>
      </c>
      <c r="V409">
        <f t="shared" si="103"/>
        <v>0</v>
      </c>
      <c r="W409">
        <f t="shared" si="104"/>
        <v>0</v>
      </c>
      <c r="X409">
        <f t="shared" si="105"/>
        <v>0</v>
      </c>
      <c r="Y409">
        <f t="shared" si="106"/>
        <v>0</v>
      </c>
      <c r="Z409">
        <f t="shared" si="107"/>
        <v>0</v>
      </c>
      <c r="AA409">
        <f t="shared" si="108"/>
        <v>0</v>
      </c>
      <c r="AB409">
        <f t="shared" si="109"/>
        <v>0</v>
      </c>
      <c r="AC409">
        <f t="shared" si="110"/>
        <v>1</v>
      </c>
      <c r="AD409">
        <f t="shared" si="111"/>
        <v>0</v>
      </c>
      <c r="AE409">
        <v>89.7</v>
      </c>
      <c r="AF409">
        <v>1.9</v>
      </c>
      <c r="AG409">
        <v>6.53</v>
      </c>
      <c r="AH409" t="s">
        <v>100</v>
      </c>
      <c r="AI409" t="s">
        <v>97</v>
      </c>
      <c r="AJ409" t="s">
        <v>97</v>
      </c>
      <c r="AK409" t="s">
        <v>97</v>
      </c>
      <c r="AL409" t="s">
        <v>97</v>
      </c>
      <c r="AM409">
        <v>11</v>
      </c>
      <c r="AN409" t="s">
        <v>249</v>
      </c>
      <c r="AO409" t="s">
        <v>213</v>
      </c>
      <c r="AP409" t="s">
        <v>122</v>
      </c>
      <c r="AQ409" t="s">
        <v>103</v>
      </c>
      <c r="AR409" t="s">
        <v>104</v>
      </c>
      <c r="AS409" t="s">
        <v>214</v>
      </c>
      <c r="AT409" t="s">
        <v>106</v>
      </c>
      <c r="AU409">
        <v>2</v>
      </c>
      <c r="AV409" t="s">
        <v>97</v>
      </c>
      <c r="AW409">
        <v>-0.12</v>
      </c>
      <c r="AX409">
        <v>0.72</v>
      </c>
      <c r="AY409">
        <v>-0.49</v>
      </c>
      <c r="AZ409">
        <v>3.87</v>
      </c>
      <c r="BA409" t="s">
        <v>97</v>
      </c>
      <c r="BB409" t="s">
        <v>97</v>
      </c>
      <c r="BC409">
        <v>662139</v>
      </c>
      <c r="BD409">
        <v>2</v>
      </c>
      <c r="BE409" t="s">
        <v>97</v>
      </c>
      <c r="BF409" t="s">
        <v>97</v>
      </c>
      <c r="BG409" t="s">
        <v>97</v>
      </c>
      <c r="BH409" t="s">
        <v>97</v>
      </c>
      <c r="BI409">
        <v>669257</v>
      </c>
      <c r="BJ409">
        <v>669257</v>
      </c>
      <c r="BK409" t="s">
        <v>97</v>
      </c>
      <c r="BL409" t="s">
        <v>97</v>
      </c>
      <c r="BM409">
        <v>-5.6804219260000002</v>
      </c>
      <c r="BN409">
        <v>-130.5496109</v>
      </c>
      <c r="BO409">
        <v>-2.113784672</v>
      </c>
      <c r="BP409">
        <v>-0.20012084299999999</v>
      </c>
      <c r="BQ409">
        <v>27.341765899999999</v>
      </c>
      <c r="BR409">
        <v>-23.742041050000001</v>
      </c>
      <c r="BS409">
        <v>3.35</v>
      </c>
      <c r="BT409">
        <v>1.61</v>
      </c>
      <c r="BU409" t="s">
        <v>97</v>
      </c>
      <c r="BV409" t="s">
        <v>97</v>
      </c>
      <c r="BW409" t="s">
        <v>97</v>
      </c>
      <c r="BX409">
        <v>90.2</v>
      </c>
      <c r="BY409">
        <v>2317</v>
      </c>
      <c r="BZ409">
        <v>6.6</v>
      </c>
      <c r="CA409">
        <v>813022</v>
      </c>
      <c r="CB409">
        <v>669257</v>
      </c>
      <c r="CC409">
        <v>669257</v>
      </c>
      <c r="CD409">
        <v>518692</v>
      </c>
      <c r="CE409">
        <v>669242</v>
      </c>
      <c r="CF409">
        <v>571970</v>
      </c>
      <c r="CG409">
        <v>605141</v>
      </c>
      <c r="CH409">
        <v>669743</v>
      </c>
      <c r="CI409">
        <v>571771</v>
      </c>
      <c r="CJ409">
        <v>606192</v>
      </c>
      <c r="CK409">
        <v>53.94</v>
      </c>
      <c r="CL409" t="s">
        <v>97</v>
      </c>
      <c r="CM409" t="s">
        <v>97</v>
      </c>
      <c r="CN409">
        <v>0</v>
      </c>
      <c r="CO409">
        <v>0</v>
      </c>
      <c r="CP409">
        <v>0</v>
      </c>
      <c r="CQ409">
        <v>0</v>
      </c>
      <c r="CR409" t="s">
        <v>97</v>
      </c>
      <c r="CS409">
        <v>0</v>
      </c>
      <c r="CT409">
        <v>2</v>
      </c>
      <c r="CU409">
        <v>2</v>
      </c>
      <c r="CV409">
        <v>0</v>
      </c>
      <c r="CW409">
        <v>2</v>
      </c>
      <c r="CX409">
        <v>0</v>
      </c>
      <c r="CY409">
        <v>2</v>
      </c>
      <c r="CZ409">
        <v>0</v>
      </c>
      <c r="DA409" t="s">
        <v>107</v>
      </c>
      <c r="DB409" t="s">
        <v>107</v>
      </c>
      <c r="DC409">
        <v>166</v>
      </c>
      <c r="DD409">
        <v>1.7000000000000001E-2</v>
      </c>
      <c r="DE409">
        <v>-0.30499999999999999</v>
      </c>
      <c r="DF409" t="s">
        <v>97</v>
      </c>
      <c r="DG409" t="s">
        <v>97</v>
      </c>
    </row>
    <row r="410" spans="1:111" x14ac:dyDescent="0.2">
      <c r="A410">
        <v>2025</v>
      </c>
      <c r="B410" s="1">
        <v>45959</v>
      </c>
      <c r="C410" t="s">
        <v>95</v>
      </c>
      <c r="D410">
        <v>605483</v>
      </c>
      <c r="E410">
        <v>676391</v>
      </c>
      <c r="F410">
        <v>0</v>
      </c>
      <c r="G410">
        <v>0</v>
      </c>
      <c r="H410">
        <v>2</v>
      </c>
      <c r="I410" t="s">
        <v>96</v>
      </c>
      <c r="J410">
        <v>10</v>
      </c>
      <c r="K410">
        <v>1</v>
      </c>
      <c r="L410" t="s">
        <v>97</v>
      </c>
      <c r="M410" t="s">
        <v>111</v>
      </c>
      <c r="N410" t="s">
        <v>112</v>
      </c>
      <c r="O410">
        <f t="shared" si="96"/>
        <v>0</v>
      </c>
      <c r="P410">
        <f t="shared" si="97"/>
        <v>0</v>
      </c>
      <c r="Q410">
        <f t="shared" si="98"/>
        <v>0</v>
      </c>
      <c r="R410">
        <f t="shared" si="99"/>
        <v>0</v>
      </c>
      <c r="S410">
        <f t="shared" si="100"/>
        <v>0</v>
      </c>
      <c r="T410">
        <f t="shared" si="101"/>
        <v>0</v>
      </c>
      <c r="U410">
        <f t="shared" si="102"/>
        <v>1</v>
      </c>
      <c r="V410">
        <f t="shared" si="103"/>
        <v>0</v>
      </c>
      <c r="W410">
        <f t="shared" si="104"/>
        <v>0</v>
      </c>
      <c r="X410">
        <f t="shared" si="105"/>
        <v>0</v>
      </c>
      <c r="Y410">
        <f t="shared" si="106"/>
        <v>0</v>
      </c>
      <c r="Z410">
        <f t="shared" si="107"/>
        <v>0</v>
      </c>
      <c r="AA410">
        <f t="shared" si="108"/>
        <v>0</v>
      </c>
      <c r="AB410">
        <f t="shared" si="109"/>
        <v>0</v>
      </c>
      <c r="AC410">
        <f t="shared" si="110"/>
        <v>0</v>
      </c>
      <c r="AD410">
        <f t="shared" si="111"/>
        <v>0</v>
      </c>
      <c r="AE410">
        <v>79.7</v>
      </c>
      <c r="AF410">
        <v>1.94</v>
      </c>
      <c r="AG410">
        <v>6.61</v>
      </c>
      <c r="AH410" t="s">
        <v>129</v>
      </c>
      <c r="AI410" t="s">
        <v>97</v>
      </c>
      <c r="AJ410" t="s">
        <v>97</v>
      </c>
      <c r="AK410" t="s">
        <v>97</v>
      </c>
      <c r="AL410" t="s">
        <v>97</v>
      </c>
      <c r="AM410">
        <v>5</v>
      </c>
      <c r="AN410" t="s">
        <v>130</v>
      </c>
      <c r="AO410" t="s">
        <v>213</v>
      </c>
      <c r="AP410" t="s">
        <v>122</v>
      </c>
      <c r="AQ410" t="s">
        <v>103</v>
      </c>
      <c r="AR410" t="s">
        <v>104</v>
      </c>
      <c r="AS410" t="s">
        <v>214</v>
      </c>
      <c r="AT410" t="s">
        <v>110</v>
      </c>
      <c r="AU410" t="s">
        <v>97</v>
      </c>
      <c r="AV410" t="s">
        <v>97</v>
      </c>
      <c r="AW410">
        <v>-1.27</v>
      </c>
      <c r="AX410">
        <v>-0.44</v>
      </c>
      <c r="AY410">
        <v>0.06</v>
      </c>
      <c r="AZ410">
        <v>2.19</v>
      </c>
      <c r="BA410" t="s">
        <v>97</v>
      </c>
      <c r="BB410" t="s">
        <v>97</v>
      </c>
      <c r="BC410" t="s">
        <v>97</v>
      </c>
      <c r="BD410">
        <v>0</v>
      </c>
      <c r="BE410" t="s">
        <v>97</v>
      </c>
      <c r="BF410" t="s">
        <v>97</v>
      </c>
      <c r="BG410" t="s">
        <v>97</v>
      </c>
      <c r="BH410" t="s">
        <v>97</v>
      </c>
      <c r="BI410">
        <v>669257</v>
      </c>
      <c r="BJ410">
        <v>669257</v>
      </c>
      <c r="BK410" t="s">
        <v>97</v>
      </c>
      <c r="BL410" t="s">
        <v>97</v>
      </c>
      <c r="BM410">
        <v>-1.753401985</v>
      </c>
      <c r="BN410">
        <v>-116.03086589999999</v>
      </c>
      <c r="BO410">
        <v>-2.130358282</v>
      </c>
      <c r="BP410">
        <v>-11.08744046</v>
      </c>
      <c r="BQ410">
        <v>22.19316521</v>
      </c>
      <c r="BR410">
        <v>-35.993202349999997</v>
      </c>
      <c r="BS410">
        <v>3.35</v>
      </c>
      <c r="BT410">
        <v>1.55</v>
      </c>
      <c r="BU410">
        <v>147</v>
      </c>
      <c r="BV410">
        <v>56.4</v>
      </c>
      <c r="BW410">
        <v>44</v>
      </c>
      <c r="BX410">
        <v>80.099999999999994</v>
      </c>
      <c r="BY410">
        <v>2540</v>
      </c>
      <c r="BZ410">
        <v>6.6</v>
      </c>
      <c r="CA410">
        <v>813022</v>
      </c>
      <c r="CB410">
        <v>669257</v>
      </c>
      <c r="CC410">
        <v>669257</v>
      </c>
      <c r="CD410">
        <v>518692</v>
      </c>
      <c r="CE410">
        <v>669242</v>
      </c>
      <c r="CF410">
        <v>571970</v>
      </c>
      <c r="CG410">
        <v>605141</v>
      </c>
      <c r="CH410">
        <v>669743</v>
      </c>
      <c r="CI410">
        <v>571771</v>
      </c>
      <c r="CJ410">
        <v>606192</v>
      </c>
      <c r="CK410">
        <v>53.92</v>
      </c>
      <c r="CL410" t="s">
        <v>97</v>
      </c>
      <c r="CM410" t="s">
        <v>97</v>
      </c>
      <c r="CN410" t="s">
        <v>97</v>
      </c>
      <c r="CO410" t="s">
        <v>97</v>
      </c>
      <c r="CP410" t="s">
        <v>97</v>
      </c>
      <c r="CQ410" t="s">
        <v>97</v>
      </c>
      <c r="CR410" t="s">
        <v>97</v>
      </c>
      <c r="CS410">
        <v>0</v>
      </c>
      <c r="CT410">
        <v>2</v>
      </c>
      <c r="CU410">
        <v>2</v>
      </c>
      <c r="CV410">
        <v>0</v>
      </c>
      <c r="CW410">
        <v>2</v>
      </c>
      <c r="CX410">
        <v>0</v>
      </c>
      <c r="CY410">
        <v>2</v>
      </c>
      <c r="CZ410">
        <v>0</v>
      </c>
      <c r="DA410" t="s">
        <v>107</v>
      </c>
      <c r="DB410" t="s">
        <v>107</v>
      </c>
      <c r="DC410">
        <v>326</v>
      </c>
      <c r="DD410">
        <v>0</v>
      </c>
      <c r="DE410">
        <v>-3.9E-2</v>
      </c>
      <c r="DF410">
        <v>62.4</v>
      </c>
      <c r="DG410">
        <v>6.7</v>
      </c>
    </row>
    <row r="411" spans="1:111" x14ac:dyDescent="0.2">
      <c r="A411">
        <v>2025</v>
      </c>
      <c r="B411" s="1">
        <v>45959</v>
      </c>
      <c r="C411" t="s">
        <v>95</v>
      </c>
      <c r="D411">
        <v>605483</v>
      </c>
      <c r="E411">
        <v>676391</v>
      </c>
      <c r="F411">
        <v>0</v>
      </c>
      <c r="G411">
        <v>1</v>
      </c>
      <c r="H411">
        <v>2</v>
      </c>
      <c r="I411" t="s">
        <v>96</v>
      </c>
      <c r="J411">
        <v>10</v>
      </c>
      <c r="K411">
        <v>2</v>
      </c>
      <c r="L411" t="s">
        <v>119</v>
      </c>
      <c r="M411" t="s">
        <v>132</v>
      </c>
      <c r="N411" t="s">
        <v>133</v>
      </c>
      <c r="O411">
        <f t="shared" si="96"/>
        <v>0</v>
      </c>
      <c r="P411">
        <f t="shared" si="97"/>
        <v>0</v>
      </c>
      <c r="Q411">
        <f t="shared" si="98"/>
        <v>0</v>
      </c>
      <c r="R411">
        <f t="shared" si="99"/>
        <v>0</v>
      </c>
      <c r="S411">
        <f t="shared" si="100"/>
        <v>0</v>
      </c>
      <c r="T411">
        <f t="shared" si="101"/>
        <v>0</v>
      </c>
      <c r="U411">
        <f t="shared" si="102"/>
        <v>0</v>
      </c>
      <c r="V411">
        <f t="shared" si="103"/>
        <v>0</v>
      </c>
      <c r="W411">
        <f t="shared" si="104"/>
        <v>0</v>
      </c>
      <c r="X411">
        <f t="shared" si="105"/>
        <v>0</v>
      </c>
      <c r="Y411">
        <f t="shared" si="106"/>
        <v>0</v>
      </c>
      <c r="Z411">
        <f t="shared" si="107"/>
        <v>1</v>
      </c>
      <c r="AA411">
        <f t="shared" si="108"/>
        <v>0</v>
      </c>
      <c r="AB411">
        <f t="shared" si="109"/>
        <v>0</v>
      </c>
      <c r="AC411">
        <f t="shared" si="110"/>
        <v>0</v>
      </c>
      <c r="AD411">
        <f t="shared" si="111"/>
        <v>0</v>
      </c>
      <c r="AE411">
        <v>83.5</v>
      </c>
      <c r="AF411">
        <v>2.2999999999999998</v>
      </c>
      <c r="AG411">
        <v>6.35</v>
      </c>
      <c r="AH411" t="s">
        <v>120</v>
      </c>
      <c r="AI411" t="s">
        <v>97</v>
      </c>
      <c r="AJ411" t="s">
        <v>97</v>
      </c>
      <c r="AK411" t="s">
        <v>97</v>
      </c>
      <c r="AL411" t="s">
        <v>97</v>
      </c>
      <c r="AM411">
        <v>14</v>
      </c>
      <c r="AN411" t="s">
        <v>250</v>
      </c>
      <c r="AO411" t="s">
        <v>213</v>
      </c>
      <c r="AP411" t="s">
        <v>122</v>
      </c>
      <c r="AQ411" t="s">
        <v>103</v>
      </c>
      <c r="AR411" t="s">
        <v>104</v>
      </c>
      <c r="AS411" t="s">
        <v>214</v>
      </c>
      <c r="AT411" t="s">
        <v>123</v>
      </c>
      <c r="AU411">
        <v>6</v>
      </c>
      <c r="AV411" t="s">
        <v>127</v>
      </c>
      <c r="AW411">
        <v>1.21</v>
      </c>
      <c r="AX411">
        <v>0.66</v>
      </c>
      <c r="AY411">
        <v>1.17</v>
      </c>
      <c r="AZ411">
        <v>2.42</v>
      </c>
      <c r="BA411" t="s">
        <v>97</v>
      </c>
      <c r="BB411" t="s">
        <v>97</v>
      </c>
      <c r="BC411" t="s">
        <v>97</v>
      </c>
      <c r="BD411">
        <v>0</v>
      </c>
      <c r="BE411">
        <v>109.63</v>
      </c>
      <c r="BF411">
        <v>132.65</v>
      </c>
      <c r="BG411" t="s">
        <v>97</v>
      </c>
      <c r="BH411" t="s">
        <v>97</v>
      </c>
      <c r="BI411">
        <v>669257</v>
      </c>
      <c r="BJ411">
        <v>669257</v>
      </c>
      <c r="BK411" t="s">
        <v>97</v>
      </c>
      <c r="BL411" t="s">
        <v>97</v>
      </c>
      <c r="BM411">
        <v>-5.0271256610000004</v>
      </c>
      <c r="BN411">
        <v>-121.4575048</v>
      </c>
      <c r="BO411">
        <v>-3.9523683799999998</v>
      </c>
      <c r="BP411">
        <v>12.977464100000001</v>
      </c>
      <c r="BQ411">
        <v>23.194796230000001</v>
      </c>
      <c r="BR411">
        <v>-25.10763747</v>
      </c>
      <c r="BS411">
        <v>3.35</v>
      </c>
      <c r="BT411">
        <v>1.55</v>
      </c>
      <c r="BU411">
        <v>133</v>
      </c>
      <c r="BV411">
        <v>76.2</v>
      </c>
      <c r="BW411">
        <v>12</v>
      </c>
      <c r="BX411">
        <v>84.4</v>
      </c>
      <c r="BY411">
        <v>1871</v>
      </c>
      <c r="BZ411">
        <v>6.8</v>
      </c>
      <c r="CA411">
        <v>813022</v>
      </c>
      <c r="CB411">
        <v>669257</v>
      </c>
      <c r="CC411">
        <v>669257</v>
      </c>
      <c r="CD411">
        <v>518692</v>
      </c>
      <c r="CE411">
        <v>669242</v>
      </c>
      <c r="CF411">
        <v>571970</v>
      </c>
      <c r="CG411">
        <v>605141</v>
      </c>
      <c r="CH411">
        <v>669743</v>
      </c>
      <c r="CI411">
        <v>571771</v>
      </c>
      <c r="CJ411">
        <v>606192</v>
      </c>
      <c r="CK411">
        <v>53.67</v>
      </c>
      <c r="CL411">
        <v>0.38</v>
      </c>
      <c r="CM411">
        <v>0.37</v>
      </c>
      <c r="CN411">
        <v>0</v>
      </c>
      <c r="CO411">
        <v>1</v>
      </c>
      <c r="CP411">
        <v>0</v>
      </c>
      <c r="CQ411">
        <v>0</v>
      </c>
      <c r="CR411">
        <v>4</v>
      </c>
      <c r="CS411">
        <v>0</v>
      </c>
      <c r="CT411">
        <v>2</v>
      </c>
      <c r="CU411">
        <v>2</v>
      </c>
      <c r="CV411">
        <v>0</v>
      </c>
      <c r="CW411">
        <v>2</v>
      </c>
      <c r="CX411">
        <v>0</v>
      </c>
      <c r="CY411">
        <v>2</v>
      </c>
      <c r="CZ411">
        <v>0</v>
      </c>
      <c r="DA411" t="s">
        <v>107</v>
      </c>
      <c r="DB411" t="s">
        <v>107</v>
      </c>
      <c r="DC411">
        <v>125</v>
      </c>
      <c r="DD411">
        <v>1.7000000000000001E-2</v>
      </c>
      <c r="DE411">
        <v>-0.22</v>
      </c>
      <c r="DF411">
        <v>70.7</v>
      </c>
      <c r="DG411">
        <v>7.4</v>
      </c>
    </row>
    <row r="412" spans="1:111" x14ac:dyDescent="0.2">
      <c r="A412">
        <v>2025</v>
      </c>
      <c r="B412" s="1">
        <v>45959</v>
      </c>
      <c r="C412" t="s">
        <v>95</v>
      </c>
      <c r="D412">
        <v>605483</v>
      </c>
      <c r="E412">
        <v>680718</v>
      </c>
      <c r="F412">
        <v>0</v>
      </c>
      <c r="G412">
        <v>0</v>
      </c>
      <c r="H412">
        <v>2</v>
      </c>
      <c r="I412" t="s">
        <v>96</v>
      </c>
      <c r="J412">
        <v>11</v>
      </c>
      <c r="K412">
        <v>1</v>
      </c>
      <c r="L412" t="s">
        <v>155</v>
      </c>
      <c r="M412" t="s">
        <v>138</v>
      </c>
      <c r="N412" t="s">
        <v>139</v>
      </c>
      <c r="O412">
        <f t="shared" si="96"/>
        <v>0</v>
      </c>
      <c r="P412">
        <f t="shared" si="97"/>
        <v>0</v>
      </c>
      <c r="Q412">
        <f t="shared" si="98"/>
        <v>0</v>
      </c>
      <c r="R412">
        <f t="shared" si="99"/>
        <v>0</v>
      </c>
      <c r="S412">
        <f t="shared" si="100"/>
        <v>0</v>
      </c>
      <c r="T412">
        <f t="shared" si="101"/>
        <v>0</v>
      </c>
      <c r="U412">
        <f t="shared" si="102"/>
        <v>0</v>
      </c>
      <c r="V412">
        <f t="shared" si="103"/>
        <v>0</v>
      </c>
      <c r="W412">
        <f t="shared" si="104"/>
        <v>0</v>
      </c>
      <c r="X412">
        <f t="shared" si="105"/>
        <v>0</v>
      </c>
      <c r="Y412">
        <f t="shared" si="106"/>
        <v>0</v>
      </c>
      <c r="Z412">
        <f t="shared" si="107"/>
        <v>0</v>
      </c>
      <c r="AA412">
        <f t="shared" si="108"/>
        <v>0</v>
      </c>
      <c r="AB412">
        <f t="shared" si="109"/>
        <v>0</v>
      </c>
      <c r="AC412">
        <f t="shared" si="110"/>
        <v>0</v>
      </c>
      <c r="AD412">
        <f t="shared" si="111"/>
        <v>1</v>
      </c>
      <c r="AE412">
        <v>90.2</v>
      </c>
      <c r="AF412">
        <v>2.0499999999999998</v>
      </c>
      <c r="AG412">
        <v>6.52</v>
      </c>
      <c r="AH412" t="s">
        <v>120</v>
      </c>
      <c r="AI412" t="s">
        <v>97</v>
      </c>
      <c r="AJ412" t="s">
        <v>97</v>
      </c>
      <c r="AK412" t="s">
        <v>97</v>
      </c>
      <c r="AL412" t="s">
        <v>97</v>
      </c>
      <c r="AM412">
        <v>5</v>
      </c>
      <c r="AN412" t="s">
        <v>251</v>
      </c>
      <c r="AO412" t="s">
        <v>213</v>
      </c>
      <c r="AP412" t="s">
        <v>103</v>
      </c>
      <c r="AQ412" t="s">
        <v>103</v>
      </c>
      <c r="AR412" t="s">
        <v>104</v>
      </c>
      <c r="AS412" t="s">
        <v>214</v>
      </c>
      <c r="AT412" t="s">
        <v>123</v>
      </c>
      <c r="AU412">
        <v>9</v>
      </c>
      <c r="AV412" t="s">
        <v>127</v>
      </c>
      <c r="AW412">
        <v>-0.15</v>
      </c>
      <c r="AX412">
        <v>0.77</v>
      </c>
      <c r="AY412">
        <v>0.02</v>
      </c>
      <c r="AZ412">
        <v>2.42</v>
      </c>
      <c r="BA412" t="s">
        <v>97</v>
      </c>
      <c r="BB412" t="s">
        <v>97</v>
      </c>
      <c r="BC412" t="s">
        <v>97</v>
      </c>
      <c r="BD412">
        <v>1</v>
      </c>
      <c r="BE412">
        <v>188.52</v>
      </c>
      <c r="BF412">
        <v>114.07</v>
      </c>
      <c r="BG412" t="s">
        <v>97</v>
      </c>
      <c r="BH412" t="s">
        <v>97</v>
      </c>
      <c r="BI412">
        <v>669257</v>
      </c>
      <c r="BJ412">
        <v>669257</v>
      </c>
      <c r="BK412" t="s">
        <v>97</v>
      </c>
      <c r="BL412" t="s">
        <v>97</v>
      </c>
      <c r="BM412">
        <v>-4.7602545230000004</v>
      </c>
      <c r="BN412">
        <v>-131.22537159999999</v>
      </c>
      <c r="BO412">
        <v>-5.9235585650000004</v>
      </c>
      <c r="BP412">
        <v>-0.75488475200000005</v>
      </c>
      <c r="BQ412">
        <v>27.089752699999998</v>
      </c>
      <c r="BR412">
        <v>-22.24405634</v>
      </c>
      <c r="BS412">
        <v>3.73</v>
      </c>
      <c r="BT412">
        <v>1.74</v>
      </c>
      <c r="BU412">
        <v>48</v>
      </c>
      <c r="BV412">
        <v>89.8</v>
      </c>
      <c r="BW412">
        <v>0</v>
      </c>
      <c r="BX412">
        <v>91</v>
      </c>
      <c r="BY412">
        <v>2419</v>
      </c>
      <c r="BZ412">
        <v>6.7</v>
      </c>
      <c r="CA412">
        <v>813022</v>
      </c>
      <c r="CB412">
        <v>669257</v>
      </c>
      <c r="CC412">
        <v>669257</v>
      </c>
      <c r="CD412">
        <v>518692</v>
      </c>
      <c r="CE412">
        <v>669242</v>
      </c>
      <c r="CF412">
        <v>571970</v>
      </c>
      <c r="CG412">
        <v>605141</v>
      </c>
      <c r="CH412">
        <v>669743</v>
      </c>
      <c r="CI412">
        <v>571771</v>
      </c>
      <c r="CJ412">
        <v>606192</v>
      </c>
      <c r="CK412">
        <v>53.79</v>
      </c>
      <c r="CL412">
        <v>0.30299999999999999</v>
      </c>
      <c r="CM412">
        <v>0.29099999999999998</v>
      </c>
      <c r="CN412">
        <v>0.9</v>
      </c>
      <c r="CO412">
        <v>1</v>
      </c>
      <c r="CP412">
        <v>1</v>
      </c>
      <c r="CQ412">
        <v>0</v>
      </c>
      <c r="CR412">
        <v>2</v>
      </c>
      <c r="CS412">
        <v>0</v>
      </c>
      <c r="CT412">
        <v>2</v>
      </c>
      <c r="CU412">
        <v>2</v>
      </c>
      <c r="CV412">
        <v>0</v>
      </c>
      <c r="CW412">
        <v>2</v>
      </c>
      <c r="CX412">
        <v>0</v>
      </c>
      <c r="CY412">
        <v>2</v>
      </c>
      <c r="CZ412">
        <v>0</v>
      </c>
      <c r="DA412" t="s">
        <v>107</v>
      </c>
      <c r="DB412" t="s">
        <v>107</v>
      </c>
      <c r="DC412">
        <v>170</v>
      </c>
      <c r="DD412">
        <v>-1.9E-2</v>
      </c>
      <c r="DE412">
        <v>0.41499999999999998</v>
      </c>
      <c r="DF412">
        <v>79.400000000000006</v>
      </c>
      <c r="DG412">
        <v>7.5</v>
      </c>
    </row>
    <row r="413" spans="1:111" x14ac:dyDescent="0.2">
      <c r="A413">
        <v>2025</v>
      </c>
      <c r="B413" s="1">
        <v>45959</v>
      </c>
      <c r="C413" t="s">
        <v>95</v>
      </c>
      <c r="D413">
        <v>605483</v>
      </c>
      <c r="E413">
        <v>643396</v>
      </c>
      <c r="F413">
        <v>0</v>
      </c>
      <c r="G413">
        <v>0</v>
      </c>
      <c r="H413">
        <v>2</v>
      </c>
      <c r="I413" t="s">
        <v>96</v>
      </c>
      <c r="J413">
        <v>12</v>
      </c>
      <c r="K413">
        <v>1</v>
      </c>
      <c r="L413" t="s">
        <v>97</v>
      </c>
      <c r="M413" t="s">
        <v>132</v>
      </c>
      <c r="N413" t="s">
        <v>133</v>
      </c>
      <c r="O413">
        <f t="shared" si="96"/>
        <v>0</v>
      </c>
      <c r="P413">
        <f t="shared" si="97"/>
        <v>0</v>
      </c>
      <c r="Q413">
        <f t="shared" si="98"/>
        <v>0</v>
      </c>
      <c r="R413">
        <f t="shared" si="99"/>
        <v>0</v>
      </c>
      <c r="S413">
        <f t="shared" si="100"/>
        <v>0</v>
      </c>
      <c r="T413">
        <f t="shared" si="101"/>
        <v>0</v>
      </c>
      <c r="U413">
        <f t="shared" si="102"/>
        <v>0</v>
      </c>
      <c r="V413">
        <f t="shared" si="103"/>
        <v>0</v>
      </c>
      <c r="W413">
        <f t="shared" si="104"/>
        <v>1</v>
      </c>
      <c r="X413">
        <f t="shared" si="105"/>
        <v>0</v>
      </c>
      <c r="Y413">
        <f t="shared" si="106"/>
        <v>0</v>
      </c>
      <c r="Z413">
        <f t="shared" si="107"/>
        <v>0</v>
      </c>
      <c r="AA413">
        <f t="shared" si="108"/>
        <v>0</v>
      </c>
      <c r="AB413">
        <f t="shared" si="109"/>
        <v>0</v>
      </c>
      <c r="AC413">
        <f t="shared" si="110"/>
        <v>0</v>
      </c>
      <c r="AD413">
        <f t="shared" si="111"/>
        <v>0</v>
      </c>
      <c r="AE413">
        <v>87</v>
      </c>
      <c r="AF413">
        <v>2.21</v>
      </c>
      <c r="AG413">
        <v>6.44</v>
      </c>
      <c r="AH413" t="s">
        <v>100</v>
      </c>
      <c r="AI413" t="s">
        <v>97</v>
      </c>
      <c r="AJ413" t="s">
        <v>97</v>
      </c>
      <c r="AK413" t="s">
        <v>97</v>
      </c>
      <c r="AL413" t="s">
        <v>97</v>
      </c>
      <c r="AM413">
        <v>12</v>
      </c>
      <c r="AN413" t="s">
        <v>101</v>
      </c>
      <c r="AO413" t="s">
        <v>213</v>
      </c>
      <c r="AP413" t="s">
        <v>122</v>
      </c>
      <c r="AQ413" t="s">
        <v>103</v>
      </c>
      <c r="AR413" t="s">
        <v>104</v>
      </c>
      <c r="AS413" t="s">
        <v>214</v>
      </c>
      <c r="AT413" t="s">
        <v>106</v>
      </c>
      <c r="AU413" t="s">
        <v>97</v>
      </c>
      <c r="AV413" t="s">
        <v>97</v>
      </c>
      <c r="AW413">
        <v>1.1399999999999999</v>
      </c>
      <c r="AX413">
        <v>1.01</v>
      </c>
      <c r="AY413">
        <v>1.04</v>
      </c>
      <c r="AZ413">
        <v>3.38</v>
      </c>
      <c r="BA413" t="s">
        <v>97</v>
      </c>
      <c r="BB413" t="s">
        <v>97</v>
      </c>
      <c r="BC413">
        <v>680718</v>
      </c>
      <c r="BD413">
        <v>1</v>
      </c>
      <c r="BE413" t="s">
        <v>97</v>
      </c>
      <c r="BF413" t="s">
        <v>97</v>
      </c>
      <c r="BG413" t="s">
        <v>97</v>
      </c>
      <c r="BH413" t="s">
        <v>97</v>
      </c>
      <c r="BI413">
        <v>669257</v>
      </c>
      <c r="BJ413">
        <v>669257</v>
      </c>
      <c r="BK413" t="s">
        <v>97</v>
      </c>
      <c r="BL413" t="s">
        <v>97</v>
      </c>
      <c r="BM413">
        <v>-5.2173256830000003</v>
      </c>
      <c r="BN413">
        <v>-126.5871614</v>
      </c>
      <c r="BO413">
        <v>-3.238192384</v>
      </c>
      <c r="BP413">
        <v>13.326447849999999</v>
      </c>
      <c r="BQ413">
        <v>27.478530920000001</v>
      </c>
      <c r="BR413">
        <v>-20.845257010000001</v>
      </c>
      <c r="BS413">
        <v>3.22</v>
      </c>
      <c r="BT413">
        <v>1.53</v>
      </c>
      <c r="BU413" t="s">
        <v>97</v>
      </c>
      <c r="BV413" t="s">
        <v>97</v>
      </c>
      <c r="BW413" t="s">
        <v>97</v>
      </c>
      <c r="BX413">
        <v>87.8</v>
      </c>
      <c r="BY413">
        <v>1737</v>
      </c>
      <c r="BZ413">
        <v>6.9</v>
      </c>
      <c r="CA413">
        <v>813022</v>
      </c>
      <c r="CB413">
        <v>669257</v>
      </c>
      <c r="CC413">
        <v>669257</v>
      </c>
      <c r="CD413">
        <v>518692</v>
      </c>
      <c r="CE413">
        <v>669242</v>
      </c>
      <c r="CF413">
        <v>571970</v>
      </c>
      <c r="CG413">
        <v>605141</v>
      </c>
      <c r="CH413">
        <v>669743</v>
      </c>
      <c r="CI413">
        <v>571771</v>
      </c>
      <c r="CJ413">
        <v>606192</v>
      </c>
      <c r="CK413">
        <v>53.59</v>
      </c>
      <c r="CL413" t="s">
        <v>97</v>
      </c>
      <c r="CM413" t="s">
        <v>97</v>
      </c>
      <c r="CN413" t="s">
        <v>97</v>
      </c>
      <c r="CO413" t="s">
        <v>97</v>
      </c>
      <c r="CP413" t="s">
        <v>97</v>
      </c>
      <c r="CQ413" t="s">
        <v>97</v>
      </c>
      <c r="CR413" t="s">
        <v>97</v>
      </c>
      <c r="CS413">
        <v>0</v>
      </c>
      <c r="CT413">
        <v>2</v>
      </c>
      <c r="CU413">
        <v>2</v>
      </c>
      <c r="CV413">
        <v>0</v>
      </c>
      <c r="CW413">
        <v>2</v>
      </c>
      <c r="CX413">
        <v>0</v>
      </c>
      <c r="CY413">
        <v>2</v>
      </c>
      <c r="CZ413">
        <v>0</v>
      </c>
      <c r="DA413" t="s">
        <v>107</v>
      </c>
      <c r="DB413" t="s">
        <v>107</v>
      </c>
      <c r="DC413">
        <v>129</v>
      </c>
      <c r="DD413">
        <v>0</v>
      </c>
      <c r="DE413">
        <v>3.5000000000000003E-2</v>
      </c>
      <c r="DF413" t="s">
        <v>97</v>
      </c>
      <c r="DG413" t="s">
        <v>97</v>
      </c>
    </row>
    <row r="414" spans="1:111" x14ac:dyDescent="0.2">
      <c r="A414">
        <v>2025</v>
      </c>
      <c r="B414" s="1">
        <v>45959</v>
      </c>
      <c r="C414" t="s">
        <v>95</v>
      </c>
      <c r="D414">
        <v>605483</v>
      </c>
      <c r="E414">
        <v>643396</v>
      </c>
      <c r="F414">
        <v>1</v>
      </c>
      <c r="G414">
        <v>0</v>
      </c>
      <c r="H414">
        <v>2</v>
      </c>
      <c r="I414" t="s">
        <v>96</v>
      </c>
      <c r="J414">
        <v>12</v>
      </c>
      <c r="K414">
        <v>2</v>
      </c>
      <c r="L414" t="s">
        <v>97</v>
      </c>
      <c r="M414" t="s">
        <v>132</v>
      </c>
      <c r="N414" t="s">
        <v>133</v>
      </c>
      <c r="O414">
        <f t="shared" si="96"/>
        <v>0</v>
      </c>
      <c r="P414">
        <f t="shared" si="97"/>
        <v>0</v>
      </c>
      <c r="Q414">
        <f t="shared" si="98"/>
        <v>0</v>
      </c>
      <c r="R414">
        <f t="shared" si="99"/>
        <v>0</v>
      </c>
      <c r="S414">
        <f t="shared" si="100"/>
        <v>0</v>
      </c>
      <c r="T414">
        <f t="shared" si="101"/>
        <v>0</v>
      </c>
      <c r="U414">
        <f t="shared" si="102"/>
        <v>0</v>
      </c>
      <c r="V414">
        <f t="shared" si="103"/>
        <v>0</v>
      </c>
      <c r="W414">
        <f t="shared" si="104"/>
        <v>1</v>
      </c>
      <c r="X414">
        <f t="shared" si="105"/>
        <v>0</v>
      </c>
      <c r="Y414">
        <f t="shared" si="106"/>
        <v>0</v>
      </c>
      <c r="Z414">
        <f t="shared" si="107"/>
        <v>0</v>
      </c>
      <c r="AA414">
        <f t="shared" si="108"/>
        <v>0</v>
      </c>
      <c r="AB414">
        <f t="shared" si="109"/>
        <v>0</v>
      </c>
      <c r="AC414">
        <f t="shared" si="110"/>
        <v>0</v>
      </c>
      <c r="AD414">
        <f t="shared" si="111"/>
        <v>0</v>
      </c>
      <c r="AE414">
        <v>85.4</v>
      </c>
      <c r="AF414">
        <v>2.21</v>
      </c>
      <c r="AG414">
        <v>6.38</v>
      </c>
      <c r="AH414" t="s">
        <v>113</v>
      </c>
      <c r="AI414" t="s">
        <v>97</v>
      </c>
      <c r="AJ414" t="s">
        <v>97</v>
      </c>
      <c r="AK414" t="s">
        <v>97</v>
      </c>
      <c r="AL414" t="s">
        <v>97</v>
      </c>
      <c r="AM414">
        <v>14</v>
      </c>
      <c r="AN414" t="s">
        <v>114</v>
      </c>
      <c r="AO414" t="s">
        <v>213</v>
      </c>
      <c r="AP414" t="s">
        <v>122</v>
      </c>
      <c r="AQ414" t="s">
        <v>103</v>
      </c>
      <c r="AR414" t="s">
        <v>104</v>
      </c>
      <c r="AS414" t="s">
        <v>214</v>
      </c>
      <c r="AT414" t="s">
        <v>110</v>
      </c>
      <c r="AU414" t="s">
        <v>97</v>
      </c>
      <c r="AV414" t="s">
        <v>97</v>
      </c>
      <c r="AW414">
        <v>1.41</v>
      </c>
      <c r="AX414">
        <v>0.43</v>
      </c>
      <c r="AY414">
        <v>0.93</v>
      </c>
      <c r="AZ414">
        <v>1.1100000000000001</v>
      </c>
      <c r="BA414" t="s">
        <v>97</v>
      </c>
      <c r="BB414" t="s">
        <v>97</v>
      </c>
      <c r="BC414">
        <v>680718</v>
      </c>
      <c r="BD414">
        <v>1</v>
      </c>
      <c r="BE414" t="s">
        <v>97</v>
      </c>
      <c r="BF414" t="s">
        <v>97</v>
      </c>
      <c r="BG414" t="s">
        <v>97</v>
      </c>
      <c r="BH414" t="s">
        <v>97</v>
      </c>
      <c r="BI414">
        <v>669257</v>
      </c>
      <c r="BJ414">
        <v>669257</v>
      </c>
      <c r="BK414" t="s">
        <v>97</v>
      </c>
      <c r="BL414" t="s">
        <v>97</v>
      </c>
      <c r="BM414">
        <v>-5.9164531849999999</v>
      </c>
      <c r="BN414">
        <v>-124.00423480000001</v>
      </c>
      <c r="BO414">
        <v>-6.9898371199999998</v>
      </c>
      <c r="BP414">
        <v>15.725794690000001</v>
      </c>
      <c r="BQ414">
        <v>25.945210840000001</v>
      </c>
      <c r="BR414">
        <v>-26.502913700000001</v>
      </c>
      <c r="BS414">
        <v>3.22</v>
      </c>
      <c r="BT414">
        <v>1.47</v>
      </c>
      <c r="BU414" t="s">
        <v>97</v>
      </c>
      <c r="BV414" t="s">
        <v>97</v>
      </c>
      <c r="BW414" t="s">
        <v>97</v>
      </c>
      <c r="BX414">
        <v>86</v>
      </c>
      <c r="BY414">
        <v>1655</v>
      </c>
      <c r="BZ414">
        <v>6.9</v>
      </c>
      <c r="CA414">
        <v>813022</v>
      </c>
      <c r="CB414">
        <v>669257</v>
      </c>
      <c r="CC414">
        <v>669257</v>
      </c>
      <c r="CD414">
        <v>518692</v>
      </c>
      <c r="CE414">
        <v>669242</v>
      </c>
      <c r="CF414">
        <v>571970</v>
      </c>
      <c r="CG414">
        <v>605141</v>
      </c>
      <c r="CH414">
        <v>669743</v>
      </c>
      <c r="CI414">
        <v>571771</v>
      </c>
      <c r="CJ414">
        <v>606192</v>
      </c>
      <c r="CK414">
        <v>53.6</v>
      </c>
      <c r="CL414" t="s">
        <v>97</v>
      </c>
      <c r="CM414" t="s">
        <v>97</v>
      </c>
      <c r="CN414" t="s">
        <v>97</v>
      </c>
      <c r="CO414" t="s">
        <v>97</v>
      </c>
      <c r="CP414" t="s">
        <v>97</v>
      </c>
      <c r="CQ414" t="s">
        <v>97</v>
      </c>
      <c r="CR414" t="s">
        <v>97</v>
      </c>
      <c r="CS414">
        <v>0</v>
      </c>
      <c r="CT414">
        <v>2</v>
      </c>
      <c r="CU414">
        <v>2</v>
      </c>
      <c r="CV414">
        <v>0</v>
      </c>
      <c r="CW414">
        <v>2</v>
      </c>
      <c r="CX414">
        <v>0</v>
      </c>
      <c r="CY414">
        <v>2</v>
      </c>
      <c r="CZ414">
        <v>0</v>
      </c>
      <c r="DA414" t="s">
        <v>107</v>
      </c>
      <c r="DB414" t="s">
        <v>107</v>
      </c>
      <c r="DC414">
        <v>129</v>
      </c>
      <c r="DD414">
        <v>0</v>
      </c>
      <c r="DE414">
        <v>-5.6000000000000001E-2</v>
      </c>
      <c r="DF414">
        <v>65.2</v>
      </c>
      <c r="DG414">
        <v>8.9</v>
      </c>
    </row>
    <row r="415" spans="1:111" x14ac:dyDescent="0.2">
      <c r="A415">
        <v>2025</v>
      </c>
      <c r="B415" s="1">
        <v>45959</v>
      </c>
      <c r="C415" t="s">
        <v>95</v>
      </c>
      <c r="D415">
        <v>605483</v>
      </c>
      <c r="E415">
        <v>643396</v>
      </c>
      <c r="F415">
        <v>1</v>
      </c>
      <c r="G415">
        <v>1</v>
      </c>
      <c r="H415">
        <v>2</v>
      </c>
      <c r="I415" t="s">
        <v>96</v>
      </c>
      <c r="J415">
        <v>12</v>
      </c>
      <c r="K415">
        <v>3</v>
      </c>
      <c r="L415" t="s">
        <v>97</v>
      </c>
      <c r="M415" t="s">
        <v>132</v>
      </c>
      <c r="N415" t="s">
        <v>133</v>
      </c>
      <c r="O415">
        <f t="shared" si="96"/>
        <v>0</v>
      </c>
      <c r="P415">
        <f t="shared" si="97"/>
        <v>0</v>
      </c>
      <c r="Q415">
        <f t="shared" si="98"/>
        <v>0</v>
      </c>
      <c r="R415">
        <f t="shared" si="99"/>
        <v>0</v>
      </c>
      <c r="S415">
        <f t="shared" si="100"/>
        <v>0</v>
      </c>
      <c r="T415">
        <f t="shared" si="101"/>
        <v>0</v>
      </c>
      <c r="U415">
        <f t="shared" si="102"/>
        <v>0</v>
      </c>
      <c r="V415">
        <f t="shared" si="103"/>
        <v>0</v>
      </c>
      <c r="W415">
        <f t="shared" si="104"/>
        <v>0</v>
      </c>
      <c r="X415">
        <f t="shared" si="105"/>
        <v>0</v>
      </c>
      <c r="Y415">
        <f t="shared" si="106"/>
        <v>1</v>
      </c>
      <c r="Z415">
        <f t="shared" si="107"/>
        <v>0</v>
      </c>
      <c r="AA415">
        <f t="shared" si="108"/>
        <v>0</v>
      </c>
      <c r="AB415">
        <f t="shared" si="109"/>
        <v>0</v>
      </c>
      <c r="AC415">
        <f t="shared" si="110"/>
        <v>0</v>
      </c>
      <c r="AD415">
        <f t="shared" si="111"/>
        <v>0</v>
      </c>
      <c r="AE415">
        <v>85.5</v>
      </c>
      <c r="AF415">
        <v>2.2799999999999998</v>
      </c>
      <c r="AG415">
        <v>6.4</v>
      </c>
      <c r="AH415" t="s">
        <v>100</v>
      </c>
      <c r="AI415" t="s">
        <v>97</v>
      </c>
      <c r="AJ415" t="s">
        <v>97</v>
      </c>
      <c r="AK415" t="s">
        <v>97</v>
      </c>
      <c r="AL415" t="s">
        <v>97</v>
      </c>
      <c r="AM415">
        <v>12</v>
      </c>
      <c r="AN415" t="s">
        <v>101</v>
      </c>
      <c r="AO415" t="s">
        <v>213</v>
      </c>
      <c r="AP415" t="s">
        <v>122</v>
      </c>
      <c r="AQ415" t="s">
        <v>103</v>
      </c>
      <c r="AR415" t="s">
        <v>104</v>
      </c>
      <c r="AS415" t="s">
        <v>214</v>
      </c>
      <c r="AT415" t="s">
        <v>106</v>
      </c>
      <c r="AU415" t="s">
        <v>97</v>
      </c>
      <c r="AV415" t="s">
        <v>97</v>
      </c>
      <c r="AW415">
        <v>1.04</v>
      </c>
      <c r="AX415">
        <v>1.1100000000000001</v>
      </c>
      <c r="AY415">
        <v>0.96</v>
      </c>
      <c r="AZ415">
        <v>3.34</v>
      </c>
      <c r="BA415" t="s">
        <v>97</v>
      </c>
      <c r="BB415" t="s">
        <v>97</v>
      </c>
      <c r="BC415">
        <v>680718</v>
      </c>
      <c r="BD415">
        <v>1</v>
      </c>
      <c r="BE415" t="s">
        <v>97</v>
      </c>
      <c r="BF415" t="s">
        <v>97</v>
      </c>
      <c r="BG415" t="s">
        <v>97</v>
      </c>
      <c r="BH415" t="s">
        <v>97</v>
      </c>
      <c r="BI415">
        <v>669257</v>
      </c>
      <c r="BJ415">
        <v>669257</v>
      </c>
      <c r="BK415" t="s">
        <v>97</v>
      </c>
      <c r="BL415" t="s">
        <v>97</v>
      </c>
      <c r="BM415">
        <v>-5.2524727450000004</v>
      </c>
      <c r="BN415">
        <v>-124.4368111</v>
      </c>
      <c r="BO415">
        <v>-3.2039561729999999</v>
      </c>
      <c r="BP415">
        <v>11.826254280000001</v>
      </c>
      <c r="BQ415">
        <v>24.584995589999998</v>
      </c>
      <c r="BR415">
        <v>-20.17067918</v>
      </c>
      <c r="BS415">
        <v>3.16</v>
      </c>
      <c r="BT415">
        <v>1.47</v>
      </c>
      <c r="BU415" t="s">
        <v>97</v>
      </c>
      <c r="BV415" t="s">
        <v>97</v>
      </c>
      <c r="BW415" t="s">
        <v>97</v>
      </c>
      <c r="BX415">
        <v>86.1</v>
      </c>
      <c r="BY415">
        <v>1798</v>
      </c>
      <c r="BZ415">
        <v>6.6</v>
      </c>
      <c r="CA415">
        <v>813022</v>
      </c>
      <c r="CB415">
        <v>669257</v>
      </c>
      <c r="CC415">
        <v>669257</v>
      </c>
      <c r="CD415">
        <v>518692</v>
      </c>
      <c r="CE415">
        <v>669242</v>
      </c>
      <c r="CF415">
        <v>571970</v>
      </c>
      <c r="CG415">
        <v>605141</v>
      </c>
      <c r="CH415">
        <v>669743</v>
      </c>
      <c r="CI415">
        <v>571771</v>
      </c>
      <c r="CJ415">
        <v>606192</v>
      </c>
      <c r="CK415">
        <v>53.87</v>
      </c>
      <c r="CL415" t="s">
        <v>97</v>
      </c>
      <c r="CM415" t="s">
        <v>97</v>
      </c>
      <c r="CN415" t="s">
        <v>97</v>
      </c>
      <c r="CO415" t="s">
        <v>97</v>
      </c>
      <c r="CP415" t="s">
        <v>97</v>
      </c>
      <c r="CQ415" t="s">
        <v>97</v>
      </c>
      <c r="CR415" t="s">
        <v>97</v>
      </c>
      <c r="CS415">
        <v>0</v>
      </c>
      <c r="CT415">
        <v>2</v>
      </c>
      <c r="CU415">
        <v>2</v>
      </c>
      <c r="CV415">
        <v>0</v>
      </c>
      <c r="CW415">
        <v>2</v>
      </c>
      <c r="CX415">
        <v>0</v>
      </c>
      <c r="CY415">
        <v>2</v>
      </c>
      <c r="CZ415">
        <v>0</v>
      </c>
      <c r="DA415" t="s">
        <v>107</v>
      </c>
      <c r="DB415" t="s">
        <v>107</v>
      </c>
      <c r="DC415">
        <v>130</v>
      </c>
      <c r="DD415">
        <v>0</v>
      </c>
      <c r="DE415">
        <v>6.3E-2</v>
      </c>
      <c r="DF415" t="s">
        <v>97</v>
      </c>
      <c r="DG415" t="s">
        <v>97</v>
      </c>
    </row>
    <row r="416" spans="1:111" x14ac:dyDescent="0.2">
      <c r="A416">
        <v>2025</v>
      </c>
      <c r="B416" s="1">
        <v>45959</v>
      </c>
      <c r="C416" t="s">
        <v>95</v>
      </c>
      <c r="D416">
        <v>605483</v>
      </c>
      <c r="E416">
        <v>643396</v>
      </c>
      <c r="F416">
        <v>2</v>
      </c>
      <c r="G416">
        <v>1</v>
      </c>
      <c r="H416">
        <v>2</v>
      </c>
      <c r="I416" t="s">
        <v>96</v>
      </c>
      <c r="J416">
        <v>12</v>
      </c>
      <c r="K416">
        <v>4</v>
      </c>
      <c r="L416" t="s">
        <v>97</v>
      </c>
      <c r="M416" t="s">
        <v>111</v>
      </c>
      <c r="N416" t="s">
        <v>112</v>
      </c>
      <c r="O416">
        <f t="shared" si="96"/>
        <v>0</v>
      </c>
      <c r="P416">
        <f t="shared" si="97"/>
        <v>0</v>
      </c>
      <c r="Q416">
        <f t="shared" si="98"/>
        <v>0</v>
      </c>
      <c r="R416">
        <f t="shared" si="99"/>
        <v>0</v>
      </c>
      <c r="S416">
        <f t="shared" si="100"/>
        <v>0</v>
      </c>
      <c r="T416">
        <f t="shared" si="101"/>
        <v>0</v>
      </c>
      <c r="U416">
        <f t="shared" si="102"/>
        <v>1</v>
      </c>
      <c r="V416">
        <f t="shared" si="103"/>
        <v>0</v>
      </c>
      <c r="W416">
        <f t="shared" si="104"/>
        <v>0</v>
      </c>
      <c r="X416">
        <f t="shared" si="105"/>
        <v>0</v>
      </c>
      <c r="Y416">
        <f t="shared" si="106"/>
        <v>0</v>
      </c>
      <c r="Z416">
        <f t="shared" si="107"/>
        <v>0</v>
      </c>
      <c r="AA416">
        <f t="shared" si="108"/>
        <v>0</v>
      </c>
      <c r="AB416">
        <f t="shared" si="109"/>
        <v>0</v>
      </c>
      <c r="AC416">
        <f t="shared" si="110"/>
        <v>0</v>
      </c>
      <c r="AD416">
        <f t="shared" si="111"/>
        <v>0</v>
      </c>
      <c r="AE416">
        <v>80.5</v>
      </c>
      <c r="AF416">
        <v>2.06</v>
      </c>
      <c r="AG416">
        <v>6.6</v>
      </c>
      <c r="AH416" t="s">
        <v>108</v>
      </c>
      <c r="AI416" t="s">
        <v>97</v>
      </c>
      <c r="AJ416" t="s">
        <v>97</v>
      </c>
      <c r="AK416" t="s">
        <v>97</v>
      </c>
      <c r="AL416" t="s">
        <v>97</v>
      </c>
      <c r="AM416">
        <v>3</v>
      </c>
      <c r="AN416" t="s">
        <v>109</v>
      </c>
      <c r="AO416" t="s">
        <v>213</v>
      </c>
      <c r="AP416" t="s">
        <v>122</v>
      </c>
      <c r="AQ416" t="s">
        <v>103</v>
      </c>
      <c r="AR416" t="s">
        <v>104</v>
      </c>
      <c r="AS416" t="s">
        <v>214</v>
      </c>
      <c r="AT416" t="s">
        <v>110</v>
      </c>
      <c r="AU416" t="s">
        <v>97</v>
      </c>
      <c r="AV416" t="s">
        <v>97</v>
      </c>
      <c r="AW416">
        <v>-0.8</v>
      </c>
      <c r="AX416">
        <v>-0.61</v>
      </c>
      <c r="AY416">
        <v>0.72</v>
      </c>
      <c r="AZ416">
        <v>2.82</v>
      </c>
      <c r="BA416" t="s">
        <v>97</v>
      </c>
      <c r="BB416" t="s">
        <v>97</v>
      </c>
      <c r="BC416">
        <v>680718</v>
      </c>
      <c r="BD416">
        <v>1</v>
      </c>
      <c r="BE416" t="s">
        <v>97</v>
      </c>
      <c r="BF416" t="s">
        <v>97</v>
      </c>
      <c r="BG416" t="s">
        <v>97</v>
      </c>
      <c r="BH416" t="s">
        <v>97</v>
      </c>
      <c r="BI416">
        <v>669257</v>
      </c>
      <c r="BJ416">
        <v>669257</v>
      </c>
      <c r="BK416" t="s">
        <v>97</v>
      </c>
      <c r="BL416" t="s">
        <v>97</v>
      </c>
      <c r="BM416">
        <v>-1.438724412</v>
      </c>
      <c r="BN416">
        <v>-117.2657877</v>
      </c>
      <c r="BO416">
        <v>-0.55445765899999999</v>
      </c>
      <c r="BP416">
        <v>-7.1179368189999996</v>
      </c>
      <c r="BQ416">
        <v>22.996221739999999</v>
      </c>
      <c r="BR416">
        <v>-37.911137750000002</v>
      </c>
      <c r="BS416">
        <v>3.11</v>
      </c>
      <c r="BT416">
        <v>1.41</v>
      </c>
      <c r="BU416" t="s">
        <v>97</v>
      </c>
      <c r="BV416" t="s">
        <v>97</v>
      </c>
      <c r="BW416" t="s">
        <v>97</v>
      </c>
      <c r="BX416">
        <v>80.900000000000006</v>
      </c>
      <c r="BY416">
        <v>2636</v>
      </c>
      <c r="BZ416">
        <v>6.6</v>
      </c>
      <c r="CA416">
        <v>813022</v>
      </c>
      <c r="CB416">
        <v>669257</v>
      </c>
      <c r="CC416">
        <v>669257</v>
      </c>
      <c r="CD416">
        <v>518692</v>
      </c>
      <c r="CE416">
        <v>669242</v>
      </c>
      <c r="CF416">
        <v>571970</v>
      </c>
      <c r="CG416">
        <v>605141</v>
      </c>
      <c r="CH416">
        <v>669743</v>
      </c>
      <c r="CI416">
        <v>571771</v>
      </c>
      <c r="CJ416">
        <v>606192</v>
      </c>
      <c r="CK416">
        <v>53.94</v>
      </c>
      <c r="CL416" t="s">
        <v>97</v>
      </c>
      <c r="CM416" t="s">
        <v>97</v>
      </c>
      <c r="CN416" t="s">
        <v>97</v>
      </c>
      <c r="CO416" t="s">
        <v>97</v>
      </c>
      <c r="CP416" t="s">
        <v>97</v>
      </c>
      <c r="CQ416" t="s">
        <v>97</v>
      </c>
      <c r="CR416" t="s">
        <v>97</v>
      </c>
      <c r="CS416">
        <v>0</v>
      </c>
      <c r="CT416">
        <v>2</v>
      </c>
      <c r="CU416">
        <v>2</v>
      </c>
      <c r="CV416">
        <v>0</v>
      </c>
      <c r="CW416">
        <v>2</v>
      </c>
      <c r="CX416">
        <v>0</v>
      </c>
      <c r="CY416">
        <v>2</v>
      </c>
      <c r="CZ416">
        <v>0</v>
      </c>
      <c r="DA416" t="s">
        <v>107</v>
      </c>
      <c r="DB416" t="s">
        <v>107</v>
      </c>
      <c r="DC416">
        <v>325</v>
      </c>
      <c r="DD416">
        <v>0</v>
      </c>
      <c r="DE416">
        <v>-7.4999999999999997E-2</v>
      </c>
      <c r="DF416" t="s">
        <v>97</v>
      </c>
      <c r="DG416" t="s">
        <v>97</v>
      </c>
    </row>
    <row r="417" spans="1:111" x14ac:dyDescent="0.2">
      <c r="A417">
        <v>2025</v>
      </c>
      <c r="B417" s="1">
        <v>45959</v>
      </c>
      <c r="C417" t="s">
        <v>95</v>
      </c>
      <c r="D417">
        <v>605483</v>
      </c>
      <c r="E417">
        <v>643396</v>
      </c>
      <c r="F417">
        <v>2</v>
      </c>
      <c r="G417">
        <v>2</v>
      </c>
      <c r="H417">
        <v>2</v>
      </c>
      <c r="I417" t="s">
        <v>96</v>
      </c>
      <c r="J417">
        <v>12</v>
      </c>
      <c r="K417">
        <v>5</v>
      </c>
      <c r="L417" t="s">
        <v>119</v>
      </c>
      <c r="M417" t="s">
        <v>132</v>
      </c>
      <c r="N417" t="s">
        <v>133</v>
      </c>
      <c r="O417">
        <f t="shared" si="96"/>
        <v>0</v>
      </c>
      <c r="P417">
        <f t="shared" si="97"/>
        <v>0</v>
      </c>
      <c r="Q417">
        <f t="shared" si="98"/>
        <v>0</v>
      </c>
      <c r="R417">
        <f t="shared" si="99"/>
        <v>0</v>
      </c>
      <c r="S417">
        <f t="shared" si="100"/>
        <v>0</v>
      </c>
      <c r="T417">
        <f t="shared" si="101"/>
        <v>0</v>
      </c>
      <c r="U417">
        <f t="shared" si="102"/>
        <v>0</v>
      </c>
      <c r="V417">
        <f t="shared" si="103"/>
        <v>0</v>
      </c>
      <c r="W417">
        <f t="shared" si="104"/>
        <v>0</v>
      </c>
      <c r="X417">
        <f t="shared" si="105"/>
        <v>0</v>
      </c>
      <c r="Y417">
        <f t="shared" si="106"/>
        <v>1</v>
      </c>
      <c r="Z417">
        <f t="shared" si="107"/>
        <v>0</v>
      </c>
      <c r="AA417">
        <f t="shared" si="108"/>
        <v>0</v>
      </c>
      <c r="AB417">
        <f t="shared" si="109"/>
        <v>0</v>
      </c>
      <c r="AC417">
        <f t="shared" si="110"/>
        <v>0</v>
      </c>
      <c r="AD417">
        <f t="shared" si="111"/>
        <v>0</v>
      </c>
      <c r="AE417">
        <v>85</v>
      </c>
      <c r="AF417">
        <v>2.23</v>
      </c>
      <c r="AG417">
        <v>6.3</v>
      </c>
      <c r="AH417" t="s">
        <v>120</v>
      </c>
      <c r="AI417" t="s">
        <v>97</v>
      </c>
      <c r="AJ417" t="s">
        <v>97</v>
      </c>
      <c r="AK417" t="s">
        <v>97</v>
      </c>
      <c r="AL417" t="s">
        <v>97</v>
      </c>
      <c r="AM417">
        <v>14</v>
      </c>
      <c r="AN417" t="s">
        <v>252</v>
      </c>
      <c r="AO417" t="s">
        <v>213</v>
      </c>
      <c r="AP417" t="s">
        <v>122</v>
      </c>
      <c r="AQ417" t="s">
        <v>103</v>
      </c>
      <c r="AR417" t="s">
        <v>104</v>
      </c>
      <c r="AS417" t="s">
        <v>214</v>
      </c>
      <c r="AT417" t="s">
        <v>123</v>
      </c>
      <c r="AU417">
        <v>9</v>
      </c>
      <c r="AV417" t="s">
        <v>124</v>
      </c>
      <c r="AW417">
        <v>1.1200000000000001</v>
      </c>
      <c r="AX417">
        <v>1.01</v>
      </c>
      <c r="AY417">
        <v>0.86</v>
      </c>
      <c r="AZ417">
        <v>2.2799999999999998</v>
      </c>
      <c r="BA417" t="s">
        <v>97</v>
      </c>
      <c r="BB417" t="s">
        <v>97</v>
      </c>
      <c r="BC417">
        <v>680718</v>
      </c>
      <c r="BD417">
        <v>1</v>
      </c>
      <c r="BE417">
        <v>191.2</v>
      </c>
      <c r="BF417">
        <v>142.15</v>
      </c>
      <c r="BG417" t="s">
        <v>97</v>
      </c>
      <c r="BH417" t="s">
        <v>97</v>
      </c>
      <c r="BI417">
        <v>669257</v>
      </c>
      <c r="BJ417">
        <v>669257</v>
      </c>
      <c r="BK417" t="s">
        <v>97</v>
      </c>
      <c r="BL417" t="s">
        <v>97</v>
      </c>
      <c r="BM417">
        <v>-5.5296851240000002</v>
      </c>
      <c r="BN417">
        <v>-123.6245541</v>
      </c>
      <c r="BO417">
        <v>-5.2234748819999997</v>
      </c>
      <c r="BP417">
        <v>12.599216500000001</v>
      </c>
      <c r="BQ417">
        <v>23.795717119999999</v>
      </c>
      <c r="BR417">
        <v>-20.962571560000001</v>
      </c>
      <c r="BS417">
        <v>3.22</v>
      </c>
      <c r="BT417">
        <v>1.47</v>
      </c>
      <c r="BU417">
        <v>214</v>
      </c>
      <c r="BV417">
        <v>79.099999999999994</v>
      </c>
      <c r="BW417">
        <v>56</v>
      </c>
      <c r="BX417">
        <v>86.3</v>
      </c>
      <c r="BY417">
        <v>1795</v>
      </c>
      <c r="BZ417">
        <v>7.1</v>
      </c>
      <c r="CA417">
        <v>813022</v>
      </c>
      <c r="CB417">
        <v>669257</v>
      </c>
      <c r="CC417">
        <v>669257</v>
      </c>
      <c r="CD417">
        <v>518692</v>
      </c>
      <c r="CE417">
        <v>669242</v>
      </c>
      <c r="CF417">
        <v>571970</v>
      </c>
      <c r="CG417">
        <v>605141</v>
      </c>
      <c r="CH417">
        <v>669743</v>
      </c>
      <c r="CI417">
        <v>571771</v>
      </c>
      <c r="CJ417">
        <v>606192</v>
      </c>
      <c r="CK417">
        <v>53.41</v>
      </c>
      <c r="CL417">
        <v>3.6999999999999998E-2</v>
      </c>
      <c r="CM417">
        <v>3.5000000000000003E-2</v>
      </c>
      <c r="CN417">
        <v>0</v>
      </c>
      <c r="CO417">
        <v>1</v>
      </c>
      <c r="CP417">
        <v>0</v>
      </c>
      <c r="CQ417">
        <v>0</v>
      </c>
      <c r="CR417">
        <v>3</v>
      </c>
      <c r="CS417">
        <v>0</v>
      </c>
      <c r="CT417">
        <v>2</v>
      </c>
      <c r="CU417">
        <v>2</v>
      </c>
      <c r="CV417">
        <v>0</v>
      </c>
      <c r="CW417">
        <v>2</v>
      </c>
      <c r="CX417">
        <v>0</v>
      </c>
      <c r="CY417">
        <v>2</v>
      </c>
      <c r="CZ417">
        <v>0</v>
      </c>
      <c r="DA417" t="s">
        <v>107</v>
      </c>
      <c r="DB417" t="s">
        <v>107</v>
      </c>
      <c r="DC417">
        <v>129</v>
      </c>
      <c r="DD417">
        <v>2.1000000000000001E-2</v>
      </c>
      <c r="DE417">
        <v>-0.223</v>
      </c>
      <c r="DF417">
        <v>69.3</v>
      </c>
      <c r="DG417">
        <v>7.4</v>
      </c>
    </row>
    <row r="418" spans="1:111" x14ac:dyDescent="0.2">
      <c r="A418">
        <v>2025</v>
      </c>
      <c r="B418" s="1">
        <v>45959</v>
      </c>
      <c r="C418" t="s">
        <v>95</v>
      </c>
      <c r="D418">
        <v>605483</v>
      </c>
      <c r="E418">
        <v>665926</v>
      </c>
      <c r="F418">
        <v>0</v>
      </c>
      <c r="G418">
        <v>0</v>
      </c>
      <c r="H418">
        <v>2</v>
      </c>
      <c r="I418" t="s">
        <v>96</v>
      </c>
      <c r="J418">
        <v>13</v>
      </c>
      <c r="K418">
        <v>1</v>
      </c>
      <c r="L418" t="s">
        <v>97</v>
      </c>
      <c r="M418" t="s">
        <v>111</v>
      </c>
      <c r="N418" t="s">
        <v>112</v>
      </c>
      <c r="O418">
        <f t="shared" si="96"/>
        <v>0</v>
      </c>
      <c r="P418">
        <f t="shared" si="97"/>
        <v>0</v>
      </c>
      <c r="Q418">
        <f t="shared" si="98"/>
        <v>0</v>
      </c>
      <c r="R418">
        <f t="shared" si="99"/>
        <v>0</v>
      </c>
      <c r="S418">
        <f t="shared" si="100"/>
        <v>0</v>
      </c>
      <c r="T418">
        <f t="shared" si="101"/>
        <v>0</v>
      </c>
      <c r="U418">
        <f t="shared" si="102"/>
        <v>0</v>
      </c>
      <c r="V418">
        <f t="shared" si="103"/>
        <v>1</v>
      </c>
      <c r="W418">
        <f t="shared" si="104"/>
        <v>0</v>
      </c>
      <c r="X418">
        <f t="shared" si="105"/>
        <v>0</v>
      </c>
      <c r="Y418">
        <f t="shared" si="106"/>
        <v>0</v>
      </c>
      <c r="Z418">
        <f t="shared" si="107"/>
        <v>0</v>
      </c>
      <c r="AA418">
        <f t="shared" si="108"/>
        <v>0</v>
      </c>
      <c r="AB418">
        <f t="shared" si="109"/>
        <v>0</v>
      </c>
      <c r="AC418">
        <f t="shared" si="110"/>
        <v>0</v>
      </c>
      <c r="AD418">
        <f t="shared" si="111"/>
        <v>0</v>
      </c>
      <c r="AE418">
        <v>80.7</v>
      </c>
      <c r="AF418">
        <v>1.87</v>
      </c>
      <c r="AG418">
        <v>6.54</v>
      </c>
      <c r="AH418" t="s">
        <v>108</v>
      </c>
      <c r="AI418" t="s">
        <v>97</v>
      </c>
      <c r="AJ418" t="s">
        <v>97</v>
      </c>
      <c r="AK418" t="s">
        <v>97</v>
      </c>
      <c r="AL418" t="s">
        <v>97</v>
      </c>
      <c r="AM418">
        <v>7</v>
      </c>
      <c r="AN418" t="s">
        <v>109</v>
      </c>
      <c r="AO418" t="s">
        <v>213</v>
      </c>
      <c r="AP418" t="s">
        <v>103</v>
      </c>
      <c r="AQ418" t="s">
        <v>103</v>
      </c>
      <c r="AR418" t="s">
        <v>104</v>
      </c>
      <c r="AS418" t="s">
        <v>214</v>
      </c>
      <c r="AT418" t="s">
        <v>110</v>
      </c>
      <c r="AU418" t="s">
        <v>97</v>
      </c>
      <c r="AV418" t="s">
        <v>97</v>
      </c>
      <c r="AW418">
        <v>-1.23</v>
      </c>
      <c r="AX418">
        <v>-0.56999999999999995</v>
      </c>
      <c r="AY418">
        <v>-0.64</v>
      </c>
      <c r="AZ418">
        <v>1.64</v>
      </c>
      <c r="BA418" t="s">
        <v>97</v>
      </c>
      <c r="BB418" t="s">
        <v>97</v>
      </c>
      <c r="BC418">
        <v>680718</v>
      </c>
      <c r="BD418">
        <v>2</v>
      </c>
      <c r="BE418" t="s">
        <v>97</v>
      </c>
      <c r="BF418" t="s">
        <v>97</v>
      </c>
      <c r="BG418" t="s">
        <v>97</v>
      </c>
      <c r="BH418" t="s">
        <v>97</v>
      </c>
      <c r="BI418">
        <v>669257</v>
      </c>
      <c r="BJ418">
        <v>669257</v>
      </c>
      <c r="BK418" t="s">
        <v>97</v>
      </c>
      <c r="BL418" t="s">
        <v>97</v>
      </c>
      <c r="BM418">
        <v>-3.2822588019999999</v>
      </c>
      <c r="BN418">
        <v>-117.5382312</v>
      </c>
      <c r="BO418">
        <v>-3.1697834839999999</v>
      </c>
      <c r="BP418">
        <v>-10.6712685</v>
      </c>
      <c r="BQ418">
        <v>23.24740783</v>
      </c>
      <c r="BR418">
        <v>-37.001197140000002</v>
      </c>
      <c r="BS418">
        <v>3.14</v>
      </c>
      <c r="BT418">
        <v>1.5</v>
      </c>
      <c r="BU418" t="s">
        <v>97</v>
      </c>
      <c r="BV418" t="s">
        <v>97</v>
      </c>
      <c r="BW418" t="s">
        <v>97</v>
      </c>
      <c r="BX418">
        <v>81.2</v>
      </c>
      <c r="BY418">
        <v>2611</v>
      </c>
      <c r="BZ418">
        <v>6.7</v>
      </c>
      <c r="CA418">
        <v>813022</v>
      </c>
      <c r="CB418">
        <v>669257</v>
      </c>
      <c r="CC418">
        <v>669257</v>
      </c>
      <c r="CD418">
        <v>518692</v>
      </c>
      <c r="CE418">
        <v>669242</v>
      </c>
      <c r="CF418">
        <v>571970</v>
      </c>
      <c r="CG418">
        <v>605141</v>
      </c>
      <c r="CH418">
        <v>669743</v>
      </c>
      <c r="CI418">
        <v>571771</v>
      </c>
      <c r="CJ418">
        <v>606192</v>
      </c>
      <c r="CK418">
        <v>53.84</v>
      </c>
      <c r="CL418" t="s">
        <v>97</v>
      </c>
      <c r="CM418" t="s">
        <v>97</v>
      </c>
      <c r="CN418" t="s">
        <v>97</v>
      </c>
      <c r="CO418" t="s">
        <v>97</v>
      </c>
      <c r="CP418" t="s">
        <v>97</v>
      </c>
      <c r="CQ418" t="s">
        <v>97</v>
      </c>
      <c r="CR418" t="s">
        <v>97</v>
      </c>
      <c r="CS418">
        <v>0</v>
      </c>
      <c r="CT418">
        <v>2</v>
      </c>
      <c r="CU418">
        <v>2</v>
      </c>
      <c r="CV418">
        <v>0</v>
      </c>
      <c r="CW418">
        <v>2</v>
      </c>
      <c r="CX418">
        <v>0</v>
      </c>
      <c r="CY418">
        <v>2</v>
      </c>
      <c r="CZ418">
        <v>0</v>
      </c>
      <c r="DA418" t="s">
        <v>107</v>
      </c>
      <c r="DB418" t="s">
        <v>107</v>
      </c>
      <c r="DC418">
        <v>318</v>
      </c>
      <c r="DD418">
        <v>0</v>
      </c>
      <c r="DE418">
        <v>-4.2000000000000003E-2</v>
      </c>
      <c r="DF418" t="s">
        <v>97</v>
      </c>
      <c r="DG418" t="s">
        <v>97</v>
      </c>
    </row>
    <row r="419" spans="1:111" x14ac:dyDescent="0.2">
      <c r="A419">
        <v>2025</v>
      </c>
      <c r="B419" s="1">
        <v>45959</v>
      </c>
      <c r="C419" t="s">
        <v>95</v>
      </c>
      <c r="D419">
        <v>605483</v>
      </c>
      <c r="E419">
        <v>665926</v>
      </c>
      <c r="F419">
        <v>0</v>
      </c>
      <c r="G419">
        <v>1</v>
      </c>
      <c r="H419">
        <v>2</v>
      </c>
      <c r="I419" t="s">
        <v>96</v>
      </c>
      <c r="J419">
        <v>13</v>
      </c>
      <c r="K419">
        <v>2</v>
      </c>
      <c r="L419" t="s">
        <v>97</v>
      </c>
      <c r="M419" t="s">
        <v>138</v>
      </c>
      <c r="N419" t="s">
        <v>139</v>
      </c>
      <c r="O419">
        <f t="shared" si="96"/>
        <v>0</v>
      </c>
      <c r="P419">
        <f t="shared" si="97"/>
        <v>0</v>
      </c>
      <c r="Q419">
        <f t="shared" si="98"/>
        <v>0</v>
      </c>
      <c r="R419">
        <f t="shared" si="99"/>
        <v>0</v>
      </c>
      <c r="S419">
        <f t="shared" si="100"/>
        <v>0</v>
      </c>
      <c r="T419">
        <f t="shared" si="101"/>
        <v>0</v>
      </c>
      <c r="U419">
        <f t="shared" si="102"/>
        <v>0</v>
      </c>
      <c r="V419">
        <f t="shared" si="103"/>
        <v>0</v>
      </c>
      <c r="W419">
        <f t="shared" si="104"/>
        <v>0</v>
      </c>
      <c r="X419">
        <f t="shared" si="105"/>
        <v>0</v>
      </c>
      <c r="Y419">
        <f t="shared" si="106"/>
        <v>0</v>
      </c>
      <c r="Z419">
        <f t="shared" si="107"/>
        <v>0</v>
      </c>
      <c r="AA419">
        <f t="shared" si="108"/>
        <v>0</v>
      </c>
      <c r="AB419">
        <f t="shared" si="109"/>
        <v>1</v>
      </c>
      <c r="AC419">
        <f t="shared" si="110"/>
        <v>0</v>
      </c>
      <c r="AD419">
        <f t="shared" si="111"/>
        <v>0</v>
      </c>
      <c r="AE419">
        <v>90.4</v>
      </c>
      <c r="AF419">
        <v>1.93</v>
      </c>
      <c r="AG419">
        <v>6.54</v>
      </c>
      <c r="AH419" t="s">
        <v>113</v>
      </c>
      <c r="AI419" t="s">
        <v>97</v>
      </c>
      <c r="AJ419" t="s">
        <v>97</v>
      </c>
      <c r="AK419" t="s">
        <v>97</v>
      </c>
      <c r="AL419" t="s">
        <v>97</v>
      </c>
      <c r="AM419">
        <v>4</v>
      </c>
      <c r="AN419" t="s">
        <v>114</v>
      </c>
      <c r="AO419" t="s">
        <v>213</v>
      </c>
      <c r="AP419" t="s">
        <v>103</v>
      </c>
      <c r="AQ419" t="s">
        <v>103</v>
      </c>
      <c r="AR419" t="s">
        <v>104</v>
      </c>
      <c r="AS419" t="s">
        <v>214</v>
      </c>
      <c r="AT419" t="s">
        <v>110</v>
      </c>
      <c r="AU419" t="s">
        <v>97</v>
      </c>
      <c r="AV419" t="s">
        <v>97</v>
      </c>
      <c r="AW419">
        <v>-0.24</v>
      </c>
      <c r="AX419">
        <v>0.67</v>
      </c>
      <c r="AY419">
        <v>-0.57999999999999996</v>
      </c>
      <c r="AZ419">
        <v>2.5499999999999998</v>
      </c>
      <c r="BA419" t="s">
        <v>97</v>
      </c>
      <c r="BB419" t="s">
        <v>97</v>
      </c>
      <c r="BC419">
        <v>680718</v>
      </c>
      <c r="BD419">
        <v>2</v>
      </c>
      <c r="BE419" t="s">
        <v>97</v>
      </c>
      <c r="BF419" t="s">
        <v>97</v>
      </c>
      <c r="BG419" t="s">
        <v>97</v>
      </c>
      <c r="BH419" t="s">
        <v>97</v>
      </c>
      <c r="BI419">
        <v>669257</v>
      </c>
      <c r="BJ419">
        <v>669257</v>
      </c>
      <c r="BK419" t="s">
        <v>97</v>
      </c>
      <c r="BL419" t="s">
        <v>97</v>
      </c>
      <c r="BM419">
        <v>-5.8023298089999997</v>
      </c>
      <c r="BN419">
        <v>-131.51258250000001</v>
      </c>
      <c r="BO419">
        <v>-5.5171266369999996</v>
      </c>
      <c r="BP419">
        <v>-1.6820574189999999</v>
      </c>
      <c r="BQ419">
        <v>25.679685419999998</v>
      </c>
      <c r="BR419">
        <v>-23.410233600000002</v>
      </c>
      <c r="BS419">
        <v>3.25</v>
      </c>
      <c r="BT419">
        <v>1.5</v>
      </c>
      <c r="BU419" t="s">
        <v>97</v>
      </c>
      <c r="BV419" t="s">
        <v>97</v>
      </c>
      <c r="BW419" t="s">
        <v>97</v>
      </c>
      <c r="BX419">
        <v>91.5</v>
      </c>
      <c r="BY419">
        <v>2450</v>
      </c>
      <c r="BZ419">
        <v>6.8</v>
      </c>
      <c r="CA419">
        <v>813022</v>
      </c>
      <c r="CB419">
        <v>669257</v>
      </c>
      <c r="CC419">
        <v>669257</v>
      </c>
      <c r="CD419">
        <v>518692</v>
      </c>
      <c r="CE419">
        <v>669242</v>
      </c>
      <c r="CF419">
        <v>571970</v>
      </c>
      <c r="CG419">
        <v>605141</v>
      </c>
      <c r="CH419">
        <v>669743</v>
      </c>
      <c r="CI419">
        <v>571771</v>
      </c>
      <c r="CJ419">
        <v>606192</v>
      </c>
      <c r="CK419">
        <v>53.73</v>
      </c>
      <c r="CL419" t="s">
        <v>97</v>
      </c>
      <c r="CM419" t="s">
        <v>97</v>
      </c>
      <c r="CN419" t="s">
        <v>97</v>
      </c>
      <c r="CO419" t="s">
        <v>97</v>
      </c>
      <c r="CP419" t="s">
        <v>97</v>
      </c>
      <c r="CQ419" t="s">
        <v>97</v>
      </c>
      <c r="CR419" t="s">
        <v>97</v>
      </c>
      <c r="CS419">
        <v>0</v>
      </c>
      <c r="CT419">
        <v>2</v>
      </c>
      <c r="CU419">
        <v>2</v>
      </c>
      <c r="CV419">
        <v>0</v>
      </c>
      <c r="CW419">
        <v>2</v>
      </c>
      <c r="CX419">
        <v>0</v>
      </c>
      <c r="CY419">
        <v>2</v>
      </c>
      <c r="CZ419">
        <v>0</v>
      </c>
      <c r="DA419" t="s">
        <v>107</v>
      </c>
      <c r="DB419" t="s">
        <v>107</v>
      </c>
      <c r="DC419">
        <v>170</v>
      </c>
      <c r="DD419">
        <v>0</v>
      </c>
      <c r="DE419">
        <v>-5.6000000000000001E-2</v>
      </c>
      <c r="DF419">
        <v>68.099999999999994</v>
      </c>
      <c r="DG419">
        <v>6.8</v>
      </c>
    </row>
    <row r="420" spans="1:111" x14ac:dyDescent="0.2">
      <c r="A420">
        <v>2025</v>
      </c>
      <c r="B420" s="1">
        <v>45959</v>
      </c>
      <c r="C420" t="s">
        <v>95</v>
      </c>
      <c r="D420">
        <v>605483</v>
      </c>
      <c r="E420">
        <v>665926</v>
      </c>
      <c r="F420">
        <v>0</v>
      </c>
      <c r="G420">
        <v>2</v>
      </c>
      <c r="H420">
        <v>2</v>
      </c>
      <c r="I420" t="s">
        <v>96</v>
      </c>
      <c r="J420">
        <v>13</v>
      </c>
      <c r="K420">
        <v>3</v>
      </c>
      <c r="L420" t="s">
        <v>116</v>
      </c>
      <c r="M420" t="s">
        <v>98</v>
      </c>
      <c r="N420" t="s">
        <v>99</v>
      </c>
      <c r="O420">
        <f t="shared" si="96"/>
        <v>1</v>
      </c>
      <c r="P420">
        <f t="shared" si="97"/>
        <v>0</v>
      </c>
      <c r="Q420">
        <f t="shared" si="98"/>
        <v>0</v>
      </c>
      <c r="R420">
        <f t="shared" si="99"/>
        <v>0</v>
      </c>
      <c r="S420">
        <f t="shared" si="100"/>
        <v>0</v>
      </c>
      <c r="T420">
        <f t="shared" si="101"/>
        <v>0</v>
      </c>
      <c r="U420">
        <f t="shared" si="102"/>
        <v>0</v>
      </c>
      <c r="V420">
        <f t="shared" si="103"/>
        <v>0</v>
      </c>
      <c r="W420">
        <f t="shared" si="104"/>
        <v>0</v>
      </c>
      <c r="X420">
        <f t="shared" si="105"/>
        <v>0</v>
      </c>
      <c r="Y420">
        <f t="shared" si="106"/>
        <v>0</v>
      </c>
      <c r="Z420">
        <f t="shared" si="107"/>
        <v>0</v>
      </c>
      <c r="AA420">
        <f t="shared" si="108"/>
        <v>0</v>
      </c>
      <c r="AB420">
        <f t="shared" si="109"/>
        <v>0</v>
      </c>
      <c r="AC420">
        <f t="shared" si="110"/>
        <v>0</v>
      </c>
      <c r="AD420">
        <f t="shared" si="111"/>
        <v>0</v>
      </c>
      <c r="AE420">
        <v>96.9</v>
      </c>
      <c r="AF420">
        <v>1.92</v>
      </c>
      <c r="AG420">
        <v>6.53</v>
      </c>
      <c r="AH420" t="s">
        <v>113</v>
      </c>
      <c r="AI420" t="s">
        <v>97</v>
      </c>
      <c r="AJ420" t="s">
        <v>97</v>
      </c>
      <c r="AK420" t="s">
        <v>97</v>
      </c>
      <c r="AL420" t="s">
        <v>97</v>
      </c>
      <c r="AM420">
        <v>1</v>
      </c>
      <c r="AN420" t="s">
        <v>253</v>
      </c>
      <c r="AO420" t="s">
        <v>213</v>
      </c>
      <c r="AP420" t="s">
        <v>103</v>
      </c>
      <c r="AQ420" t="s">
        <v>103</v>
      </c>
      <c r="AR420" t="s">
        <v>104</v>
      </c>
      <c r="AS420" t="s">
        <v>214</v>
      </c>
      <c r="AT420" t="s">
        <v>110</v>
      </c>
      <c r="AU420">
        <v>2</v>
      </c>
      <c r="AV420" t="s">
        <v>97</v>
      </c>
      <c r="AW420">
        <v>0.46</v>
      </c>
      <c r="AX420">
        <v>1.61</v>
      </c>
      <c r="AY420">
        <v>-0.75</v>
      </c>
      <c r="AZ420">
        <v>3.3</v>
      </c>
      <c r="BA420" t="s">
        <v>97</v>
      </c>
      <c r="BB420" t="s">
        <v>97</v>
      </c>
      <c r="BC420">
        <v>680718</v>
      </c>
      <c r="BD420">
        <v>2</v>
      </c>
      <c r="BE420" t="s">
        <v>97</v>
      </c>
      <c r="BF420" t="s">
        <v>97</v>
      </c>
      <c r="BG420" t="s">
        <v>97</v>
      </c>
      <c r="BH420" t="s">
        <v>97</v>
      </c>
      <c r="BI420">
        <v>669257</v>
      </c>
      <c r="BJ420">
        <v>669257</v>
      </c>
      <c r="BK420" t="s">
        <v>97</v>
      </c>
      <c r="BL420" t="s">
        <v>97</v>
      </c>
      <c r="BM420">
        <v>-8.2762237289999998</v>
      </c>
      <c r="BN420">
        <v>-140.79995600000001</v>
      </c>
      <c r="BO420">
        <v>-6.8125772729999996</v>
      </c>
      <c r="BP420">
        <v>8.0386040530000002</v>
      </c>
      <c r="BQ420">
        <v>32.597647139999999</v>
      </c>
      <c r="BR420">
        <v>-9.3362596139999994</v>
      </c>
      <c r="BS420">
        <v>3.25</v>
      </c>
      <c r="BT420">
        <v>1.5</v>
      </c>
      <c r="BU420" t="s">
        <v>97</v>
      </c>
      <c r="BV420" t="s">
        <v>97</v>
      </c>
      <c r="BW420" t="s">
        <v>97</v>
      </c>
      <c r="BX420">
        <v>97.7</v>
      </c>
      <c r="BY420">
        <v>2562</v>
      </c>
      <c r="BZ420">
        <v>6.9</v>
      </c>
      <c r="CA420">
        <v>813022</v>
      </c>
      <c r="CB420">
        <v>669257</v>
      </c>
      <c r="CC420">
        <v>669257</v>
      </c>
      <c r="CD420">
        <v>518692</v>
      </c>
      <c r="CE420">
        <v>669242</v>
      </c>
      <c r="CF420">
        <v>571970</v>
      </c>
      <c r="CG420">
        <v>605141</v>
      </c>
      <c r="CH420">
        <v>669743</v>
      </c>
      <c r="CI420">
        <v>571771</v>
      </c>
      <c r="CJ420">
        <v>606192</v>
      </c>
      <c r="CK420">
        <v>53.62</v>
      </c>
      <c r="CL420" t="s">
        <v>97</v>
      </c>
      <c r="CM420">
        <v>0</v>
      </c>
      <c r="CN420">
        <v>0</v>
      </c>
      <c r="CO420">
        <v>1</v>
      </c>
      <c r="CP420">
        <v>0</v>
      </c>
      <c r="CQ420">
        <v>0</v>
      </c>
      <c r="CR420" t="s">
        <v>97</v>
      </c>
      <c r="CS420">
        <v>0</v>
      </c>
      <c r="CT420">
        <v>2</v>
      </c>
      <c r="CU420">
        <v>2</v>
      </c>
      <c r="CV420">
        <v>0</v>
      </c>
      <c r="CW420">
        <v>2</v>
      </c>
      <c r="CX420">
        <v>0</v>
      </c>
      <c r="CY420">
        <v>2</v>
      </c>
      <c r="CZ420">
        <v>0</v>
      </c>
      <c r="DA420" t="s">
        <v>115</v>
      </c>
      <c r="DB420" t="s">
        <v>107</v>
      </c>
      <c r="DC420">
        <v>157</v>
      </c>
      <c r="DD420">
        <v>1.7999999999999999E-2</v>
      </c>
      <c r="DE420">
        <v>-0.17399999999999999</v>
      </c>
      <c r="DF420">
        <v>63.5</v>
      </c>
      <c r="DG420">
        <v>5.9</v>
      </c>
    </row>
    <row r="421" spans="1:111" x14ac:dyDescent="0.2">
      <c r="A421">
        <v>2025</v>
      </c>
      <c r="B421" s="1">
        <v>45959</v>
      </c>
      <c r="C421" t="s">
        <v>95</v>
      </c>
      <c r="D421">
        <v>605483</v>
      </c>
      <c r="E421">
        <v>676914</v>
      </c>
      <c r="F421">
        <v>0</v>
      </c>
      <c r="G421">
        <v>0</v>
      </c>
      <c r="H421">
        <v>3</v>
      </c>
      <c r="I421" t="s">
        <v>96</v>
      </c>
      <c r="J421">
        <v>17</v>
      </c>
      <c r="K421">
        <v>1</v>
      </c>
      <c r="L421" t="s">
        <v>97</v>
      </c>
      <c r="M421" t="s">
        <v>98</v>
      </c>
      <c r="N421" t="s">
        <v>99</v>
      </c>
      <c r="O421">
        <f t="shared" si="96"/>
        <v>0</v>
      </c>
      <c r="P421">
        <f t="shared" si="97"/>
        <v>0</v>
      </c>
      <c r="Q421">
        <f t="shared" si="98"/>
        <v>1</v>
      </c>
      <c r="R421">
        <f t="shared" si="99"/>
        <v>0</v>
      </c>
      <c r="S421">
        <f t="shared" si="100"/>
        <v>0</v>
      </c>
      <c r="T421">
        <f t="shared" si="101"/>
        <v>0</v>
      </c>
      <c r="U421">
        <f t="shared" si="102"/>
        <v>0</v>
      </c>
      <c r="V421">
        <f t="shared" si="103"/>
        <v>0</v>
      </c>
      <c r="W421">
        <f t="shared" si="104"/>
        <v>0</v>
      </c>
      <c r="X421">
        <f t="shared" si="105"/>
        <v>0</v>
      </c>
      <c r="Y421">
        <f t="shared" si="106"/>
        <v>0</v>
      </c>
      <c r="Z421">
        <f t="shared" si="107"/>
        <v>0</v>
      </c>
      <c r="AA421">
        <f t="shared" si="108"/>
        <v>0</v>
      </c>
      <c r="AB421">
        <f t="shared" si="109"/>
        <v>0</v>
      </c>
      <c r="AC421">
        <f t="shared" si="110"/>
        <v>0</v>
      </c>
      <c r="AD421">
        <f t="shared" si="111"/>
        <v>0</v>
      </c>
      <c r="AE421">
        <v>95.8</v>
      </c>
      <c r="AF421">
        <v>2.1</v>
      </c>
      <c r="AG421">
        <v>6.51</v>
      </c>
      <c r="AH421" t="s">
        <v>100</v>
      </c>
      <c r="AI421" t="s">
        <v>97</v>
      </c>
      <c r="AJ421" t="s">
        <v>97</v>
      </c>
      <c r="AK421" t="s">
        <v>97</v>
      </c>
      <c r="AL421" t="s">
        <v>97</v>
      </c>
      <c r="AM421">
        <v>12</v>
      </c>
      <c r="AN421" t="s">
        <v>101</v>
      </c>
      <c r="AO421" t="s">
        <v>213</v>
      </c>
      <c r="AP421" t="s">
        <v>122</v>
      </c>
      <c r="AQ421" t="s">
        <v>103</v>
      </c>
      <c r="AR421" t="s">
        <v>104</v>
      </c>
      <c r="AS421" t="s">
        <v>214</v>
      </c>
      <c r="AT421" t="s">
        <v>106</v>
      </c>
      <c r="AU421" t="s">
        <v>97</v>
      </c>
      <c r="AV421" t="s">
        <v>97</v>
      </c>
      <c r="AW421">
        <v>0.36</v>
      </c>
      <c r="AX421">
        <v>1.69</v>
      </c>
      <c r="AY421">
        <v>1.07</v>
      </c>
      <c r="AZ421">
        <v>3.53</v>
      </c>
      <c r="BA421" t="s">
        <v>97</v>
      </c>
      <c r="BB421" t="s">
        <v>97</v>
      </c>
      <c r="BC421" t="s">
        <v>97</v>
      </c>
      <c r="BD421">
        <v>0</v>
      </c>
      <c r="BE421" t="s">
        <v>97</v>
      </c>
      <c r="BF421" t="s">
        <v>97</v>
      </c>
      <c r="BG421" t="s">
        <v>97</v>
      </c>
      <c r="BH421" t="s">
        <v>97</v>
      </c>
      <c r="BI421">
        <v>669257</v>
      </c>
      <c r="BJ421">
        <v>669257</v>
      </c>
      <c r="BK421" t="s">
        <v>97</v>
      </c>
      <c r="BL421" t="s">
        <v>97</v>
      </c>
      <c r="BM421">
        <v>-3.556156514</v>
      </c>
      <c r="BN421">
        <v>-139.43860480000001</v>
      </c>
      <c r="BO421">
        <v>-6.1242501689999997</v>
      </c>
      <c r="BP421">
        <v>5.4538174230000003</v>
      </c>
      <c r="BQ421">
        <v>31.641397210000001</v>
      </c>
      <c r="BR421">
        <v>-8.9076346090000005</v>
      </c>
      <c r="BS421">
        <v>3.05</v>
      </c>
      <c r="BT421">
        <v>1.46</v>
      </c>
      <c r="BU421" t="s">
        <v>97</v>
      </c>
      <c r="BV421" t="s">
        <v>97</v>
      </c>
      <c r="BW421" t="s">
        <v>97</v>
      </c>
      <c r="BX421">
        <v>96.4</v>
      </c>
      <c r="BY421">
        <v>2483</v>
      </c>
      <c r="BZ421">
        <v>6.7</v>
      </c>
      <c r="CA421">
        <v>813022</v>
      </c>
      <c r="CB421">
        <v>669257</v>
      </c>
      <c r="CC421">
        <v>669257</v>
      </c>
      <c r="CD421">
        <v>518692</v>
      </c>
      <c r="CE421">
        <v>669242</v>
      </c>
      <c r="CF421">
        <v>571970</v>
      </c>
      <c r="CG421">
        <v>605141</v>
      </c>
      <c r="CH421">
        <v>669743</v>
      </c>
      <c r="CI421">
        <v>571771</v>
      </c>
      <c r="CJ421">
        <v>606192</v>
      </c>
      <c r="CK421">
        <v>53.84</v>
      </c>
      <c r="CL421" t="s">
        <v>97</v>
      </c>
      <c r="CM421" t="s">
        <v>97</v>
      </c>
      <c r="CN421" t="s">
        <v>97</v>
      </c>
      <c r="CO421" t="s">
        <v>97</v>
      </c>
      <c r="CP421" t="s">
        <v>97</v>
      </c>
      <c r="CQ421" t="s">
        <v>97</v>
      </c>
      <c r="CR421" t="s">
        <v>97</v>
      </c>
      <c r="CS421">
        <v>0</v>
      </c>
      <c r="CT421">
        <v>2</v>
      </c>
      <c r="CU421">
        <v>2</v>
      </c>
      <c r="CV421">
        <v>0</v>
      </c>
      <c r="CW421">
        <v>2</v>
      </c>
      <c r="CX421">
        <v>0</v>
      </c>
      <c r="CY421">
        <v>2</v>
      </c>
      <c r="CZ421">
        <v>0</v>
      </c>
      <c r="DA421" t="s">
        <v>107</v>
      </c>
      <c r="DB421" t="s">
        <v>107</v>
      </c>
      <c r="DC421">
        <v>160</v>
      </c>
      <c r="DD421">
        <v>0</v>
      </c>
      <c r="DE421">
        <v>4.1000000000000002E-2</v>
      </c>
      <c r="DF421" t="s">
        <v>97</v>
      </c>
      <c r="DG421" t="s">
        <v>97</v>
      </c>
    </row>
    <row r="422" spans="1:111" x14ac:dyDescent="0.2">
      <c r="A422">
        <v>2025</v>
      </c>
      <c r="B422" s="1">
        <v>45959</v>
      </c>
      <c r="C422" t="s">
        <v>95</v>
      </c>
      <c r="D422">
        <v>605483</v>
      </c>
      <c r="E422">
        <v>676914</v>
      </c>
      <c r="F422">
        <v>1</v>
      </c>
      <c r="G422">
        <v>0</v>
      </c>
      <c r="H422">
        <v>3</v>
      </c>
      <c r="I422" t="s">
        <v>96</v>
      </c>
      <c r="J422">
        <v>17</v>
      </c>
      <c r="K422">
        <v>2</v>
      </c>
      <c r="L422" t="s">
        <v>97</v>
      </c>
      <c r="M422" t="s">
        <v>132</v>
      </c>
      <c r="N422" t="s">
        <v>133</v>
      </c>
      <c r="O422">
        <f t="shared" si="96"/>
        <v>0</v>
      </c>
      <c r="P422">
        <f t="shared" si="97"/>
        <v>0</v>
      </c>
      <c r="Q422">
        <f t="shared" si="98"/>
        <v>0</v>
      </c>
      <c r="R422">
        <f t="shared" si="99"/>
        <v>0</v>
      </c>
      <c r="S422">
        <f t="shared" si="100"/>
        <v>0</v>
      </c>
      <c r="T422">
        <f t="shared" si="101"/>
        <v>0</v>
      </c>
      <c r="U422">
        <f t="shared" si="102"/>
        <v>0</v>
      </c>
      <c r="V422">
        <f t="shared" si="103"/>
        <v>0</v>
      </c>
      <c r="W422">
        <f t="shared" si="104"/>
        <v>0</v>
      </c>
      <c r="X422">
        <f t="shared" si="105"/>
        <v>0</v>
      </c>
      <c r="Y422">
        <f t="shared" si="106"/>
        <v>1</v>
      </c>
      <c r="Z422">
        <f t="shared" si="107"/>
        <v>0</v>
      </c>
      <c r="AA422">
        <f t="shared" si="108"/>
        <v>0</v>
      </c>
      <c r="AB422">
        <f t="shared" si="109"/>
        <v>0</v>
      </c>
      <c r="AC422">
        <f t="shared" si="110"/>
        <v>0</v>
      </c>
      <c r="AD422">
        <f t="shared" si="111"/>
        <v>0</v>
      </c>
      <c r="AE422">
        <v>85.3</v>
      </c>
      <c r="AF422">
        <v>2.21</v>
      </c>
      <c r="AG422">
        <v>6.3</v>
      </c>
      <c r="AH422" t="s">
        <v>100</v>
      </c>
      <c r="AI422" t="s">
        <v>97</v>
      </c>
      <c r="AJ422" t="s">
        <v>97</v>
      </c>
      <c r="AK422" t="s">
        <v>97</v>
      </c>
      <c r="AL422" t="s">
        <v>97</v>
      </c>
      <c r="AM422">
        <v>14</v>
      </c>
      <c r="AN422" t="s">
        <v>101</v>
      </c>
      <c r="AO422" t="s">
        <v>213</v>
      </c>
      <c r="AP422" t="s">
        <v>122</v>
      </c>
      <c r="AQ422" t="s">
        <v>103</v>
      </c>
      <c r="AR422" t="s">
        <v>104</v>
      </c>
      <c r="AS422" t="s">
        <v>214</v>
      </c>
      <c r="AT422" t="s">
        <v>106</v>
      </c>
      <c r="AU422" t="s">
        <v>97</v>
      </c>
      <c r="AV422" t="s">
        <v>97</v>
      </c>
      <c r="AW422">
        <v>1.25</v>
      </c>
      <c r="AX422">
        <v>0.61</v>
      </c>
      <c r="AY422">
        <v>0.47</v>
      </c>
      <c r="AZ422">
        <v>1.18</v>
      </c>
      <c r="BA422" t="s">
        <v>97</v>
      </c>
      <c r="BB422" t="s">
        <v>97</v>
      </c>
      <c r="BC422" t="s">
        <v>97</v>
      </c>
      <c r="BD422">
        <v>0</v>
      </c>
      <c r="BE422" t="s">
        <v>97</v>
      </c>
      <c r="BF422" t="s">
        <v>97</v>
      </c>
      <c r="BG422" t="s">
        <v>97</v>
      </c>
      <c r="BH422" t="s">
        <v>97</v>
      </c>
      <c r="BI422">
        <v>669257</v>
      </c>
      <c r="BJ422">
        <v>669257</v>
      </c>
      <c r="BK422" t="s">
        <v>97</v>
      </c>
      <c r="BL422" t="s">
        <v>97</v>
      </c>
      <c r="BM422">
        <v>-6.6648674220000004</v>
      </c>
      <c r="BN422">
        <v>-123.964461</v>
      </c>
      <c r="BO422">
        <v>-7.0135150020000001</v>
      </c>
      <c r="BP422">
        <v>14.24748355</v>
      </c>
      <c r="BQ422">
        <v>24.267388520000001</v>
      </c>
      <c r="BR422">
        <v>-24.71533165</v>
      </c>
      <c r="BS422">
        <v>3.17</v>
      </c>
      <c r="BT422">
        <v>1.46</v>
      </c>
      <c r="BU422" t="s">
        <v>97</v>
      </c>
      <c r="BV422" t="s">
        <v>97</v>
      </c>
      <c r="BW422" t="s">
        <v>97</v>
      </c>
      <c r="BX422">
        <v>86</v>
      </c>
      <c r="BY422">
        <v>1805</v>
      </c>
      <c r="BZ422">
        <v>6.8</v>
      </c>
      <c r="CA422">
        <v>813022</v>
      </c>
      <c r="CB422">
        <v>669257</v>
      </c>
      <c r="CC422">
        <v>669257</v>
      </c>
      <c r="CD422">
        <v>518692</v>
      </c>
      <c r="CE422">
        <v>669242</v>
      </c>
      <c r="CF422">
        <v>571970</v>
      </c>
      <c r="CG422">
        <v>605141</v>
      </c>
      <c r="CH422">
        <v>669743</v>
      </c>
      <c r="CI422">
        <v>571771</v>
      </c>
      <c r="CJ422">
        <v>606192</v>
      </c>
      <c r="CK422">
        <v>53.75</v>
      </c>
      <c r="CL422" t="s">
        <v>97</v>
      </c>
      <c r="CM422" t="s">
        <v>97</v>
      </c>
      <c r="CN422" t="s">
        <v>97</v>
      </c>
      <c r="CO422" t="s">
        <v>97</v>
      </c>
      <c r="CP422" t="s">
        <v>97</v>
      </c>
      <c r="CQ422" t="s">
        <v>97</v>
      </c>
      <c r="CR422" t="s">
        <v>97</v>
      </c>
      <c r="CS422">
        <v>0</v>
      </c>
      <c r="CT422">
        <v>2</v>
      </c>
      <c r="CU422">
        <v>2</v>
      </c>
      <c r="CV422">
        <v>0</v>
      </c>
      <c r="CW422">
        <v>2</v>
      </c>
      <c r="CX422">
        <v>0</v>
      </c>
      <c r="CY422">
        <v>2</v>
      </c>
      <c r="CZ422">
        <v>0</v>
      </c>
      <c r="DA422" t="s">
        <v>107</v>
      </c>
      <c r="DB422" t="s">
        <v>107</v>
      </c>
      <c r="DC422">
        <v>131</v>
      </c>
      <c r="DD422">
        <v>0</v>
      </c>
      <c r="DE422">
        <v>7.6999999999999999E-2</v>
      </c>
      <c r="DF422" t="s">
        <v>97</v>
      </c>
      <c r="DG422" t="s">
        <v>97</v>
      </c>
    </row>
    <row r="423" spans="1:111" x14ac:dyDescent="0.2">
      <c r="A423">
        <v>2025</v>
      </c>
      <c r="B423" s="1">
        <v>45959</v>
      </c>
      <c r="C423" t="s">
        <v>95</v>
      </c>
      <c r="D423">
        <v>605483</v>
      </c>
      <c r="E423">
        <v>676914</v>
      </c>
      <c r="F423">
        <v>2</v>
      </c>
      <c r="G423">
        <v>0</v>
      </c>
      <c r="H423">
        <v>3</v>
      </c>
      <c r="I423" t="s">
        <v>96</v>
      </c>
      <c r="J423">
        <v>17</v>
      </c>
      <c r="K423">
        <v>3</v>
      </c>
      <c r="L423" t="s">
        <v>97</v>
      </c>
      <c r="M423" t="s">
        <v>111</v>
      </c>
      <c r="N423" t="s">
        <v>112</v>
      </c>
      <c r="O423">
        <f t="shared" si="96"/>
        <v>0</v>
      </c>
      <c r="P423">
        <f t="shared" si="97"/>
        <v>0</v>
      </c>
      <c r="Q423">
        <f t="shared" si="98"/>
        <v>0</v>
      </c>
      <c r="R423">
        <f t="shared" si="99"/>
        <v>0</v>
      </c>
      <c r="S423">
        <f t="shared" si="100"/>
        <v>0</v>
      </c>
      <c r="T423">
        <f t="shared" si="101"/>
        <v>1</v>
      </c>
      <c r="U423">
        <f t="shared" si="102"/>
        <v>0</v>
      </c>
      <c r="V423">
        <f t="shared" si="103"/>
        <v>0</v>
      </c>
      <c r="W423">
        <f t="shared" si="104"/>
        <v>0</v>
      </c>
      <c r="X423">
        <f t="shared" si="105"/>
        <v>0</v>
      </c>
      <c r="Y423">
        <f t="shared" si="106"/>
        <v>0</v>
      </c>
      <c r="Z423">
        <f t="shared" si="107"/>
        <v>0</v>
      </c>
      <c r="AA423">
        <f t="shared" si="108"/>
        <v>0</v>
      </c>
      <c r="AB423">
        <f t="shared" si="109"/>
        <v>0</v>
      </c>
      <c r="AC423">
        <f t="shared" si="110"/>
        <v>0</v>
      </c>
      <c r="AD423">
        <f t="shared" si="111"/>
        <v>0</v>
      </c>
      <c r="AE423">
        <v>80</v>
      </c>
      <c r="AF423">
        <v>1.99</v>
      </c>
      <c r="AG423">
        <v>6.58</v>
      </c>
      <c r="AH423" t="s">
        <v>129</v>
      </c>
      <c r="AI423" t="s">
        <v>97</v>
      </c>
      <c r="AJ423" t="s">
        <v>97</v>
      </c>
      <c r="AK423" t="s">
        <v>97</v>
      </c>
      <c r="AL423" t="s">
        <v>97</v>
      </c>
      <c r="AM423">
        <v>9</v>
      </c>
      <c r="AN423" t="s">
        <v>130</v>
      </c>
      <c r="AO423" t="s">
        <v>213</v>
      </c>
      <c r="AP423" t="s">
        <v>122</v>
      </c>
      <c r="AQ423" t="s">
        <v>103</v>
      </c>
      <c r="AR423" t="s">
        <v>104</v>
      </c>
      <c r="AS423" t="s">
        <v>214</v>
      </c>
      <c r="AT423" t="s">
        <v>110</v>
      </c>
      <c r="AU423" t="s">
        <v>97</v>
      </c>
      <c r="AV423" t="s">
        <v>97</v>
      </c>
      <c r="AW423">
        <v>-0.7</v>
      </c>
      <c r="AX423">
        <v>-0.56999999999999995</v>
      </c>
      <c r="AY423">
        <v>0.35</v>
      </c>
      <c r="AZ423">
        <v>1.5</v>
      </c>
      <c r="BA423" t="s">
        <v>97</v>
      </c>
      <c r="BB423" t="s">
        <v>97</v>
      </c>
      <c r="BC423" t="s">
        <v>97</v>
      </c>
      <c r="BD423">
        <v>0</v>
      </c>
      <c r="BE423" t="s">
        <v>97</v>
      </c>
      <c r="BF423" t="s">
        <v>97</v>
      </c>
      <c r="BG423" t="s">
        <v>97</v>
      </c>
      <c r="BH423" t="s">
        <v>97</v>
      </c>
      <c r="BI423">
        <v>669257</v>
      </c>
      <c r="BJ423">
        <v>669257</v>
      </c>
      <c r="BK423" t="s">
        <v>97</v>
      </c>
      <c r="BL423" t="s">
        <v>97</v>
      </c>
      <c r="BM423">
        <v>-2.3021079680000001</v>
      </c>
      <c r="BN423">
        <v>-116.6060403</v>
      </c>
      <c r="BO423">
        <v>-3.4698668160000001</v>
      </c>
      <c r="BP423">
        <v>-5.9803822240000004</v>
      </c>
      <c r="BQ423">
        <v>20.935662440000002</v>
      </c>
      <c r="BR423">
        <v>-37.005716380000003</v>
      </c>
      <c r="BS423">
        <v>3.11</v>
      </c>
      <c r="BT423">
        <v>1.52</v>
      </c>
      <c r="BU423" t="s">
        <v>97</v>
      </c>
      <c r="BV423" t="s">
        <v>97</v>
      </c>
      <c r="BW423" t="s">
        <v>97</v>
      </c>
      <c r="BX423">
        <v>80.7</v>
      </c>
      <c r="BY423">
        <v>2744</v>
      </c>
      <c r="BZ423">
        <v>6.5</v>
      </c>
      <c r="CA423">
        <v>813022</v>
      </c>
      <c r="CB423">
        <v>669257</v>
      </c>
      <c r="CC423">
        <v>669257</v>
      </c>
      <c r="CD423">
        <v>518692</v>
      </c>
      <c r="CE423">
        <v>669242</v>
      </c>
      <c r="CF423">
        <v>571970</v>
      </c>
      <c r="CG423">
        <v>605141</v>
      </c>
      <c r="CH423">
        <v>669743</v>
      </c>
      <c r="CI423">
        <v>571771</v>
      </c>
      <c r="CJ423">
        <v>606192</v>
      </c>
      <c r="CK423">
        <v>53.95</v>
      </c>
      <c r="CL423" t="s">
        <v>97</v>
      </c>
      <c r="CM423" t="s">
        <v>97</v>
      </c>
      <c r="CN423" t="s">
        <v>97</v>
      </c>
      <c r="CO423" t="s">
        <v>97</v>
      </c>
      <c r="CP423" t="s">
        <v>97</v>
      </c>
      <c r="CQ423" t="s">
        <v>97</v>
      </c>
      <c r="CR423" t="s">
        <v>97</v>
      </c>
      <c r="CS423">
        <v>0</v>
      </c>
      <c r="CT423">
        <v>2</v>
      </c>
      <c r="CU423">
        <v>2</v>
      </c>
      <c r="CV423">
        <v>0</v>
      </c>
      <c r="CW423">
        <v>2</v>
      </c>
      <c r="CX423">
        <v>0</v>
      </c>
      <c r="CY423">
        <v>2</v>
      </c>
      <c r="CZ423">
        <v>0</v>
      </c>
      <c r="DA423" t="s">
        <v>107</v>
      </c>
      <c r="DB423" t="s">
        <v>107</v>
      </c>
      <c r="DC423">
        <v>326</v>
      </c>
      <c r="DD423">
        <v>0</v>
      </c>
      <c r="DE423">
        <v>-7.2999999999999995E-2</v>
      </c>
      <c r="DF423">
        <v>67.3</v>
      </c>
      <c r="DG423">
        <v>7.8</v>
      </c>
    </row>
    <row r="424" spans="1:111" x14ac:dyDescent="0.2">
      <c r="A424">
        <v>2025</v>
      </c>
      <c r="B424" s="1">
        <v>45959</v>
      </c>
      <c r="C424" t="s">
        <v>95</v>
      </c>
      <c r="D424">
        <v>605483</v>
      </c>
      <c r="E424">
        <v>676914</v>
      </c>
      <c r="F424">
        <v>2</v>
      </c>
      <c r="G424">
        <v>1</v>
      </c>
      <c r="H424">
        <v>3</v>
      </c>
      <c r="I424" t="s">
        <v>96</v>
      </c>
      <c r="J424">
        <v>17</v>
      </c>
      <c r="K424">
        <v>4</v>
      </c>
      <c r="L424" t="s">
        <v>97</v>
      </c>
      <c r="M424" t="s">
        <v>98</v>
      </c>
      <c r="N424" t="s">
        <v>99</v>
      </c>
      <c r="O424">
        <f t="shared" si="96"/>
        <v>0</v>
      </c>
      <c r="P424">
        <f t="shared" si="97"/>
        <v>0</v>
      </c>
      <c r="Q424">
        <f t="shared" si="98"/>
        <v>1</v>
      </c>
      <c r="R424">
        <f t="shared" si="99"/>
        <v>0</v>
      </c>
      <c r="S424">
        <f t="shared" si="100"/>
        <v>0</v>
      </c>
      <c r="T424">
        <f t="shared" si="101"/>
        <v>0</v>
      </c>
      <c r="U424">
        <f t="shared" si="102"/>
        <v>0</v>
      </c>
      <c r="V424">
        <f t="shared" si="103"/>
        <v>0</v>
      </c>
      <c r="W424">
        <f t="shared" si="104"/>
        <v>0</v>
      </c>
      <c r="X424">
        <f t="shared" si="105"/>
        <v>0</v>
      </c>
      <c r="Y424">
        <f t="shared" si="106"/>
        <v>0</v>
      </c>
      <c r="Z424">
        <f t="shared" si="107"/>
        <v>0</v>
      </c>
      <c r="AA424">
        <f t="shared" si="108"/>
        <v>0</v>
      </c>
      <c r="AB424">
        <f t="shared" si="109"/>
        <v>0</v>
      </c>
      <c r="AC424">
        <f t="shared" si="110"/>
        <v>0</v>
      </c>
      <c r="AD424">
        <f t="shared" si="111"/>
        <v>0</v>
      </c>
      <c r="AE424">
        <v>96.1</v>
      </c>
      <c r="AF424">
        <v>2.08</v>
      </c>
      <c r="AG424">
        <v>6.51</v>
      </c>
      <c r="AH424" t="s">
        <v>100</v>
      </c>
      <c r="AI424" t="s">
        <v>97</v>
      </c>
      <c r="AJ424" t="s">
        <v>97</v>
      </c>
      <c r="AK424" t="s">
        <v>97</v>
      </c>
      <c r="AL424" t="s">
        <v>97</v>
      </c>
      <c r="AM424">
        <v>12</v>
      </c>
      <c r="AN424" t="s">
        <v>101</v>
      </c>
      <c r="AO424" t="s">
        <v>213</v>
      </c>
      <c r="AP424" t="s">
        <v>122</v>
      </c>
      <c r="AQ424" t="s">
        <v>103</v>
      </c>
      <c r="AR424" t="s">
        <v>104</v>
      </c>
      <c r="AS424" t="s">
        <v>214</v>
      </c>
      <c r="AT424" t="s">
        <v>106</v>
      </c>
      <c r="AU424" t="s">
        <v>97</v>
      </c>
      <c r="AV424" t="s">
        <v>97</v>
      </c>
      <c r="AW424">
        <v>0.25</v>
      </c>
      <c r="AX424">
        <v>1.6</v>
      </c>
      <c r="AY424">
        <v>0.99</v>
      </c>
      <c r="AZ424">
        <v>3.34</v>
      </c>
      <c r="BA424" t="s">
        <v>97</v>
      </c>
      <c r="BB424" t="s">
        <v>97</v>
      </c>
      <c r="BC424" t="s">
        <v>97</v>
      </c>
      <c r="BD424">
        <v>0</v>
      </c>
      <c r="BE424" t="s">
        <v>97</v>
      </c>
      <c r="BF424" t="s">
        <v>97</v>
      </c>
      <c r="BG424" t="s">
        <v>97</v>
      </c>
      <c r="BH424" t="s">
        <v>97</v>
      </c>
      <c r="BI424">
        <v>669257</v>
      </c>
      <c r="BJ424">
        <v>669257</v>
      </c>
      <c r="BK424" t="s">
        <v>97</v>
      </c>
      <c r="BL424" t="s">
        <v>97</v>
      </c>
      <c r="BM424">
        <v>-3.4902204449999998</v>
      </c>
      <c r="BN424">
        <v>-139.9080519</v>
      </c>
      <c r="BO424">
        <v>-6.5075832240000002</v>
      </c>
      <c r="BP424">
        <v>4.1302718819999997</v>
      </c>
      <c r="BQ424">
        <v>31.226231869999999</v>
      </c>
      <c r="BR424">
        <v>-9.8545243800000009</v>
      </c>
      <c r="BS424">
        <v>3.11</v>
      </c>
      <c r="BT424">
        <v>1.46</v>
      </c>
      <c r="BU424" t="s">
        <v>97</v>
      </c>
      <c r="BV424" t="s">
        <v>97</v>
      </c>
      <c r="BW424" t="s">
        <v>97</v>
      </c>
      <c r="BX424">
        <v>97</v>
      </c>
      <c r="BY424">
        <v>2529</v>
      </c>
      <c r="BZ424">
        <v>6.7</v>
      </c>
      <c r="CA424">
        <v>813022</v>
      </c>
      <c r="CB424">
        <v>669257</v>
      </c>
      <c r="CC424">
        <v>669257</v>
      </c>
      <c r="CD424">
        <v>518692</v>
      </c>
      <c r="CE424">
        <v>669242</v>
      </c>
      <c r="CF424">
        <v>571970</v>
      </c>
      <c r="CG424">
        <v>605141</v>
      </c>
      <c r="CH424">
        <v>669743</v>
      </c>
      <c r="CI424">
        <v>571771</v>
      </c>
      <c r="CJ424">
        <v>606192</v>
      </c>
      <c r="CK424">
        <v>53.76</v>
      </c>
      <c r="CL424" t="s">
        <v>97</v>
      </c>
      <c r="CM424" t="s">
        <v>97</v>
      </c>
      <c r="CN424" t="s">
        <v>97</v>
      </c>
      <c r="CO424" t="s">
        <v>97</v>
      </c>
      <c r="CP424" t="s">
        <v>97</v>
      </c>
      <c r="CQ424" t="s">
        <v>97</v>
      </c>
      <c r="CR424" t="s">
        <v>97</v>
      </c>
      <c r="CS424">
        <v>0</v>
      </c>
      <c r="CT424">
        <v>2</v>
      </c>
      <c r="CU424">
        <v>2</v>
      </c>
      <c r="CV424">
        <v>0</v>
      </c>
      <c r="CW424">
        <v>2</v>
      </c>
      <c r="CX424">
        <v>0</v>
      </c>
      <c r="CY424">
        <v>2</v>
      </c>
      <c r="CZ424">
        <v>0</v>
      </c>
      <c r="DA424" t="s">
        <v>107</v>
      </c>
      <c r="DB424" t="s">
        <v>107</v>
      </c>
      <c r="DC424">
        <v>161</v>
      </c>
      <c r="DD424">
        <v>0</v>
      </c>
      <c r="DE424">
        <v>0.13400000000000001</v>
      </c>
      <c r="DF424" t="s">
        <v>97</v>
      </c>
      <c r="DG424" t="s">
        <v>97</v>
      </c>
    </row>
    <row r="425" spans="1:111" x14ac:dyDescent="0.2">
      <c r="A425">
        <v>2025</v>
      </c>
      <c r="B425" s="1">
        <v>45959</v>
      </c>
      <c r="C425" t="s">
        <v>95</v>
      </c>
      <c r="D425">
        <v>605483</v>
      </c>
      <c r="E425">
        <v>676914</v>
      </c>
      <c r="F425">
        <v>3</v>
      </c>
      <c r="G425">
        <v>1</v>
      </c>
      <c r="H425">
        <v>3</v>
      </c>
      <c r="I425" t="s">
        <v>96</v>
      </c>
      <c r="J425">
        <v>17</v>
      </c>
      <c r="K425">
        <v>5</v>
      </c>
      <c r="L425" t="s">
        <v>97</v>
      </c>
      <c r="M425" t="s">
        <v>132</v>
      </c>
      <c r="N425" t="s">
        <v>133</v>
      </c>
      <c r="O425">
        <f t="shared" si="96"/>
        <v>0</v>
      </c>
      <c r="P425">
        <f t="shared" si="97"/>
        <v>0</v>
      </c>
      <c r="Q425">
        <f t="shared" si="98"/>
        <v>0</v>
      </c>
      <c r="R425">
        <f t="shared" si="99"/>
        <v>0</v>
      </c>
      <c r="S425">
        <f t="shared" si="100"/>
        <v>0</v>
      </c>
      <c r="T425">
        <f t="shared" si="101"/>
        <v>0</v>
      </c>
      <c r="U425">
        <f t="shared" si="102"/>
        <v>0</v>
      </c>
      <c r="V425">
        <f t="shared" si="103"/>
        <v>0</v>
      </c>
      <c r="W425">
        <f t="shared" si="104"/>
        <v>0</v>
      </c>
      <c r="X425">
        <f t="shared" si="105"/>
        <v>1</v>
      </c>
      <c r="Y425">
        <f t="shared" si="106"/>
        <v>0</v>
      </c>
      <c r="Z425">
        <f t="shared" si="107"/>
        <v>0</v>
      </c>
      <c r="AA425">
        <f t="shared" si="108"/>
        <v>0</v>
      </c>
      <c r="AB425">
        <f t="shared" si="109"/>
        <v>0</v>
      </c>
      <c r="AC425">
        <f t="shared" si="110"/>
        <v>0</v>
      </c>
      <c r="AD425">
        <f t="shared" si="111"/>
        <v>0</v>
      </c>
      <c r="AE425">
        <v>87.7</v>
      </c>
      <c r="AF425">
        <v>2.19</v>
      </c>
      <c r="AG425">
        <v>6.4</v>
      </c>
      <c r="AH425" t="s">
        <v>108</v>
      </c>
      <c r="AI425" t="s">
        <v>97</v>
      </c>
      <c r="AJ425" t="s">
        <v>97</v>
      </c>
      <c r="AK425" t="s">
        <v>97</v>
      </c>
      <c r="AL425" t="s">
        <v>97</v>
      </c>
      <c r="AM425">
        <v>3</v>
      </c>
      <c r="AN425" t="s">
        <v>109</v>
      </c>
      <c r="AO425" t="s">
        <v>213</v>
      </c>
      <c r="AP425" t="s">
        <v>122</v>
      </c>
      <c r="AQ425" t="s">
        <v>103</v>
      </c>
      <c r="AR425" t="s">
        <v>104</v>
      </c>
      <c r="AS425" t="s">
        <v>214</v>
      </c>
      <c r="AT425" t="s">
        <v>110</v>
      </c>
      <c r="AU425" t="s">
        <v>97</v>
      </c>
      <c r="AV425" t="s">
        <v>97</v>
      </c>
      <c r="AW425">
        <v>1.2</v>
      </c>
      <c r="AX425">
        <v>0.9</v>
      </c>
      <c r="AY425">
        <v>0.48</v>
      </c>
      <c r="AZ425">
        <v>3.02</v>
      </c>
      <c r="BA425" t="s">
        <v>97</v>
      </c>
      <c r="BB425" t="s">
        <v>97</v>
      </c>
      <c r="BC425" t="s">
        <v>97</v>
      </c>
      <c r="BD425">
        <v>0</v>
      </c>
      <c r="BE425" t="s">
        <v>97</v>
      </c>
      <c r="BF425" t="s">
        <v>97</v>
      </c>
      <c r="BG425" t="s">
        <v>97</v>
      </c>
      <c r="BH425" t="s">
        <v>97</v>
      </c>
      <c r="BI425">
        <v>669257</v>
      </c>
      <c r="BJ425">
        <v>669257</v>
      </c>
      <c r="BK425" t="s">
        <v>97</v>
      </c>
      <c r="BL425" t="s">
        <v>97</v>
      </c>
      <c r="BM425">
        <v>-6.6626723239999999</v>
      </c>
      <c r="BN425">
        <v>-127.5634453</v>
      </c>
      <c r="BO425">
        <v>-3.9212038690000002</v>
      </c>
      <c r="BP425">
        <v>14.46451573</v>
      </c>
      <c r="BQ425">
        <v>25.947254539999999</v>
      </c>
      <c r="BR425">
        <v>-21.743713799999998</v>
      </c>
      <c r="BS425">
        <v>3.05</v>
      </c>
      <c r="BT425">
        <v>1.46</v>
      </c>
      <c r="BU425" t="s">
        <v>97</v>
      </c>
      <c r="BV425" t="s">
        <v>97</v>
      </c>
      <c r="BW425" t="s">
        <v>97</v>
      </c>
      <c r="BX425">
        <v>88.3</v>
      </c>
      <c r="BY425">
        <v>1916</v>
      </c>
      <c r="BZ425">
        <v>6.7</v>
      </c>
      <c r="CA425">
        <v>813022</v>
      </c>
      <c r="CB425">
        <v>669257</v>
      </c>
      <c r="CC425">
        <v>669257</v>
      </c>
      <c r="CD425">
        <v>518692</v>
      </c>
      <c r="CE425">
        <v>669242</v>
      </c>
      <c r="CF425">
        <v>571970</v>
      </c>
      <c r="CG425">
        <v>605141</v>
      </c>
      <c r="CH425">
        <v>669743</v>
      </c>
      <c r="CI425">
        <v>571771</v>
      </c>
      <c r="CJ425">
        <v>606192</v>
      </c>
      <c r="CK425">
        <v>53.81</v>
      </c>
      <c r="CL425" t="s">
        <v>97</v>
      </c>
      <c r="CM425" t="s">
        <v>97</v>
      </c>
      <c r="CN425" t="s">
        <v>97</v>
      </c>
      <c r="CO425" t="s">
        <v>97</v>
      </c>
      <c r="CP425" t="s">
        <v>97</v>
      </c>
      <c r="CQ425" t="s">
        <v>97</v>
      </c>
      <c r="CR425" t="s">
        <v>97</v>
      </c>
      <c r="CS425">
        <v>0</v>
      </c>
      <c r="CT425">
        <v>2</v>
      </c>
      <c r="CU425">
        <v>2</v>
      </c>
      <c r="CV425">
        <v>0</v>
      </c>
      <c r="CW425">
        <v>2</v>
      </c>
      <c r="CX425">
        <v>0</v>
      </c>
      <c r="CY425">
        <v>2</v>
      </c>
      <c r="CZ425">
        <v>0</v>
      </c>
      <c r="DA425" t="s">
        <v>107</v>
      </c>
      <c r="DB425" t="s">
        <v>107</v>
      </c>
      <c r="DC425">
        <v>134</v>
      </c>
      <c r="DD425">
        <v>0</v>
      </c>
      <c r="DE425">
        <v>-9.4E-2</v>
      </c>
      <c r="DF425" t="s">
        <v>97</v>
      </c>
      <c r="DG425" t="s">
        <v>97</v>
      </c>
    </row>
    <row r="426" spans="1:111" x14ac:dyDescent="0.2">
      <c r="A426">
        <v>2025</v>
      </c>
      <c r="B426" s="1">
        <v>45959</v>
      </c>
      <c r="C426" t="s">
        <v>95</v>
      </c>
      <c r="D426">
        <v>605483</v>
      </c>
      <c r="E426">
        <v>676914</v>
      </c>
      <c r="F426">
        <v>3</v>
      </c>
      <c r="G426">
        <v>2</v>
      </c>
      <c r="H426">
        <v>3</v>
      </c>
      <c r="I426" t="s">
        <v>96</v>
      </c>
      <c r="J426">
        <v>17</v>
      </c>
      <c r="K426">
        <v>6</v>
      </c>
      <c r="L426" t="s">
        <v>116</v>
      </c>
      <c r="M426" t="s">
        <v>98</v>
      </c>
      <c r="N426" t="s">
        <v>99</v>
      </c>
      <c r="O426">
        <f t="shared" si="96"/>
        <v>1</v>
      </c>
      <c r="P426">
        <f t="shared" si="97"/>
        <v>0</v>
      </c>
      <c r="Q426">
        <f t="shared" si="98"/>
        <v>0</v>
      </c>
      <c r="R426">
        <f t="shared" si="99"/>
        <v>0</v>
      </c>
      <c r="S426">
        <f t="shared" si="100"/>
        <v>0</v>
      </c>
      <c r="T426">
        <f t="shared" si="101"/>
        <v>0</v>
      </c>
      <c r="U426">
        <f t="shared" si="102"/>
        <v>0</v>
      </c>
      <c r="V426">
        <f t="shared" si="103"/>
        <v>0</v>
      </c>
      <c r="W426">
        <f t="shared" si="104"/>
        <v>0</v>
      </c>
      <c r="X426">
        <f t="shared" si="105"/>
        <v>0</v>
      </c>
      <c r="Y426">
        <f t="shared" si="106"/>
        <v>0</v>
      </c>
      <c r="Z426">
        <f t="shared" si="107"/>
        <v>0</v>
      </c>
      <c r="AA426">
        <f t="shared" si="108"/>
        <v>0</v>
      </c>
      <c r="AB426">
        <f t="shared" si="109"/>
        <v>0</v>
      </c>
      <c r="AC426">
        <f t="shared" si="110"/>
        <v>0</v>
      </c>
      <c r="AD426">
        <f t="shared" si="111"/>
        <v>0</v>
      </c>
      <c r="AE426">
        <v>97.2</v>
      </c>
      <c r="AF426">
        <v>2.06</v>
      </c>
      <c r="AG426">
        <v>6.47</v>
      </c>
      <c r="AH426" t="s">
        <v>113</v>
      </c>
      <c r="AI426" t="s">
        <v>97</v>
      </c>
      <c r="AJ426" t="s">
        <v>97</v>
      </c>
      <c r="AK426" t="s">
        <v>97</v>
      </c>
      <c r="AL426" t="s">
        <v>97</v>
      </c>
      <c r="AM426">
        <v>2</v>
      </c>
      <c r="AN426" t="s">
        <v>226</v>
      </c>
      <c r="AO426" t="s">
        <v>213</v>
      </c>
      <c r="AP426" t="s">
        <v>122</v>
      </c>
      <c r="AQ426" t="s">
        <v>103</v>
      </c>
      <c r="AR426" t="s">
        <v>104</v>
      </c>
      <c r="AS426" t="s">
        <v>214</v>
      </c>
      <c r="AT426" t="s">
        <v>110</v>
      </c>
      <c r="AU426">
        <v>2</v>
      </c>
      <c r="AV426" t="s">
        <v>97</v>
      </c>
      <c r="AW426">
        <v>0.15</v>
      </c>
      <c r="AX426">
        <v>1.62</v>
      </c>
      <c r="AY426">
        <v>0.15</v>
      </c>
      <c r="AZ426">
        <v>3.01</v>
      </c>
      <c r="BA426" t="s">
        <v>97</v>
      </c>
      <c r="BB426" t="s">
        <v>97</v>
      </c>
      <c r="BC426" t="s">
        <v>97</v>
      </c>
      <c r="BD426">
        <v>0</v>
      </c>
      <c r="BE426" t="s">
        <v>97</v>
      </c>
      <c r="BF426" t="s">
        <v>97</v>
      </c>
      <c r="BG426" t="s">
        <v>97</v>
      </c>
      <c r="BH426" t="s">
        <v>97</v>
      </c>
      <c r="BI426">
        <v>669257</v>
      </c>
      <c r="BJ426">
        <v>669257</v>
      </c>
      <c r="BK426" t="s">
        <v>97</v>
      </c>
      <c r="BL426" t="s">
        <v>97</v>
      </c>
      <c r="BM426">
        <v>-5.5140946749999999</v>
      </c>
      <c r="BN426">
        <v>-141.33702840000001</v>
      </c>
      <c r="BO426">
        <v>-7.5147445700000004</v>
      </c>
      <c r="BP426">
        <v>3.3234545170000001</v>
      </c>
      <c r="BQ426">
        <v>32.938123089999998</v>
      </c>
      <c r="BR426">
        <v>-8.9867676200000002</v>
      </c>
      <c r="BS426">
        <v>3.11</v>
      </c>
      <c r="BT426">
        <v>1.52</v>
      </c>
      <c r="BU426" t="s">
        <v>97</v>
      </c>
      <c r="BV426" t="s">
        <v>97</v>
      </c>
      <c r="BW426" t="s">
        <v>97</v>
      </c>
      <c r="BX426">
        <v>98</v>
      </c>
      <c r="BY426">
        <v>2594</v>
      </c>
      <c r="BZ426">
        <v>6.8</v>
      </c>
      <c r="CA426">
        <v>813022</v>
      </c>
      <c r="CB426">
        <v>669257</v>
      </c>
      <c r="CC426">
        <v>669257</v>
      </c>
      <c r="CD426">
        <v>518692</v>
      </c>
      <c r="CE426">
        <v>669242</v>
      </c>
      <c r="CF426">
        <v>571970</v>
      </c>
      <c r="CG426">
        <v>605141</v>
      </c>
      <c r="CH426">
        <v>669743</v>
      </c>
      <c r="CI426">
        <v>571771</v>
      </c>
      <c r="CJ426">
        <v>606192</v>
      </c>
      <c r="CK426">
        <v>53.66</v>
      </c>
      <c r="CL426" t="s">
        <v>97</v>
      </c>
      <c r="CM426">
        <v>0</v>
      </c>
      <c r="CN426">
        <v>0</v>
      </c>
      <c r="CO426">
        <v>1</v>
      </c>
      <c r="CP426">
        <v>0</v>
      </c>
      <c r="CQ426">
        <v>0</v>
      </c>
      <c r="CR426" t="s">
        <v>97</v>
      </c>
      <c r="CS426">
        <v>0</v>
      </c>
      <c r="CT426">
        <v>2</v>
      </c>
      <c r="CU426">
        <v>2</v>
      </c>
      <c r="CV426">
        <v>0</v>
      </c>
      <c r="CW426">
        <v>2</v>
      </c>
      <c r="CX426">
        <v>0</v>
      </c>
      <c r="CY426">
        <v>2</v>
      </c>
      <c r="CZ426">
        <v>0</v>
      </c>
      <c r="DA426" t="s">
        <v>107</v>
      </c>
      <c r="DB426" t="s">
        <v>107</v>
      </c>
      <c r="DC426">
        <v>159</v>
      </c>
      <c r="DD426">
        <v>1.7000000000000001E-2</v>
      </c>
      <c r="DE426">
        <v>-0.34499999999999997</v>
      </c>
      <c r="DF426">
        <v>71.7</v>
      </c>
      <c r="DG426">
        <v>6</v>
      </c>
    </row>
    <row r="427" spans="1:111" x14ac:dyDescent="0.2">
      <c r="A427">
        <v>2025</v>
      </c>
      <c r="B427" s="1">
        <v>45959</v>
      </c>
      <c r="C427" t="s">
        <v>95</v>
      </c>
      <c r="D427">
        <v>605483</v>
      </c>
      <c r="E427">
        <v>665489</v>
      </c>
      <c r="F427">
        <v>0</v>
      </c>
      <c r="G427">
        <v>0</v>
      </c>
      <c r="H427">
        <v>3</v>
      </c>
      <c r="I427" t="s">
        <v>96</v>
      </c>
      <c r="J427">
        <v>18</v>
      </c>
      <c r="K427">
        <v>1</v>
      </c>
      <c r="L427" t="s">
        <v>97</v>
      </c>
      <c r="M427" t="s">
        <v>98</v>
      </c>
      <c r="N427" t="s">
        <v>99</v>
      </c>
      <c r="O427">
        <f t="shared" si="96"/>
        <v>0</v>
      </c>
      <c r="P427">
        <f t="shared" si="97"/>
        <v>0</v>
      </c>
      <c r="Q427">
        <f t="shared" si="98"/>
        <v>1</v>
      </c>
      <c r="R427">
        <f t="shared" si="99"/>
        <v>0</v>
      </c>
      <c r="S427">
        <f t="shared" si="100"/>
        <v>0</v>
      </c>
      <c r="T427">
        <f t="shared" si="101"/>
        <v>0</v>
      </c>
      <c r="U427">
        <f t="shared" si="102"/>
        <v>0</v>
      </c>
      <c r="V427">
        <f t="shared" si="103"/>
        <v>0</v>
      </c>
      <c r="W427">
        <f t="shared" si="104"/>
        <v>0</v>
      </c>
      <c r="X427">
        <f t="shared" si="105"/>
        <v>0</v>
      </c>
      <c r="Y427">
        <f t="shared" si="106"/>
        <v>0</v>
      </c>
      <c r="Z427">
        <f t="shared" si="107"/>
        <v>0</v>
      </c>
      <c r="AA427">
        <f t="shared" si="108"/>
        <v>0</v>
      </c>
      <c r="AB427">
        <f t="shared" si="109"/>
        <v>0</v>
      </c>
      <c r="AC427">
        <f t="shared" si="110"/>
        <v>0</v>
      </c>
      <c r="AD427">
        <f t="shared" si="111"/>
        <v>0</v>
      </c>
      <c r="AE427">
        <v>96.9</v>
      </c>
      <c r="AF427">
        <v>1.98</v>
      </c>
      <c r="AG427">
        <v>6.53</v>
      </c>
      <c r="AH427" t="s">
        <v>100</v>
      </c>
      <c r="AI427" t="s">
        <v>97</v>
      </c>
      <c r="AJ427" t="s">
        <v>97</v>
      </c>
      <c r="AK427" t="s">
        <v>97</v>
      </c>
      <c r="AL427" t="s">
        <v>97</v>
      </c>
      <c r="AM427">
        <v>12</v>
      </c>
      <c r="AN427" t="s">
        <v>101</v>
      </c>
      <c r="AO427" t="s">
        <v>213</v>
      </c>
      <c r="AP427" t="s">
        <v>122</v>
      </c>
      <c r="AQ427" t="s">
        <v>103</v>
      </c>
      <c r="AR427" t="s">
        <v>104</v>
      </c>
      <c r="AS427" t="s">
        <v>214</v>
      </c>
      <c r="AT427" t="s">
        <v>106</v>
      </c>
      <c r="AU427" t="s">
        <v>97</v>
      </c>
      <c r="AV427" t="s">
        <v>97</v>
      </c>
      <c r="AW427">
        <v>0.44</v>
      </c>
      <c r="AX427">
        <v>1.64</v>
      </c>
      <c r="AY427">
        <v>0.08</v>
      </c>
      <c r="AZ427">
        <v>4.04</v>
      </c>
      <c r="BA427" t="s">
        <v>97</v>
      </c>
      <c r="BB427" t="s">
        <v>97</v>
      </c>
      <c r="BC427" t="s">
        <v>97</v>
      </c>
      <c r="BD427">
        <v>1</v>
      </c>
      <c r="BE427" t="s">
        <v>97</v>
      </c>
      <c r="BF427" t="s">
        <v>97</v>
      </c>
      <c r="BG427" t="s">
        <v>97</v>
      </c>
      <c r="BH427" t="s">
        <v>97</v>
      </c>
      <c r="BI427">
        <v>669257</v>
      </c>
      <c r="BJ427">
        <v>669257</v>
      </c>
      <c r="BK427" t="s">
        <v>97</v>
      </c>
      <c r="BL427" t="s">
        <v>97</v>
      </c>
      <c r="BM427">
        <v>-6.1352311000000004</v>
      </c>
      <c r="BN427">
        <v>-140.94618259999999</v>
      </c>
      <c r="BO427">
        <v>-4.8485733619999998</v>
      </c>
      <c r="BP427">
        <v>7.3007638589999999</v>
      </c>
      <c r="BQ427">
        <v>33.863901570000003</v>
      </c>
      <c r="BR427">
        <v>-9.5037752579999992</v>
      </c>
      <c r="BS427">
        <v>3.66</v>
      </c>
      <c r="BT427">
        <v>1.6</v>
      </c>
      <c r="BU427" t="s">
        <v>97</v>
      </c>
      <c r="BV427" t="s">
        <v>97</v>
      </c>
      <c r="BW427" t="s">
        <v>97</v>
      </c>
      <c r="BX427">
        <v>97.6</v>
      </c>
      <c r="BY427">
        <v>2533</v>
      </c>
      <c r="BZ427">
        <v>6.8</v>
      </c>
      <c r="CA427">
        <v>813022</v>
      </c>
      <c r="CB427">
        <v>669257</v>
      </c>
      <c r="CC427">
        <v>669257</v>
      </c>
      <c r="CD427">
        <v>518692</v>
      </c>
      <c r="CE427">
        <v>669242</v>
      </c>
      <c r="CF427">
        <v>571970</v>
      </c>
      <c r="CG427">
        <v>605141</v>
      </c>
      <c r="CH427">
        <v>669743</v>
      </c>
      <c r="CI427">
        <v>571771</v>
      </c>
      <c r="CJ427">
        <v>606192</v>
      </c>
      <c r="CK427">
        <v>53.67</v>
      </c>
      <c r="CL427" t="s">
        <v>97</v>
      </c>
      <c r="CM427" t="s">
        <v>97</v>
      </c>
      <c r="CN427" t="s">
        <v>97</v>
      </c>
      <c r="CO427" t="s">
        <v>97</v>
      </c>
      <c r="CP427" t="s">
        <v>97</v>
      </c>
      <c r="CQ427" t="s">
        <v>97</v>
      </c>
      <c r="CR427" t="s">
        <v>97</v>
      </c>
      <c r="CS427">
        <v>0</v>
      </c>
      <c r="CT427">
        <v>2</v>
      </c>
      <c r="CU427">
        <v>2</v>
      </c>
      <c r="CV427">
        <v>0</v>
      </c>
      <c r="CW427">
        <v>2</v>
      </c>
      <c r="CX427">
        <v>0</v>
      </c>
      <c r="CY427">
        <v>2</v>
      </c>
      <c r="CZ427">
        <v>0</v>
      </c>
      <c r="DA427" t="s">
        <v>107</v>
      </c>
      <c r="DB427" t="s">
        <v>107</v>
      </c>
      <c r="DC427">
        <v>158</v>
      </c>
      <c r="DD427">
        <v>0</v>
      </c>
      <c r="DE427">
        <v>3.9E-2</v>
      </c>
      <c r="DF427" t="s">
        <v>97</v>
      </c>
      <c r="DG427" t="s">
        <v>97</v>
      </c>
    </row>
    <row r="428" spans="1:111" x14ac:dyDescent="0.2">
      <c r="A428">
        <v>2025</v>
      </c>
      <c r="B428" s="1">
        <v>45959</v>
      </c>
      <c r="C428" t="s">
        <v>95</v>
      </c>
      <c r="D428">
        <v>605483</v>
      </c>
      <c r="E428">
        <v>665489</v>
      </c>
      <c r="F428">
        <v>1</v>
      </c>
      <c r="G428">
        <v>0</v>
      </c>
      <c r="H428">
        <v>3</v>
      </c>
      <c r="I428" t="s">
        <v>96</v>
      </c>
      <c r="J428">
        <v>18</v>
      </c>
      <c r="K428">
        <v>2</v>
      </c>
      <c r="L428" t="s">
        <v>97</v>
      </c>
      <c r="M428" t="s">
        <v>132</v>
      </c>
      <c r="N428" t="s">
        <v>133</v>
      </c>
      <c r="O428">
        <f t="shared" si="96"/>
        <v>0</v>
      </c>
      <c r="P428">
        <f t="shared" si="97"/>
        <v>0</v>
      </c>
      <c r="Q428">
        <f t="shared" si="98"/>
        <v>0</v>
      </c>
      <c r="R428">
        <f t="shared" si="99"/>
        <v>0</v>
      </c>
      <c r="S428">
        <f t="shared" si="100"/>
        <v>0</v>
      </c>
      <c r="T428">
        <f t="shared" si="101"/>
        <v>0</v>
      </c>
      <c r="U428">
        <f t="shared" si="102"/>
        <v>0</v>
      </c>
      <c r="V428">
        <f t="shared" si="103"/>
        <v>0</v>
      </c>
      <c r="W428">
        <f t="shared" si="104"/>
        <v>0</v>
      </c>
      <c r="X428">
        <f t="shared" si="105"/>
        <v>0</v>
      </c>
      <c r="Y428">
        <f t="shared" si="106"/>
        <v>1</v>
      </c>
      <c r="Z428">
        <f t="shared" si="107"/>
        <v>0</v>
      </c>
      <c r="AA428">
        <f t="shared" si="108"/>
        <v>0</v>
      </c>
      <c r="AB428">
        <f t="shared" si="109"/>
        <v>0</v>
      </c>
      <c r="AC428">
        <f t="shared" si="110"/>
        <v>0</v>
      </c>
      <c r="AD428">
        <f t="shared" si="111"/>
        <v>0</v>
      </c>
      <c r="AE428">
        <v>85.7</v>
      </c>
      <c r="AF428">
        <v>2.23</v>
      </c>
      <c r="AG428">
        <v>6.29</v>
      </c>
      <c r="AH428" t="s">
        <v>113</v>
      </c>
      <c r="AI428" t="s">
        <v>97</v>
      </c>
      <c r="AJ428" t="s">
        <v>97</v>
      </c>
      <c r="AK428" t="s">
        <v>97</v>
      </c>
      <c r="AL428" t="s">
        <v>97</v>
      </c>
      <c r="AM428">
        <v>6</v>
      </c>
      <c r="AN428" t="s">
        <v>114</v>
      </c>
      <c r="AO428" t="s">
        <v>213</v>
      </c>
      <c r="AP428" t="s">
        <v>122</v>
      </c>
      <c r="AQ428" t="s">
        <v>103</v>
      </c>
      <c r="AR428" t="s">
        <v>104</v>
      </c>
      <c r="AS428" t="s">
        <v>214</v>
      </c>
      <c r="AT428" t="s">
        <v>110</v>
      </c>
      <c r="AU428" t="s">
        <v>97</v>
      </c>
      <c r="AV428" t="s">
        <v>97</v>
      </c>
      <c r="AW428">
        <v>1.04</v>
      </c>
      <c r="AX428">
        <v>1.08</v>
      </c>
      <c r="AY428">
        <v>0.7</v>
      </c>
      <c r="AZ428">
        <v>2.33</v>
      </c>
      <c r="BA428" t="s">
        <v>97</v>
      </c>
      <c r="BB428" t="s">
        <v>97</v>
      </c>
      <c r="BC428" t="s">
        <v>97</v>
      </c>
      <c r="BD428">
        <v>1</v>
      </c>
      <c r="BE428" t="s">
        <v>97</v>
      </c>
      <c r="BF428" t="s">
        <v>97</v>
      </c>
      <c r="BG428" t="s">
        <v>97</v>
      </c>
      <c r="BH428" t="s">
        <v>97</v>
      </c>
      <c r="BI428">
        <v>669257</v>
      </c>
      <c r="BJ428">
        <v>669257</v>
      </c>
      <c r="BK428" t="s">
        <v>97</v>
      </c>
      <c r="BL428" t="s">
        <v>97</v>
      </c>
      <c r="BM428">
        <v>-5.7831082440000001</v>
      </c>
      <c r="BN428">
        <v>-124.5690017</v>
      </c>
      <c r="BO428">
        <v>-5.316825884</v>
      </c>
      <c r="BP428">
        <v>11.96768801</v>
      </c>
      <c r="BQ428">
        <v>24.999103659999999</v>
      </c>
      <c r="BR428">
        <v>-20.075877890000001</v>
      </c>
      <c r="BS428">
        <v>3.66</v>
      </c>
      <c r="BT428">
        <v>1.6</v>
      </c>
      <c r="BU428" t="s">
        <v>97</v>
      </c>
      <c r="BV428" t="s">
        <v>97</v>
      </c>
      <c r="BW428" t="s">
        <v>97</v>
      </c>
      <c r="BX428">
        <v>86.5</v>
      </c>
      <c r="BY428">
        <v>1971</v>
      </c>
      <c r="BZ428">
        <v>6.9</v>
      </c>
      <c r="CA428">
        <v>813022</v>
      </c>
      <c r="CB428">
        <v>669257</v>
      </c>
      <c r="CC428">
        <v>669257</v>
      </c>
      <c r="CD428">
        <v>518692</v>
      </c>
      <c r="CE428">
        <v>669242</v>
      </c>
      <c r="CF428">
        <v>571970</v>
      </c>
      <c r="CG428">
        <v>605141</v>
      </c>
      <c r="CH428">
        <v>669743</v>
      </c>
      <c r="CI428">
        <v>571771</v>
      </c>
      <c r="CJ428">
        <v>606192</v>
      </c>
      <c r="CK428">
        <v>53.63</v>
      </c>
      <c r="CL428" t="s">
        <v>97</v>
      </c>
      <c r="CM428" t="s">
        <v>97</v>
      </c>
      <c r="CN428" t="s">
        <v>97</v>
      </c>
      <c r="CO428" t="s">
        <v>97</v>
      </c>
      <c r="CP428" t="s">
        <v>97</v>
      </c>
      <c r="CQ428" t="s">
        <v>97</v>
      </c>
      <c r="CR428" t="s">
        <v>97</v>
      </c>
      <c r="CS428">
        <v>0</v>
      </c>
      <c r="CT428">
        <v>2</v>
      </c>
      <c r="CU428">
        <v>2</v>
      </c>
      <c r="CV428">
        <v>0</v>
      </c>
      <c r="CW428">
        <v>2</v>
      </c>
      <c r="CX428">
        <v>0</v>
      </c>
      <c r="CY428">
        <v>2</v>
      </c>
      <c r="CZ428">
        <v>0</v>
      </c>
      <c r="DA428" t="s">
        <v>107</v>
      </c>
      <c r="DB428" t="s">
        <v>107</v>
      </c>
      <c r="DC428">
        <v>130</v>
      </c>
      <c r="DD428">
        <v>0</v>
      </c>
      <c r="DE428">
        <v>-0.05</v>
      </c>
      <c r="DF428">
        <v>78.3</v>
      </c>
      <c r="DG428">
        <v>8.6</v>
      </c>
    </row>
    <row r="429" spans="1:111" x14ac:dyDescent="0.2">
      <c r="A429">
        <v>2025</v>
      </c>
      <c r="B429" s="1">
        <v>45959</v>
      </c>
      <c r="C429" t="s">
        <v>95</v>
      </c>
      <c r="D429">
        <v>605483</v>
      </c>
      <c r="E429">
        <v>665489</v>
      </c>
      <c r="F429">
        <v>1</v>
      </c>
      <c r="G429">
        <v>1</v>
      </c>
      <c r="H429">
        <v>3</v>
      </c>
      <c r="I429" t="s">
        <v>96</v>
      </c>
      <c r="J429">
        <v>18</v>
      </c>
      <c r="K429">
        <v>3</v>
      </c>
      <c r="L429" t="s">
        <v>97</v>
      </c>
      <c r="M429" t="s">
        <v>111</v>
      </c>
      <c r="N429" t="s">
        <v>112</v>
      </c>
      <c r="O429">
        <f t="shared" si="96"/>
        <v>0</v>
      </c>
      <c r="P429">
        <f t="shared" si="97"/>
        <v>0</v>
      </c>
      <c r="Q429">
        <f t="shared" si="98"/>
        <v>0</v>
      </c>
      <c r="R429">
        <f t="shared" si="99"/>
        <v>0</v>
      </c>
      <c r="S429">
        <f t="shared" si="100"/>
        <v>0</v>
      </c>
      <c r="T429">
        <f t="shared" si="101"/>
        <v>0</v>
      </c>
      <c r="U429">
        <f t="shared" si="102"/>
        <v>0</v>
      </c>
      <c r="V429">
        <f t="shared" si="103"/>
        <v>1</v>
      </c>
      <c r="W429">
        <f t="shared" si="104"/>
        <v>0</v>
      </c>
      <c r="X429">
        <f t="shared" si="105"/>
        <v>0</v>
      </c>
      <c r="Y429">
        <f t="shared" si="106"/>
        <v>0</v>
      </c>
      <c r="Z429">
        <f t="shared" si="107"/>
        <v>0</v>
      </c>
      <c r="AA429">
        <f t="shared" si="108"/>
        <v>0</v>
      </c>
      <c r="AB429">
        <f t="shared" si="109"/>
        <v>0</v>
      </c>
      <c r="AC429">
        <f t="shared" si="110"/>
        <v>0</v>
      </c>
      <c r="AD429">
        <f t="shared" si="111"/>
        <v>0</v>
      </c>
      <c r="AE429">
        <v>81.7</v>
      </c>
      <c r="AF429">
        <v>1.97</v>
      </c>
      <c r="AG429">
        <v>6.49</v>
      </c>
      <c r="AH429" t="s">
        <v>100</v>
      </c>
      <c r="AI429" t="s">
        <v>97</v>
      </c>
      <c r="AJ429" t="s">
        <v>97</v>
      </c>
      <c r="AK429" t="s">
        <v>97</v>
      </c>
      <c r="AL429" t="s">
        <v>97</v>
      </c>
      <c r="AM429">
        <v>13</v>
      </c>
      <c r="AN429" t="s">
        <v>101</v>
      </c>
      <c r="AO429" t="s">
        <v>213</v>
      </c>
      <c r="AP429" t="s">
        <v>122</v>
      </c>
      <c r="AQ429" t="s">
        <v>103</v>
      </c>
      <c r="AR429" t="s">
        <v>104</v>
      </c>
      <c r="AS429" t="s">
        <v>214</v>
      </c>
      <c r="AT429" t="s">
        <v>106</v>
      </c>
      <c r="AU429" t="s">
        <v>97</v>
      </c>
      <c r="AV429" t="s">
        <v>97</v>
      </c>
      <c r="AW429">
        <v>-0.93</v>
      </c>
      <c r="AX429">
        <v>-0.63</v>
      </c>
      <c r="AY429">
        <v>-0.54</v>
      </c>
      <c r="AZ429">
        <v>0.51</v>
      </c>
      <c r="BA429" t="s">
        <v>97</v>
      </c>
      <c r="BB429" t="s">
        <v>97</v>
      </c>
      <c r="BC429" t="s">
        <v>97</v>
      </c>
      <c r="BD429">
        <v>1</v>
      </c>
      <c r="BE429" t="s">
        <v>97</v>
      </c>
      <c r="BF429" t="s">
        <v>97</v>
      </c>
      <c r="BG429" t="s">
        <v>97</v>
      </c>
      <c r="BH429" t="s">
        <v>97</v>
      </c>
      <c r="BI429">
        <v>669257</v>
      </c>
      <c r="BJ429">
        <v>669257</v>
      </c>
      <c r="BK429" t="s">
        <v>97</v>
      </c>
      <c r="BL429" t="s">
        <v>97</v>
      </c>
      <c r="BM429">
        <v>-3.8866001790000002</v>
      </c>
      <c r="BN429">
        <v>-118.7963843</v>
      </c>
      <c r="BO429">
        <v>-5.651418048</v>
      </c>
      <c r="BP429">
        <v>-7.9682957539999997</v>
      </c>
      <c r="BQ429">
        <v>24.226952059999999</v>
      </c>
      <c r="BR429">
        <v>-37.214802929999998</v>
      </c>
      <c r="BS429">
        <v>3.6</v>
      </c>
      <c r="BT429">
        <v>1.54</v>
      </c>
      <c r="BU429" t="s">
        <v>97</v>
      </c>
      <c r="BV429" t="s">
        <v>97</v>
      </c>
      <c r="BW429" t="s">
        <v>97</v>
      </c>
      <c r="BX429">
        <v>82.2</v>
      </c>
      <c r="BY429">
        <v>2598</v>
      </c>
      <c r="BZ429">
        <v>6.8</v>
      </c>
      <c r="CA429">
        <v>813022</v>
      </c>
      <c r="CB429">
        <v>669257</v>
      </c>
      <c r="CC429">
        <v>669257</v>
      </c>
      <c r="CD429">
        <v>518692</v>
      </c>
      <c r="CE429">
        <v>669242</v>
      </c>
      <c r="CF429">
        <v>571970</v>
      </c>
      <c r="CG429">
        <v>605141</v>
      </c>
      <c r="CH429">
        <v>669743</v>
      </c>
      <c r="CI429">
        <v>571771</v>
      </c>
      <c r="CJ429">
        <v>606192</v>
      </c>
      <c r="CK429">
        <v>53.67</v>
      </c>
      <c r="CL429" t="s">
        <v>97</v>
      </c>
      <c r="CM429" t="s">
        <v>97</v>
      </c>
      <c r="CN429" t="s">
        <v>97</v>
      </c>
      <c r="CO429" t="s">
        <v>97</v>
      </c>
      <c r="CP429" t="s">
        <v>97</v>
      </c>
      <c r="CQ429" t="s">
        <v>97</v>
      </c>
      <c r="CR429" t="s">
        <v>97</v>
      </c>
      <c r="CS429">
        <v>0</v>
      </c>
      <c r="CT429">
        <v>2</v>
      </c>
      <c r="CU429">
        <v>2</v>
      </c>
      <c r="CV429">
        <v>0</v>
      </c>
      <c r="CW429">
        <v>2</v>
      </c>
      <c r="CX429">
        <v>0</v>
      </c>
      <c r="CY429">
        <v>2</v>
      </c>
      <c r="CZ429">
        <v>0</v>
      </c>
      <c r="DA429" t="s">
        <v>107</v>
      </c>
      <c r="DB429" t="s">
        <v>107</v>
      </c>
      <c r="DC429">
        <v>324</v>
      </c>
      <c r="DD429">
        <v>0</v>
      </c>
      <c r="DE429">
        <v>5.5E-2</v>
      </c>
      <c r="DF429" t="s">
        <v>97</v>
      </c>
      <c r="DG429" t="s">
        <v>97</v>
      </c>
    </row>
    <row r="430" spans="1:111" x14ac:dyDescent="0.2">
      <c r="A430">
        <v>2025</v>
      </c>
      <c r="B430" s="1">
        <v>45959</v>
      </c>
      <c r="C430" t="s">
        <v>95</v>
      </c>
      <c r="D430">
        <v>605483</v>
      </c>
      <c r="E430">
        <v>665489</v>
      </c>
      <c r="F430">
        <v>2</v>
      </c>
      <c r="G430">
        <v>1</v>
      </c>
      <c r="H430">
        <v>3</v>
      </c>
      <c r="I430" t="s">
        <v>96</v>
      </c>
      <c r="J430">
        <v>18</v>
      </c>
      <c r="K430">
        <v>4</v>
      </c>
      <c r="L430" t="s">
        <v>97</v>
      </c>
      <c r="M430" t="s">
        <v>138</v>
      </c>
      <c r="N430" t="s">
        <v>139</v>
      </c>
      <c r="O430">
        <f t="shared" si="96"/>
        <v>0</v>
      </c>
      <c r="P430">
        <f t="shared" si="97"/>
        <v>0</v>
      </c>
      <c r="Q430">
        <f t="shared" si="98"/>
        <v>0</v>
      </c>
      <c r="R430">
        <f t="shared" si="99"/>
        <v>0</v>
      </c>
      <c r="S430">
        <f t="shared" si="100"/>
        <v>0</v>
      </c>
      <c r="T430">
        <f t="shared" si="101"/>
        <v>0</v>
      </c>
      <c r="U430">
        <f t="shared" si="102"/>
        <v>0</v>
      </c>
      <c r="V430">
        <f t="shared" si="103"/>
        <v>0</v>
      </c>
      <c r="W430">
        <f t="shared" si="104"/>
        <v>0</v>
      </c>
      <c r="X430">
        <f t="shared" si="105"/>
        <v>0</v>
      </c>
      <c r="Y430">
        <f t="shared" si="106"/>
        <v>0</v>
      </c>
      <c r="Z430">
        <f t="shared" si="107"/>
        <v>0</v>
      </c>
      <c r="AA430">
        <f t="shared" si="108"/>
        <v>0</v>
      </c>
      <c r="AB430">
        <f t="shared" si="109"/>
        <v>0</v>
      </c>
      <c r="AC430">
        <f t="shared" si="110"/>
        <v>1</v>
      </c>
      <c r="AD430">
        <f t="shared" si="111"/>
        <v>0</v>
      </c>
      <c r="AE430">
        <v>90</v>
      </c>
      <c r="AF430">
        <v>2.0499999999999998</v>
      </c>
      <c r="AG430">
        <v>6.5</v>
      </c>
      <c r="AH430" t="s">
        <v>100</v>
      </c>
      <c r="AI430" t="s">
        <v>97</v>
      </c>
      <c r="AJ430" t="s">
        <v>97</v>
      </c>
      <c r="AK430" t="s">
        <v>97</v>
      </c>
      <c r="AL430" t="s">
        <v>97</v>
      </c>
      <c r="AM430">
        <v>13</v>
      </c>
      <c r="AN430" t="s">
        <v>101</v>
      </c>
      <c r="AO430" t="s">
        <v>213</v>
      </c>
      <c r="AP430" t="s">
        <v>122</v>
      </c>
      <c r="AQ430" t="s">
        <v>103</v>
      </c>
      <c r="AR430" t="s">
        <v>104</v>
      </c>
      <c r="AS430" t="s">
        <v>214</v>
      </c>
      <c r="AT430" t="s">
        <v>106</v>
      </c>
      <c r="AU430" t="s">
        <v>97</v>
      </c>
      <c r="AV430" t="s">
        <v>97</v>
      </c>
      <c r="AW430">
        <v>-0.39</v>
      </c>
      <c r="AX430">
        <v>0.59</v>
      </c>
      <c r="AY430">
        <v>-1.1399999999999999</v>
      </c>
      <c r="AZ430">
        <v>2.16</v>
      </c>
      <c r="BA430" t="s">
        <v>97</v>
      </c>
      <c r="BB430" t="s">
        <v>97</v>
      </c>
      <c r="BC430" t="s">
        <v>97</v>
      </c>
      <c r="BD430">
        <v>1</v>
      </c>
      <c r="BE430" t="s">
        <v>97</v>
      </c>
      <c r="BF430" t="s">
        <v>97</v>
      </c>
      <c r="BG430" t="s">
        <v>97</v>
      </c>
      <c r="BH430" t="s">
        <v>97</v>
      </c>
      <c r="BI430">
        <v>669257</v>
      </c>
      <c r="BJ430">
        <v>669257</v>
      </c>
      <c r="BK430" t="s">
        <v>97</v>
      </c>
      <c r="BL430" t="s">
        <v>97</v>
      </c>
      <c r="BM430">
        <v>-7.1288037849999997</v>
      </c>
      <c r="BN430">
        <v>-130.86052799999999</v>
      </c>
      <c r="BO430">
        <v>-6.1298765389999996</v>
      </c>
      <c r="BP430">
        <v>-3.0766808029999999</v>
      </c>
      <c r="BQ430">
        <v>25.89554025</v>
      </c>
      <c r="BR430">
        <v>-24.305089639999998</v>
      </c>
      <c r="BS430">
        <v>3.66</v>
      </c>
      <c r="BT430">
        <v>1.6</v>
      </c>
      <c r="BU430" t="s">
        <v>97</v>
      </c>
      <c r="BV430" t="s">
        <v>97</v>
      </c>
      <c r="BW430" t="s">
        <v>97</v>
      </c>
      <c r="BX430">
        <v>90.8</v>
      </c>
      <c r="BY430">
        <v>2447</v>
      </c>
      <c r="BZ430">
        <v>6.7</v>
      </c>
      <c r="CA430">
        <v>813022</v>
      </c>
      <c r="CB430">
        <v>669257</v>
      </c>
      <c r="CC430">
        <v>669257</v>
      </c>
      <c r="CD430">
        <v>518692</v>
      </c>
      <c r="CE430">
        <v>669242</v>
      </c>
      <c r="CF430">
        <v>571970</v>
      </c>
      <c r="CG430">
        <v>605141</v>
      </c>
      <c r="CH430">
        <v>669743</v>
      </c>
      <c r="CI430">
        <v>571771</v>
      </c>
      <c r="CJ430">
        <v>606192</v>
      </c>
      <c r="CK430">
        <v>53.8</v>
      </c>
      <c r="CL430" t="s">
        <v>97</v>
      </c>
      <c r="CM430" t="s">
        <v>97</v>
      </c>
      <c r="CN430" t="s">
        <v>97</v>
      </c>
      <c r="CO430" t="s">
        <v>97</v>
      </c>
      <c r="CP430" t="s">
        <v>97</v>
      </c>
      <c r="CQ430" t="s">
        <v>97</v>
      </c>
      <c r="CR430" t="s">
        <v>97</v>
      </c>
      <c r="CS430">
        <v>0</v>
      </c>
      <c r="CT430">
        <v>2</v>
      </c>
      <c r="CU430">
        <v>2</v>
      </c>
      <c r="CV430">
        <v>0</v>
      </c>
      <c r="CW430">
        <v>2</v>
      </c>
      <c r="CX430">
        <v>0</v>
      </c>
      <c r="CY430">
        <v>2</v>
      </c>
      <c r="CZ430">
        <v>0</v>
      </c>
      <c r="DA430" t="s">
        <v>107</v>
      </c>
      <c r="DB430" t="s">
        <v>107</v>
      </c>
      <c r="DC430">
        <v>165</v>
      </c>
      <c r="DD430">
        <v>0</v>
      </c>
      <c r="DE430">
        <v>0.121</v>
      </c>
      <c r="DF430" t="s">
        <v>97</v>
      </c>
      <c r="DG430" t="s">
        <v>97</v>
      </c>
    </row>
    <row r="431" spans="1:111" x14ac:dyDescent="0.2">
      <c r="A431">
        <v>2025</v>
      </c>
      <c r="B431" s="1">
        <v>45959</v>
      </c>
      <c r="C431" t="s">
        <v>95</v>
      </c>
      <c r="D431">
        <v>605483</v>
      </c>
      <c r="E431">
        <v>665489</v>
      </c>
      <c r="F431">
        <v>3</v>
      </c>
      <c r="G431">
        <v>1</v>
      </c>
      <c r="H431">
        <v>3</v>
      </c>
      <c r="I431" t="s">
        <v>96</v>
      </c>
      <c r="J431">
        <v>18</v>
      </c>
      <c r="K431">
        <v>5</v>
      </c>
      <c r="L431" t="s">
        <v>142</v>
      </c>
      <c r="M431" t="s">
        <v>111</v>
      </c>
      <c r="N431" t="s">
        <v>112</v>
      </c>
      <c r="O431">
        <f t="shared" si="96"/>
        <v>0</v>
      </c>
      <c r="P431">
        <f t="shared" si="97"/>
        <v>0</v>
      </c>
      <c r="Q431">
        <f t="shared" si="98"/>
        <v>0</v>
      </c>
      <c r="R431">
        <f t="shared" si="99"/>
        <v>0</v>
      </c>
      <c r="S431">
        <f t="shared" si="100"/>
        <v>0</v>
      </c>
      <c r="T431">
        <f t="shared" si="101"/>
        <v>0</v>
      </c>
      <c r="U431">
        <f t="shared" si="102"/>
        <v>1</v>
      </c>
      <c r="V431">
        <f t="shared" si="103"/>
        <v>0</v>
      </c>
      <c r="W431">
        <f t="shared" si="104"/>
        <v>0</v>
      </c>
      <c r="X431">
        <f t="shared" si="105"/>
        <v>0</v>
      </c>
      <c r="Y431">
        <f t="shared" si="106"/>
        <v>0</v>
      </c>
      <c r="Z431">
        <f t="shared" si="107"/>
        <v>0</v>
      </c>
      <c r="AA431">
        <f t="shared" si="108"/>
        <v>0</v>
      </c>
      <c r="AB431">
        <f t="shared" si="109"/>
        <v>0</v>
      </c>
      <c r="AC431">
        <f t="shared" si="110"/>
        <v>0</v>
      </c>
      <c r="AD431">
        <f t="shared" si="111"/>
        <v>0</v>
      </c>
      <c r="AE431">
        <v>81.2</v>
      </c>
      <c r="AF431">
        <v>1.86</v>
      </c>
      <c r="AG431">
        <v>6.54</v>
      </c>
      <c r="AH431" t="s">
        <v>100</v>
      </c>
      <c r="AI431" t="s">
        <v>97</v>
      </c>
      <c r="AJ431" t="s">
        <v>97</v>
      </c>
      <c r="AK431" t="s">
        <v>97</v>
      </c>
      <c r="AL431" t="s">
        <v>97</v>
      </c>
      <c r="AM431">
        <v>13</v>
      </c>
      <c r="AN431" t="s">
        <v>218</v>
      </c>
      <c r="AO431" t="s">
        <v>213</v>
      </c>
      <c r="AP431" t="s">
        <v>122</v>
      </c>
      <c r="AQ431" t="s">
        <v>103</v>
      </c>
      <c r="AR431" t="s">
        <v>104</v>
      </c>
      <c r="AS431" t="s">
        <v>214</v>
      </c>
      <c r="AT431" t="s">
        <v>106</v>
      </c>
      <c r="AU431" t="s">
        <v>97</v>
      </c>
      <c r="AV431" t="s">
        <v>97</v>
      </c>
      <c r="AW431">
        <v>-1.31</v>
      </c>
      <c r="AX431">
        <v>-0.5</v>
      </c>
      <c r="AY431">
        <v>-0.46</v>
      </c>
      <c r="AZ431">
        <v>1.36</v>
      </c>
      <c r="BA431" t="s">
        <v>97</v>
      </c>
      <c r="BB431" t="s">
        <v>97</v>
      </c>
      <c r="BC431" t="s">
        <v>97</v>
      </c>
      <c r="BD431">
        <v>1</v>
      </c>
      <c r="BE431" t="s">
        <v>97</v>
      </c>
      <c r="BF431" t="s">
        <v>97</v>
      </c>
      <c r="BG431" t="s">
        <v>97</v>
      </c>
      <c r="BH431" t="s">
        <v>97</v>
      </c>
      <c r="BI431">
        <v>669257</v>
      </c>
      <c r="BJ431">
        <v>669257</v>
      </c>
      <c r="BK431" t="s">
        <v>97</v>
      </c>
      <c r="BL431" t="s">
        <v>97</v>
      </c>
      <c r="BM431">
        <v>-2.72132459</v>
      </c>
      <c r="BN431">
        <v>-118.2385665</v>
      </c>
      <c r="BO431">
        <v>-4.0160085829999996</v>
      </c>
      <c r="BP431">
        <v>-11.68457252</v>
      </c>
      <c r="BQ431">
        <v>23.665817260000001</v>
      </c>
      <c r="BR431">
        <v>-36.296203490000003</v>
      </c>
      <c r="BS431">
        <v>3.6</v>
      </c>
      <c r="BT431">
        <v>1.6</v>
      </c>
      <c r="BU431" t="s">
        <v>97</v>
      </c>
      <c r="BV431" t="s">
        <v>97</v>
      </c>
      <c r="BW431" t="s">
        <v>97</v>
      </c>
      <c r="BX431">
        <v>81.900000000000006</v>
      </c>
      <c r="BY431">
        <v>2617</v>
      </c>
      <c r="BZ431">
        <v>6.9</v>
      </c>
      <c r="CA431">
        <v>813022</v>
      </c>
      <c r="CB431">
        <v>669257</v>
      </c>
      <c r="CC431">
        <v>669257</v>
      </c>
      <c r="CD431">
        <v>518692</v>
      </c>
      <c r="CE431">
        <v>669242</v>
      </c>
      <c r="CF431">
        <v>571970</v>
      </c>
      <c r="CG431">
        <v>605141</v>
      </c>
      <c r="CH431">
        <v>669743</v>
      </c>
      <c r="CI431">
        <v>571771</v>
      </c>
      <c r="CJ431">
        <v>606192</v>
      </c>
      <c r="CK431">
        <v>53.64</v>
      </c>
      <c r="CL431" t="s">
        <v>97</v>
      </c>
      <c r="CM431">
        <v>0.69149700000000003</v>
      </c>
      <c r="CN431">
        <v>0.7</v>
      </c>
      <c r="CO431">
        <v>1</v>
      </c>
      <c r="CP431">
        <v>0</v>
      </c>
      <c r="CQ431">
        <v>0</v>
      </c>
      <c r="CR431" t="s">
        <v>97</v>
      </c>
      <c r="CS431">
        <v>0</v>
      </c>
      <c r="CT431">
        <v>2</v>
      </c>
      <c r="CU431">
        <v>2</v>
      </c>
      <c r="CV431">
        <v>0</v>
      </c>
      <c r="CW431">
        <v>2</v>
      </c>
      <c r="CX431">
        <v>0</v>
      </c>
      <c r="CY431">
        <v>2</v>
      </c>
      <c r="CZ431">
        <v>0</v>
      </c>
      <c r="DA431" t="s">
        <v>107</v>
      </c>
      <c r="DB431" t="s">
        <v>107</v>
      </c>
      <c r="DC431">
        <v>327</v>
      </c>
      <c r="DD431">
        <v>-1.7999999999999999E-2</v>
      </c>
      <c r="DE431">
        <v>0.253</v>
      </c>
      <c r="DF431" t="s">
        <v>97</v>
      </c>
      <c r="DG431" t="s">
        <v>97</v>
      </c>
    </row>
    <row r="432" spans="1:111" x14ac:dyDescent="0.2">
      <c r="A432">
        <v>2025</v>
      </c>
      <c r="B432" s="1">
        <v>45959</v>
      </c>
      <c r="C432" t="s">
        <v>95</v>
      </c>
      <c r="D432">
        <v>605483</v>
      </c>
      <c r="E432">
        <v>666182</v>
      </c>
      <c r="F432">
        <v>0</v>
      </c>
      <c r="G432">
        <v>0</v>
      </c>
      <c r="H432">
        <v>3</v>
      </c>
      <c r="I432" t="s">
        <v>96</v>
      </c>
      <c r="J432">
        <v>19</v>
      </c>
      <c r="K432">
        <v>1</v>
      </c>
      <c r="L432" t="s">
        <v>159</v>
      </c>
      <c r="M432" t="s">
        <v>132</v>
      </c>
      <c r="N432" t="s">
        <v>133</v>
      </c>
      <c r="O432">
        <f t="shared" si="96"/>
        <v>0</v>
      </c>
      <c r="P432">
        <f t="shared" si="97"/>
        <v>0</v>
      </c>
      <c r="Q432">
        <f t="shared" si="98"/>
        <v>0</v>
      </c>
      <c r="R432">
        <f t="shared" si="99"/>
        <v>0</v>
      </c>
      <c r="S432">
        <f t="shared" si="100"/>
        <v>0</v>
      </c>
      <c r="T432">
        <f t="shared" si="101"/>
        <v>0</v>
      </c>
      <c r="U432">
        <f t="shared" si="102"/>
        <v>0</v>
      </c>
      <c r="V432">
        <f t="shared" si="103"/>
        <v>0</v>
      </c>
      <c r="W432">
        <f t="shared" si="104"/>
        <v>0</v>
      </c>
      <c r="X432">
        <f t="shared" si="105"/>
        <v>0</v>
      </c>
      <c r="Y432">
        <f t="shared" si="106"/>
        <v>1</v>
      </c>
      <c r="Z432">
        <f t="shared" si="107"/>
        <v>0</v>
      </c>
      <c r="AA432">
        <f t="shared" si="108"/>
        <v>0</v>
      </c>
      <c r="AB432">
        <f t="shared" si="109"/>
        <v>0</v>
      </c>
      <c r="AC432">
        <f t="shared" si="110"/>
        <v>0</v>
      </c>
      <c r="AD432">
        <f t="shared" si="111"/>
        <v>0</v>
      </c>
      <c r="AE432">
        <v>86</v>
      </c>
      <c r="AF432">
        <v>2.25</v>
      </c>
      <c r="AG432">
        <v>6.33</v>
      </c>
      <c r="AH432" t="s">
        <v>120</v>
      </c>
      <c r="AI432" t="s">
        <v>97</v>
      </c>
      <c r="AJ432" t="s">
        <v>97</v>
      </c>
      <c r="AK432" t="s">
        <v>97</v>
      </c>
      <c r="AL432" t="s">
        <v>97</v>
      </c>
      <c r="AM432">
        <v>9</v>
      </c>
      <c r="AN432" t="s">
        <v>254</v>
      </c>
      <c r="AO432" t="s">
        <v>213</v>
      </c>
      <c r="AP432" t="s">
        <v>122</v>
      </c>
      <c r="AQ432" t="s">
        <v>103</v>
      </c>
      <c r="AR432" t="s">
        <v>104</v>
      </c>
      <c r="AS432" t="s">
        <v>214</v>
      </c>
      <c r="AT432" t="s">
        <v>123</v>
      </c>
      <c r="AU432">
        <v>6</v>
      </c>
      <c r="AV432" t="s">
        <v>127</v>
      </c>
      <c r="AW432">
        <v>1.19</v>
      </c>
      <c r="AX432">
        <v>0.56000000000000005</v>
      </c>
      <c r="AY432">
        <v>0.69</v>
      </c>
      <c r="AZ432">
        <v>1.86</v>
      </c>
      <c r="BA432" t="s">
        <v>97</v>
      </c>
      <c r="BB432" t="s">
        <v>97</v>
      </c>
      <c r="BC432">
        <v>665489</v>
      </c>
      <c r="BD432">
        <v>1</v>
      </c>
      <c r="BE432">
        <v>101.63</v>
      </c>
      <c r="BF432">
        <v>149.76</v>
      </c>
      <c r="BG432" t="s">
        <v>97</v>
      </c>
      <c r="BH432" t="s">
        <v>97</v>
      </c>
      <c r="BI432">
        <v>669257</v>
      </c>
      <c r="BJ432">
        <v>669257</v>
      </c>
      <c r="BK432" t="s">
        <v>97</v>
      </c>
      <c r="BL432" t="s">
        <v>97</v>
      </c>
      <c r="BM432">
        <v>-6.1601605419999999</v>
      </c>
      <c r="BN432">
        <v>-124.96178759999999</v>
      </c>
      <c r="BO432">
        <v>-5.4635591039999998</v>
      </c>
      <c r="BP432">
        <v>13.763196929999999</v>
      </c>
      <c r="BQ432">
        <v>26.74168847</v>
      </c>
      <c r="BR432">
        <v>-25.387499909999999</v>
      </c>
      <c r="BS432">
        <v>3.71</v>
      </c>
      <c r="BT432">
        <v>1.75</v>
      </c>
      <c r="BU432">
        <v>12</v>
      </c>
      <c r="BV432">
        <v>91.5</v>
      </c>
      <c r="BW432">
        <v>-8</v>
      </c>
      <c r="BX432">
        <v>86.5</v>
      </c>
      <c r="BY432">
        <v>1884</v>
      </c>
      <c r="BZ432">
        <v>6.8</v>
      </c>
      <c r="CA432">
        <v>813022</v>
      </c>
      <c r="CB432">
        <v>669257</v>
      </c>
      <c r="CC432">
        <v>669257</v>
      </c>
      <c r="CD432">
        <v>518692</v>
      </c>
      <c r="CE432">
        <v>669242</v>
      </c>
      <c r="CF432">
        <v>571970</v>
      </c>
      <c r="CG432">
        <v>605141</v>
      </c>
      <c r="CH432">
        <v>669743</v>
      </c>
      <c r="CI432">
        <v>571771</v>
      </c>
      <c r="CJ432">
        <v>606192</v>
      </c>
      <c r="CK432">
        <v>53.69</v>
      </c>
      <c r="CL432">
        <v>0.19700000000000001</v>
      </c>
      <c r="CM432">
        <v>0.17499999999999999</v>
      </c>
      <c r="CN432">
        <v>0</v>
      </c>
      <c r="CO432">
        <v>1</v>
      </c>
      <c r="CP432">
        <v>0</v>
      </c>
      <c r="CQ432">
        <v>0</v>
      </c>
      <c r="CR432">
        <v>2</v>
      </c>
      <c r="CS432">
        <v>0</v>
      </c>
      <c r="CT432">
        <v>2</v>
      </c>
      <c r="CU432">
        <v>2</v>
      </c>
      <c r="CV432">
        <v>0</v>
      </c>
      <c r="CW432">
        <v>2</v>
      </c>
      <c r="CX432">
        <v>0</v>
      </c>
      <c r="CY432">
        <v>2</v>
      </c>
      <c r="CZ432">
        <v>0</v>
      </c>
      <c r="DA432" t="s">
        <v>107</v>
      </c>
      <c r="DB432" t="s">
        <v>107</v>
      </c>
      <c r="DC432">
        <v>134</v>
      </c>
      <c r="DD432">
        <v>2.1000000000000001E-2</v>
      </c>
      <c r="DE432">
        <v>-0.318</v>
      </c>
      <c r="DF432">
        <v>75.599999999999994</v>
      </c>
      <c r="DG432">
        <v>8</v>
      </c>
    </row>
    <row r="433" spans="1:111" x14ac:dyDescent="0.2">
      <c r="A433">
        <v>2025</v>
      </c>
      <c r="B433" s="1">
        <v>45959</v>
      </c>
      <c r="C433" t="s">
        <v>95</v>
      </c>
      <c r="D433">
        <v>605483</v>
      </c>
      <c r="E433">
        <v>672386</v>
      </c>
      <c r="F433">
        <v>0</v>
      </c>
      <c r="G433">
        <v>0</v>
      </c>
      <c r="H433">
        <v>3</v>
      </c>
      <c r="I433" t="s">
        <v>96</v>
      </c>
      <c r="J433">
        <v>20</v>
      </c>
      <c r="K433">
        <v>1</v>
      </c>
      <c r="L433" t="s">
        <v>97</v>
      </c>
      <c r="M433" t="s">
        <v>111</v>
      </c>
      <c r="N433" t="s">
        <v>112</v>
      </c>
      <c r="O433">
        <f t="shared" si="96"/>
        <v>0</v>
      </c>
      <c r="P433">
        <f t="shared" si="97"/>
        <v>0</v>
      </c>
      <c r="Q433">
        <f t="shared" si="98"/>
        <v>0</v>
      </c>
      <c r="R433">
        <f t="shared" si="99"/>
        <v>0</v>
      </c>
      <c r="S433">
        <f t="shared" si="100"/>
        <v>0</v>
      </c>
      <c r="T433">
        <f t="shared" si="101"/>
        <v>0</v>
      </c>
      <c r="U433">
        <f t="shared" si="102"/>
        <v>0</v>
      </c>
      <c r="V433">
        <f t="shared" si="103"/>
        <v>1</v>
      </c>
      <c r="W433">
        <f t="shared" si="104"/>
        <v>0</v>
      </c>
      <c r="X433">
        <f t="shared" si="105"/>
        <v>0</v>
      </c>
      <c r="Y433">
        <f t="shared" si="106"/>
        <v>0</v>
      </c>
      <c r="Z433">
        <f t="shared" si="107"/>
        <v>0</v>
      </c>
      <c r="AA433">
        <f t="shared" si="108"/>
        <v>0</v>
      </c>
      <c r="AB433">
        <f t="shared" si="109"/>
        <v>0</v>
      </c>
      <c r="AC433">
        <f t="shared" si="110"/>
        <v>0</v>
      </c>
      <c r="AD433">
        <f t="shared" si="111"/>
        <v>0</v>
      </c>
      <c r="AE433">
        <v>83.9</v>
      </c>
      <c r="AF433">
        <v>1.92</v>
      </c>
      <c r="AG433">
        <v>6.56</v>
      </c>
      <c r="AH433" t="s">
        <v>117</v>
      </c>
      <c r="AI433" t="s">
        <v>97</v>
      </c>
      <c r="AJ433" t="s">
        <v>97</v>
      </c>
      <c r="AK433" t="s">
        <v>97</v>
      </c>
      <c r="AL433" t="s">
        <v>97</v>
      </c>
      <c r="AM433">
        <v>13</v>
      </c>
      <c r="AN433" t="s">
        <v>255</v>
      </c>
      <c r="AO433" t="s">
        <v>213</v>
      </c>
      <c r="AP433" t="s">
        <v>122</v>
      </c>
      <c r="AQ433" t="s">
        <v>103</v>
      </c>
      <c r="AR433" t="s">
        <v>104</v>
      </c>
      <c r="AS433" t="s">
        <v>214</v>
      </c>
      <c r="AT433" t="s">
        <v>110</v>
      </c>
      <c r="AU433" t="s">
        <v>97</v>
      </c>
      <c r="AV433" t="s">
        <v>97</v>
      </c>
      <c r="AW433">
        <v>-1.2</v>
      </c>
      <c r="AX433">
        <v>-0.39</v>
      </c>
      <c r="AY433">
        <v>-0.7</v>
      </c>
      <c r="AZ433">
        <v>0.56999999999999995</v>
      </c>
      <c r="BA433" t="s">
        <v>97</v>
      </c>
      <c r="BB433" t="s">
        <v>97</v>
      </c>
      <c r="BC433">
        <v>666182</v>
      </c>
      <c r="BD433">
        <v>2</v>
      </c>
      <c r="BE433" t="s">
        <v>97</v>
      </c>
      <c r="BF433" t="s">
        <v>97</v>
      </c>
      <c r="BG433" t="s">
        <v>97</v>
      </c>
      <c r="BH433" t="s">
        <v>97</v>
      </c>
      <c r="BI433">
        <v>669257</v>
      </c>
      <c r="BJ433">
        <v>669257</v>
      </c>
      <c r="BK433" t="s">
        <v>97</v>
      </c>
      <c r="BL433" t="s">
        <v>97</v>
      </c>
      <c r="BM433">
        <v>-3.6749907820000001</v>
      </c>
      <c r="BN433">
        <v>-121.9933649</v>
      </c>
      <c r="BO433">
        <v>-6.5900443409999996</v>
      </c>
      <c r="BP433">
        <v>-11.09953144</v>
      </c>
      <c r="BQ433">
        <v>26.57370083</v>
      </c>
      <c r="BR433">
        <v>-34.857630149999999</v>
      </c>
      <c r="BS433">
        <v>3.13</v>
      </c>
      <c r="BT433">
        <v>1.5</v>
      </c>
      <c r="BU433" t="s">
        <v>97</v>
      </c>
      <c r="BV433" t="s">
        <v>97</v>
      </c>
      <c r="BW433" t="s">
        <v>97</v>
      </c>
      <c r="BX433">
        <v>83.7</v>
      </c>
      <c r="BY433">
        <v>2630</v>
      </c>
      <c r="BZ433">
        <v>6.4</v>
      </c>
      <c r="CA433">
        <v>813022</v>
      </c>
      <c r="CB433">
        <v>669257</v>
      </c>
      <c r="CC433">
        <v>669257</v>
      </c>
      <c r="CD433">
        <v>518692</v>
      </c>
      <c r="CE433">
        <v>669242</v>
      </c>
      <c r="CF433">
        <v>571970</v>
      </c>
      <c r="CG433">
        <v>605141</v>
      </c>
      <c r="CH433">
        <v>669743</v>
      </c>
      <c r="CI433">
        <v>571771</v>
      </c>
      <c r="CJ433">
        <v>606192</v>
      </c>
      <c r="CK433">
        <v>54.08</v>
      </c>
      <c r="CL433" t="s">
        <v>97</v>
      </c>
      <c r="CM433" t="s">
        <v>97</v>
      </c>
      <c r="CN433" t="s">
        <v>97</v>
      </c>
      <c r="CO433" t="s">
        <v>97</v>
      </c>
      <c r="CP433" t="s">
        <v>97</v>
      </c>
      <c r="CQ433" t="s">
        <v>97</v>
      </c>
      <c r="CR433" t="s">
        <v>97</v>
      </c>
      <c r="CS433">
        <v>0</v>
      </c>
      <c r="CT433">
        <v>2</v>
      </c>
      <c r="CU433">
        <v>2</v>
      </c>
      <c r="CV433">
        <v>0</v>
      </c>
      <c r="CW433">
        <v>2</v>
      </c>
      <c r="CX433">
        <v>0</v>
      </c>
      <c r="CY433">
        <v>2</v>
      </c>
      <c r="CZ433">
        <v>0</v>
      </c>
      <c r="DA433" t="s">
        <v>107</v>
      </c>
      <c r="DB433" t="s">
        <v>107</v>
      </c>
      <c r="DC433">
        <v>325</v>
      </c>
      <c r="DD433">
        <v>0</v>
      </c>
      <c r="DE433">
        <v>-4.2000000000000003E-2</v>
      </c>
      <c r="DF433">
        <v>77.099999999999994</v>
      </c>
      <c r="DG433">
        <v>8.6</v>
      </c>
    </row>
    <row r="434" spans="1:111" x14ac:dyDescent="0.2">
      <c r="A434">
        <v>2025</v>
      </c>
      <c r="B434" s="1">
        <v>45959</v>
      </c>
      <c r="C434" t="s">
        <v>95</v>
      </c>
      <c r="D434">
        <v>605483</v>
      </c>
      <c r="E434">
        <v>672386</v>
      </c>
      <c r="F434">
        <v>0</v>
      </c>
      <c r="G434">
        <v>1</v>
      </c>
      <c r="H434">
        <v>3</v>
      </c>
      <c r="I434" t="s">
        <v>96</v>
      </c>
      <c r="J434">
        <v>20</v>
      </c>
      <c r="K434">
        <v>2</v>
      </c>
      <c r="L434" t="s">
        <v>97</v>
      </c>
      <c r="M434" t="s">
        <v>138</v>
      </c>
      <c r="N434" t="s">
        <v>139</v>
      </c>
      <c r="O434">
        <f t="shared" si="96"/>
        <v>0</v>
      </c>
      <c r="P434">
        <f t="shared" si="97"/>
        <v>0</v>
      </c>
      <c r="Q434">
        <f t="shared" si="98"/>
        <v>0</v>
      </c>
      <c r="R434">
        <f t="shared" si="99"/>
        <v>0</v>
      </c>
      <c r="S434">
        <f t="shared" si="100"/>
        <v>0</v>
      </c>
      <c r="T434">
        <f t="shared" si="101"/>
        <v>0</v>
      </c>
      <c r="U434">
        <f t="shared" si="102"/>
        <v>0</v>
      </c>
      <c r="V434">
        <f t="shared" si="103"/>
        <v>0</v>
      </c>
      <c r="W434">
        <f t="shared" si="104"/>
        <v>0</v>
      </c>
      <c r="X434">
        <f t="shared" si="105"/>
        <v>0</v>
      </c>
      <c r="Y434">
        <f t="shared" si="106"/>
        <v>0</v>
      </c>
      <c r="Z434">
        <f t="shared" si="107"/>
        <v>0</v>
      </c>
      <c r="AA434">
        <f t="shared" si="108"/>
        <v>0</v>
      </c>
      <c r="AB434">
        <f t="shared" si="109"/>
        <v>1</v>
      </c>
      <c r="AC434">
        <f t="shared" si="110"/>
        <v>0</v>
      </c>
      <c r="AD434">
        <f t="shared" si="111"/>
        <v>0</v>
      </c>
      <c r="AE434">
        <v>92</v>
      </c>
      <c r="AF434">
        <v>1.93</v>
      </c>
      <c r="AG434">
        <v>6.5</v>
      </c>
      <c r="AH434" t="s">
        <v>129</v>
      </c>
      <c r="AI434" t="s">
        <v>97</v>
      </c>
      <c r="AJ434" t="s">
        <v>97</v>
      </c>
      <c r="AK434" t="s">
        <v>97</v>
      </c>
      <c r="AL434" t="s">
        <v>97</v>
      </c>
      <c r="AM434">
        <v>13</v>
      </c>
      <c r="AN434" t="s">
        <v>130</v>
      </c>
      <c r="AO434" t="s">
        <v>213</v>
      </c>
      <c r="AP434" t="s">
        <v>122</v>
      </c>
      <c r="AQ434" t="s">
        <v>103</v>
      </c>
      <c r="AR434" t="s">
        <v>104</v>
      </c>
      <c r="AS434" t="s">
        <v>214</v>
      </c>
      <c r="AT434" t="s">
        <v>110</v>
      </c>
      <c r="AU434" t="s">
        <v>97</v>
      </c>
      <c r="AV434" t="s">
        <v>97</v>
      </c>
      <c r="AW434">
        <v>-0.24</v>
      </c>
      <c r="AX434">
        <v>0.99</v>
      </c>
      <c r="AY434">
        <v>-0.56000000000000005</v>
      </c>
      <c r="AZ434">
        <v>0.84</v>
      </c>
      <c r="BA434" t="s">
        <v>97</v>
      </c>
      <c r="BB434" t="s">
        <v>97</v>
      </c>
      <c r="BC434">
        <v>666182</v>
      </c>
      <c r="BD434">
        <v>2</v>
      </c>
      <c r="BE434" t="s">
        <v>97</v>
      </c>
      <c r="BF434" t="s">
        <v>97</v>
      </c>
      <c r="BG434" t="s">
        <v>97</v>
      </c>
      <c r="BH434" t="s">
        <v>97</v>
      </c>
      <c r="BI434">
        <v>669257</v>
      </c>
      <c r="BJ434">
        <v>669257</v>
      </c>
      <c r="BK434" t="s">
        <v>97</v>
      </c>
      <c r="BL434" t="s">
        <v>97</v>
      </c>
      <c r="BM434">
        <v>-5.8549862690000003</v>
      </c>
      <c r="BN434">
        <v>-133.51387729999999</v>
      </c>
      <c r="BO434">
        <v>-10.780490090000001</v>
      </c>
      <c r="BP434">
        <v>-1.630246031</v>
      </c>
      <c r="BQ434">
        <v>27.859532430000002</v>
      </c>
      <c r="BR434">
        <v>-18.18074197</v>
      </c>
      <c r="BS434">
        <v>3.13</v>
      </c>
      <c r="BT434">
        <v>1.5</v>
      </c>
      <c r="BU434">
        <v>2</v>
      </c>
      <c r="BV434">
        <v>96.1</v>
      </c>
      <c r="BW434">
        <v>-24</v>
      </c>
      <c r="BX434">
        <v>93.1</v>
      </c>
      <c r="BY434">
        <v>2457</v>
      </c>
      <c r="BZ434">
        <v>7</v>
      </c>
      <c r="CA434">
        <v>813022</v>
      </c>
      <c r="CB434">
        <v>669257</v>
      </c>
      <c r="CC434">
        <v>669257</v>
      </c>
      <c r="CD434">
        <v>518692</v>
      </c>
      <c r="CE434">
        <v>669242</v>
      </c>
      <c r="CF434">
        <v>571970</v>
      </c>
      <c r="CG434">
        <v>605141</v>
      </c>
      <c r="CH434">
        <v>669743</v>
      </c>
      <c r="CI434">
        <v>571771</v>
      </c>
      <c r="CJ434">
        <v>606192</v>
      </c>
      <c r="CK434">
        <v>53.5</v>
      </c>
      <c r="CL434" t="s">
        <v>97</v>
      </c>
      <c r="CM434" t="s">
        <v>97</v>
      </c>
      <c r="CN434" t="s">
        <v>97</v>
      </c>
      <c r="CO434" t="s">
        <v>97</v>
      </c>
      <c r="CP434" t="s">
        <v>97</v>
      </c>
      <c r="CQ434" t="s">
        <v>97</v>
      </c>
      <c r="CR434" t="s">
        <v>97</v>
      </c>
      <c r="CS434">
        <v>0</v>
      </c>
      <c r="CT434">
        <v>2</v>
      </c>
      <c r="CU434">
        <v>2</v>
      </c>
      <c r="CV434">
        <v>0</v>
      </c>
      <c r="CW434">
        <v>2</v>
      </c>
      <c r="CX434">
        <v>0</v>
      </c>
      <c r="CY434">
        <v>2</v>
      </c>
      <c r="CZ434">
        <v>0</v>
      </c>
      <c r="DA434" t="s">
        <v>107</v>
      </c>
      <c r="DB434" t="s">
        <v>107</v>
      </c>
      <c r="DC434">
        <v>160</v>
      </c>
      <c r="DD434">
        <v>0</v>
      </c>
      <c r="DE434">
        <v>-5.6000000000000001E-2</v>
      </c>
      <c r="DF434">
        <v>72.400000000000006</v>
      </c>
      <c r="DG434">
        <v>8.1</v>
      </c>
    </row>
    <row r="435" spans="1:111" x14ac:dyDescent="0.2">
      <c r="A435">
        <v>2025</v>
      </c>
      <c r="B435" s="1">
        <v>45959</v>
      </c>
      <c r="C435" t="s">
        <v>95</v>
      </c>
      <c r="D435">
        <v>605483</v>
      </c>
      <c r="E435">
        <v>672386</v>
      </c>
      <c r="F435">
        <v>0</v>
      </c>
      <c r="G435">
        <v>2</v>
      </c>
      <c r="H435">
        <v>3</v>
      </c>
      <c r="I435" t="s">
        <v>96</v>
      </c>
      <c r="J435">
        <v>20</v>
      </c>
      <c r="K435">
        <v>3</v>
      </c>
      <c r="L435" t="s">
        <v>97</v>
      </c>
      <c r="M435" t="s">
        <v>98</v>
      </c>
      <c r="N435" t="s">
        <v>99</v>
      </c>
      <c r="O435">
        <f t="shared" si="96"/>
        <v>1</v>
      </c>
      <c r="P435">
        <f t="shared" si="97"/>
        <v>0</v>
      </c>
      <c r="Q435">
        <f t="shared" si="98"/>
        <v>0</v>
      </c>
      <c r="R435">
        <f t="shared" si="99"/>
        <v>0</v>
      </c>
      <c r="S435">
        <f t="shared" si="100"/>
        <v>0</v>
      </c>
      <c r="T435">
        <f t="shared" si="101"/>
        <v>0</v>
      </c>
      <c r="U435">
        <f t="shared" si="102"/>
        <v>0</v>
      </c>
      <c r="V435">
        <f t="shared" si="103"/>
        <v>0</v>
      </c>
      <c r="W435">
        <f t="shared" si="104"/>
        <v>0</v>
      </c>
      <c r="X435">
        <f t="shared" si="105"/>
        <v>0</v>
      </c>
      <c r="Y435">
        <f t="shared" si="106"/>
        <v>0</v>
      </c>
      <c r="Z435">
        <f t="shared" si="107"/>
        <v>0</v>
      </c>
      <c r="AA435">
        <f t="shared" si="108"/>
        <v>0</v>
      </c>
      <c r="AB435">
        <f t="shared" si="109"/>
        <v>0</v>
      </c>
      <c r="AC435">
        <f t="shared" si="110"/>
        <v>0</v>
      </c>
      <c r="AD435">
        <f t="shared" si="111"/>
        <v>0</v>
      </c>
      <c r="AE435">
        <v>97.1</v>
      </c>
      <c r="AF435">
        <v>1.94</v>
      </c>
      <c r="AG435">
        <v>6.52</v>
      </c>
      <c r="AH435" t="s">
        <v>100</v>
      </c>
      <c r="AI435" t="s">
        <v>97</v>
      </c>
      <c r="AJ435" t="s">
        <v>97</v>
      </c>
      <c r="AK435" t="s">
        <v>97</v>
      </c>
      <c r="AL435" t="s">
        <v>97</v>
      </c>
      <c r="AM435">
        <v>12</v>
      </c>
      <c r="AN435" t="s">
        <v>101</v>
      </c>
      <c r="AO435" t="s">
        <v>213</v>
      </c>
      <c r="AP435" t="s">
        <v>122</v>
      </c>
      <c r="AQ435" t="s">
        <v>103</v>
      </c>
      <c r="AR435" t="s">
        <v>104</v>
      </c>
      <c r="AS435" t="s">
        <v>214</v>
      </c>
      <c r="AT435" t="s">
        <v>106</v>
      </c>
      <c r="AU435" t="s">
        <v>97</v>
      </c>
      <c r="AV435" t="s">
        <v>97</v>
      </c>
      <c r="AW435">
        <v>0.48</v>
      </c>
      <c r="AX435">
        <v>1.71</v>
      </c>
      <c r="AY435">
        <v>0.49</v>
      </c>
      <c r="AZ435">
        <v>4.22</v>
      </c>
      <c r="BA435" t="s">
        <v>97</v>
      </c>
      <c r="BB435" t="s">
        <v>97</v>
      </c>
      <c r="BC435">
        <v>666182</v>
      </c>
      <c r="BD435">
        <v>2</v>
      </c>
      <c r="BE435" t="s">
        <v>97</v>
      </c>
      <c r="BF435" t="s">
        <v>97</v>
      </c>
      <c r="BG435" t="s">
        <v>97</v>
      </c>
      <c r="BH435" t="s">
        <v>97</v>
      </c>
      <c r="BI435">
        <v>669257</v>
      </c>
      <c r="BJ435">
        <v>669257</v>
      </c>
      <c r="BK435" t="s">
        <v>97</v>
      </c>
      <c r="BL435" t="s">
        <v>97</v>
      </c>
      <c r="BM435">
        <v>-5.0011645800000002</v>
      </c>
      <c r="BN435">
        <v>-141.36184170000001</v>
      </c>
      <c r="BO435">
        <v>-4.5633854889999999</v>
      </c>
      <c r="BP435">
        <v>7.5586228120000003</v>
      </c>
      <c r="BQ435">
        <v>32.815747250000001</v>
      </c>
      <c r="BR435">
        <v>-8.4337255819999992</v>
      </c>
      <c r="BS435">
        <v>3.13</v>
      </c>
      <c r="BT435">
        <v>1.5</v>
      </c>
      <c r="BU435" t="s">
        <v>97</v>
      </c>
      <c r="BV435" t="s">
        <v>97</v>
      </c>
      <c r="BW435" t="s">
        <v>97</v>
      </c>
      <c r="BX435">
        <v>97.7</v>
      </c>
      <c r="BY435">
        <v>2494</v>
      </c>
      <c r="BZ435">
        <v>6.6</v>
      </c>
      <c r="CA435">
        <v>813022</v>
      </c>
      <c r="CB435">
        <v>669257</v>
      </c>
      <c r="CC435">
        <v>669257</v>
      </c>
      <c r="CD435">
        <v>518692</v>
      </c>
      <c r="CE435">
        <v>669242</v>
      </c>
      <c r="CF435">
        <v>571970</v>
      </c>
      <c r="CG435">
        <v>605141</v>
      </c>
      <c r="CH435">
        <v>669743</v>
      </c>
      <c r="CI435">
        <v>571771</v>
      </c>
      <c r="CJ435">
        <v>606192</v>
      </c>
      <c r="CK435">
        <v>53.88</v>
      </c>
      <c r="CL435" t="s">
        <v>97</v>
      </c>
      <c r="CM435" t="s">
        <v>97</v>
      </c>
      <c r="CN435" t="s">
        <v>97</v>
      </c>
      <c r="CO435" t="s">
        <v>97</v>
      </c>
      <c r="CP435" t="s">
        <v>97</v>
      </c>
      <c r="CQ435" t="s">
        <v>97</v>
      </c>
      <c r="CR435" t="s">
        <v>97</v>
      </c>
      <c r="CS435">
        <v>0</v>
      </c>
      <c r="CT435">
        <v>2</v>
      </c>
      <c r="CU435">
        <v>2</v>
      </c>
      <c r="CV435">
        <v>0</v>
      </c>
      <c r="CW435">
        <v>2</v>
      </c>
      <c r="CX435">
        <v>0</v>
      </c>
      <c r="CY435">
        <v>2</v>
      </c>
      <c r="CZ435">
        <v>0</v>
      </c>
      <c r="DA435" t="s">
        <v>107</v>
      </c>
      <c r="DB435" t="s">
        <v>107</v>
      </c>
      <c r="DC435">
        <v>154</v>
      </c>
      <c r="DD435">
        <v>0</v>
      </c>
      <c r="DE435">
        <v>8.9999999999999993E-3</v>
      </c>
      <c r="DF435" t="s">
        <v>97</v>
      </c>
      <c r="DG435" t="s">
        <v>97</v>
      </c>
    </row>
    <row r="436" spans="1:111" x14ac:dyDescent="0.2">
      <c r="A436">
        <v>2025</v>
      </c>
      <c r="B436" s="1">
        <v>45959</v>
      </c>
      <c r="C436" t="s">
        <v>95</v>
      </c>
      <c r="D436">
        <v>605483</v>
      </c>
      <c r="E436">
        <v>672386</v>
      </c>
      <c r="F436">
        <v>1</v>
      </c>
      <c r="G436">
        <v>2</v>
      </c>
      <c r="H436">
        <v>3</v>
      </c>
      <c r="I436" t="s">
        <v>96</v>
      </c>
      <c r="J436">
        <v>20</v>
      </c>
      <c r="K436">
        <v>4</v>
      </c>
      <c r="L436" t="s">
        <v>97</v>
      </c>
      <c r="M436" t="s">
        <v>98</v>
      </c>
      <c r="N436" t="s">
        <v>99</v>
      </c>
      <c r="O436">
        <f t="shared" si="96"/>
        <v>0</v>
      </c>
      <c r="P436">
        <f t="shared" si="97"/>
        <v>1</v>
      </c>
      <c r="Q436">
        <f t="shared" si="98"/>
        <v>0</v>
      </c>
      <c r="R436">
        <f t="shared" si="99"/>
        <v>0</v>
      </c>
      <c r="S436">
        <f t="shared" si="100"/>
        <v>0</v>
      </c>
      <c r="T436">
        <f t="shared" si="101"/>
        <v>0</v>
      </c>
      <c r="U436">
        <f t="shared" si="102"/>
        <v>0</v>
      </c>
      <c r="V436">
        <f t="shared" si="103"/>
        <v>0</v>
      </c>
      <c r="W436">
        <f t="shared" si="104"/>
        <v>0</v>
      </c>
      <c r="X436">
        <f t="shared" si="105"/>
        <v>0</v>
      </c>
      <c r="Y436">
        <f t="shared" si="106"/>
        <v>0</v>
      </c>
      <c r="Z436">
        <f t="shared" si="107"/>
        <v>0</v>
      </c>
      <c r="AA436">
        <f t="shared" si="108"/>
        <v>0</v>
      </c>
      <c r="AB436">
        <f t="shared" si="109"/>
        <v>0</v>
      </c>
      <c r="AC436">
        <f t="shared" si="110"/>
        <v>0</v>
      </c>
      <c r="AD436">
        <f t="shared" si="111"/>
        <v>0</v>
      </c>
      <c r="AE436">
        <v>96.2</v>
      </c>
      <c r="AF436">
        <v>1.82</v>
      </c>
      <c r="AG436">
        <v>6.52</v>
      </c>
      <c r="AH436" t="s">
        <v>129</v>
      </c>
      <c r="AI436" t="s">
        <v>97</v>
      </c>
      <c r="AJ436" t="s">
        <v>97</v>
      </c>
      <c r="AK436" t="s">
        <v>97</v>
      </c>
      <c r="AL436" t="s">
        <v>97</v>
      </c>
      <c r="AM436">
        <v>4</v>
      </c>
      <c r="AN436" t="s">
        <v>130</v>
      </c>
      <c r="AO436" t="s">
        <v>213</v>
      </c>
      <c r="AP436" t="s">
        <v>122</v>
      </c>
      <c r="AQ436" t="s">
        <v>103</v>
      </c>
      <c r="AR436" t="s">
        <v>104</v>
      </c>
      <c r="AS436" t="s">
        <v>214</v>
      </c>
      <c r="AT436" t="s">
        <v>110</v>
      </c>
      <c r="AU436" t="s">
        <v>97</v>
      </c>
      <c r="AV436" t="s">
        <v>97</v>
      </c>
      <c r="AW436">
        <v>0.48</v>
      </c>
      <c r="AX436">
        <v>1.67</v>
      </c>
      <c r="AY436">
        <v>-0.55000000000000004</v>
      </c>
      <c r="AZ436">
        <v>2.2200000000000002</v>
      </c>
      <c r="BA436" t="s">
        <v>97</v>
      </c>
      <c r="BB436" t="s">
        <v>97</v>
      </c>
      <c r="BC436">
        <v>666182</v>
      </c>
      <c r="BD436">
        <v>2</v>
      </c>
      <c r="BE436" t="s">
        <v>97</v>
      </c>
      <c r="BF436" t="s">
        <v>97</v>
      </c>
      <c r="BG436" t="s">
        <v>97</v>
      </c>
      <c r="BH436" t="s">
        <v>97</v>
      </c>
      <c r="BI436">
        <v>669257</v>
      </c>
      <c r="BJ436">
        <v>669257</v>
      </c>
      <c r="BK436" t="s">
        <v>97</v>
      </c>
      <c r="BL436" t="s">
        <v>97</v>
      </c>
      <c r="BM436">
        <v>-7.4189596340000001</v>
      </c>
      <c r="BN436">
        <v>-139.59315520000001</v>
      </c>
      <c r="BO436">
        <v>-9.6476591089999992</v>
      </c>
      <c r="BP436">
        <v>7.9242902019999999</v>
      </c>
      <c r="BQ436">
        <v>31.38144831</v>
      </c>
      <c r="BR436">
        <v>-8.3198188900000005</v>
      </c>
      <c r="BS436">
        <v>3.13</v>
      </c>
      <c r="BT436">
        <v>1.5</v>
      </c>
      <c r="BU436" t="s">
        <v>97</v>
      </c>
      <c r="BV436" t="s">
        <v>97</v>
      </c>
      <c r="BW436" t="s">
        <v>97</v>
      </c>
      <c r="BX436">
        <v>96.8</v>
      </c>
      <c r="BY436">
        <v>2521</v>
      </c>
      <c r="BZ436">
        <v>6.8</v>
      </c>
      <c r="CA436">
        <v>813022</v>
      </c>
      <c r="CB436">
        <v>669257</v>
      </c>
      <c r="CC436">
        <v>669257</v>
      </c>
      <c r="CD436">
        <v>518692</v>
      </c>
      <c r="CE436">
        <v>669242</v>
      </c>
      <c r="CF436">
        <v>571970</v>
      </c>
      <c r="CG436">
        <v>605141</v>
      </c>
      <c r="CH436">
        <v>669743</v>
      </c>
      <c r="CI436">
        <v>571771</v>
      </c>
      <c r="CJ436">
        <v>606192</v>
      </c>
      <c r="CK436">
        <v>53.72</v>
      </c>
      <c r="CL436" t="s">
        <v>97</v>
      </c>
      <c r="CM436" t="s">
        <v>97</v>
      </c>
      <c r="CN436" t="s">
        <v>97</v>
      </c>
      <c r="CO436" t="s">
        <v>97</v>
      </c>
      <c r="CP436" t="s">
        <v>97</v>
      </c>
      <c r="CQ436" t="s">
        <v>97</v>
      </c>
      <c r="CR436" t="s">
        <v>97</v>
      </c>
      <c r="CS436">
        <v>0</v>
      </c>
      <c r="CT436">
        <v>2</v>
      </c>
      <c r="CU436">
        <v>2</v>
      </c>
      <c r="CV436">
        <v>0</v>
      </c>
      <c r="CW436">
        <v>2</v>
      </c>
      <c r="CX436">
        <v>0</v>
      </c>
      <c r="CY436">
        <v>2</v>
      </c>
      <c r="CZ436">
        <v>0</v>
      </c>
      <c r="DA436" t="s">
        <v>107</v>
      </c>
      <c r="DB436" t="s">
        <v>107</v>
      </c>
      <c r="DC436">
        <v>156</v>
      </c>
      <c r="DD436">
        <v>0</v>
      </c>
      <c r="DE436">
        <v>0</v>
      </c>
      <c r="DF436">
        <v>75.599999999999994</v>
      </c>
      <c r="DG436">
        <v>7.1</v>
      </c>
    </row>
    <row r="437" spans="1:111" x14ac:dyDescent="0.2">
      <c r="A437">
        <v>2025</v>
      </c>
      <c r="B437" s="1">
        <v>45959</v>
      </c>
      <c r="C437" t="s">
        <v>95</v>
      </c>
      <c r="D437">
        <v>605483</v>
      </c>
      <c r="E437">
        <v>672386</v>
      </c>
      <c r="F437">
        <v>1</v>
      </c>
      <c r="G437">
        <v>2</v>
      </c>
      <c r="H437">
        <v>3</v>
      </c>
      <c r="I437" t="s">
        <v>96</v>
      </c>
      <c r="J437">
        <v>20</v>
      </c>
      <c r="K437">
        <v>5</v>
      </c>
      <c r="L437" t="s">
        <v>97</v>
      </c>
      <c r="M437" t="s">
        <v>111</v>
      </c>
      <c r="N437" t="s">
        <v>112</v>
      </c>
      <c r="O437">
        <f t="shared" si="96"/>
        <v>0</v>
      </c>
      <c r="P437">
        <f t="shared" si="97"/>
        <v>0</v>
      </c>
      <c r="Q437">
        <f t="shared" si="98"/>
        <v>0</v>
      </c>
      <c r="R437">
        <f t="shared" si="99"/>
        <v>0</v>
      </c>
      <c r="S437">
        <f t="shared" si="100"/>
        <v>0</v>
      </c>
      <c r="T437">
        <f t="shared" si="101"/>
        <v>0</v>
      </c>
      <c r="U437">
        <f t="shared" si="102"/>
        <v>0</v>
      </c>
      <c r="V437">
        <f t="shared" si="103"/>
        <v>1</v>
      </c>
      <c r="W437">
        <f t="shared" si="104"/>
        <v>0</v>
      </c>
      <c r="X437">
        <f t="shared" si="105"/>
        <v>0</v>
      </c>
      <c r="Y437">
        <f t="shared" si="106"/>
        <v>0</v>
      </c>
      <c r="Z437">
        <f t="shared" si="107"/>
        <v>0</v>
      </c>
      <c r="AA437">
        <f t="shared" si="108"/>
        <v>0</v>
      </c>
      <c r="AB437">
        <f t="shared" si="109"/>
        <v>0</v>
      </c>
      <c r="AC437">
        <f t="shared" si="110"/>
        <v>0</v>
      </c>
      <c r="AD437">
        <f t="shared" si="111"/>
        <v>0</v>
      </c>
      <c r="AE437">
        <v>82.4</v>
      </c>
      <c r="AF437">
        <v>1.83</v>
      </c>
      <c r="AG437">
        <v>6.41</v>
      </c>
      <c r="AH437" t="s">
        <v>140</v>
      </c>
      <c r="AI437" t="s">
        <v>97</v>
      </c>
      <c r="AJ437" t="s">
        <v>97</v>
      </c>
      <c r="AK437" t="s">
        <v>97</v>
      </c>
      <c r="AL437" t="s">
        <v>97</v>
      </c>
      <c r="AM437">
        <v>13</v>
      </c>
      <c r="AN437" t="s">
        <v>141</v>
      </c>
      <c r="AO437" t="s">
        <v>213</v>
      </c>
      <c r="AP437" t="s">
        <v>122</v>
      </c>
      <c r="AQ437" t="s">
        <v>103</v>
      </c>
      <c r="AR437" t="s">
        <v>104</v>
      </c>
      <c r="AS437" t="s">
        <v>214</v>
      </c>
      <c r="AT437" t="s">
        <v>106</v>
      </c>
      <c r="AU437" t="s">
        <v>97</v>
      </c>
      <c r="AV437" t="s">
        <v>97</v>
      </c>
      <c r="AW437">
        <v>-0.98</v>
      </c>
      <c r="AX437">
        <v>-0.46</v>
      </c>
      <c r="AY437">
        <v>-1.43</v>
      </c>
      <c r="AZ437">
        <v>-1.23</v>
      </c>
      <c r="BA437" t="s">
        <v>97</v>
      </c>
      <c r="BB437" t="s">
        <v>97</v>
      </c>
      <c r="BC437">
        <v>666182</v>
      </c>
      <c r="BD437">
        <v>2</v>
      </c>
      <c r="BE437" t="s">
        <v>97</v>
      </c>
      <c r="BF437" t="s">
        <v>97</v>
      </c>
      <c r="BG437" t="s">
        <v>97</v>
      </c>
      <c r="BH437" t="s">
        <v>97</v>
      </c>
      <c r="BI437">
        <v>669257</v>
      </c>
      <c r="BJ437">
        <v>669257</v>
      </c>
      <c r="BK437" t="s">
        <v>97</v>
      </c>
      <c r="BL437" t="s">
        <v>97</v>
      </c>
      <c r="BM437">
        <v>-5.55853091</v>
      </c>
      <c r="BN437">
        <v>-119.6459952</v>
      </c>
      <c r="BO437">
        <v>-9.9557893889999995</v>
      </c>
      <c r="BP437">
        <v>-8.2266711770000001</v>
      </c>
      <c r="BQ437">
        <v>24.401267099999998</v>
      </c>
      <c r="BR437">
        <v>-34.750622389999997</v>
      </c>
      <c r="BS437">
        <v>3.07</v>
      </c>
      <c r="BT437">
        <v>1.5</v>
      </c>
      <c r="BU437" t="s">
        <v>97</v>
      </c>
      <c r="BV437" t="s">
        <v>97</v>
      </c>
      <c r="BW437" t="s">
        <v>97</v>
      </c>
      <c r="BX437">
        <v>83</v>
      </c>
      <c r="BY437">
        <v>2675</v>
      </c>
      <c r="BZ437">
        <v>6.9</v>
      </c>
      <c r="CA437">
        <v>813022</v>
      </c>
      <c r="CB437">
        <v>669257</v>
      </c>
      <c r="CC437">
        <v>669257</v>
      </c>
      <c r="CD437">
        <v>518692</v>
      </c>
      <c r="CE437">
        <v>669242</v>
      </c>
      <c r="CF437">
        <v>571970</v>
      </c>
      <c r="CG437">
        <v>605141</v>
      </c>
      <c r="CH437">
        <v>669743</v>
      </c>
      <c r="CI437">
        <v>571771</v>
      </c>
      <c r="CJ437">
        <v>606192</v>
      </c>
      <c r="CK437">
        <v>53.56</v>
      </c>
      <c r="CL437" t="s">
        <v>97</v>
      </c>
      <c r="CM437" t="s">
        <v>97</v>
      </c>
      <c r="CN437" t="s">
        <v>97</v>
      </c>
      <c r="CO437" t="s">
        <v>97</v>
      </c>
      <c r="CP437" t="s">
        <v>97</v>
      </c>
      <c r="CQ437" t="s">
        <v>97</v>
      </c>
      <c r="CR437" t="s">
        <v>97</v>
      </c>
      <c r="CS437">
        <v>0</v>
      </c>
      <c r="CT437">
        <v>2</v>
      </c>
      <c r="CU437">
        <v>2</v>
      </c>
      <c r="CV437">
        <v>0</v>
      </c>
      <c r="CW437">
        <v>2</v>
      </c>
      <c r="CX437">
        <v>0</v>
      </c>
      <c r="CY437">
        <v>2</v>
      </c>
      <c r="CZ437">
        <v>0</v>
      </c>
      <c r="DA437" t="s">
        <v>107</v>
      </c>
      <c r="DB437" t="s">
        <v>107</v>
      </c>
      <c r="DC437">
        <v>330</v>
      </c>
      <c r="DD437">
        <v>0</v>
      </c>
      <c r="DE437">
        <v>3.3000000000000002E-2</v>
      </c>
      <c r="DF437" t="s">
        <v>97</v>
      </c>
      <c r="DG437" t="s">
        <v>97</v>
      </c>
    </row>
    <row r="438" spans="1:111" x14ac:dyDescent="0.2">
      <c r="A438">
        <v>2025</v>
      </c>
      <c r="B438" s="1">
        <v>45959</v>
      </c>
      <c r="C438" t="s">
        <v>95</v>
      </c>
      <c r="D438">
        <v>605483</v>
      </c>
      <c r="E438">
        <v>672386</v>
      </c>
      <c r="F438">
        <v>2</v>
      </c>
      <c r="G438">
        <v>2</v>
      </c>
      <c r="H438">
        <v>3</v>
      </c>
      <c r="I438" t="s">
        <v>96</v>
      </c>
      <c r="J438">
        <v>20</v>
      </c>
      <c r="K438">
        <v>6</v>
      </c>
      <c r="L438" t="s">
        <v>97</v>
      </c>
      <c r="M438" t="s">
        <v>138</v>
      </c>
      <c r="N438" t="s">
        <v>139</v>
      </c>
      <c r="O438">
        <f t="shared" si="96"/>
        <v>0</v>
      </c>
      <c r="P438">
        <f t="shared" si="97"/>
        <v>0</v>
      </c>
      <c r="Q438">
        <f t="shared" si="98"/>
        <v>0</v>
      </c>
      <c r="R438">
        <f t="shared" si="99"/>
        <v>0</v>
      </c>
      <c r="S438">
        <f t="shared" si="100"/>
        <v>0</v>
      </c>
      <c r="T438">
        <f t="shared" si="101"/>
        <v>0</v>
      </c>
      <c r="U438">
        <f t="shared" si="102"/>
        <v>0</v>
      </c>
      <c r="V438">
        <f t="shared" si="103"/>
        <v>0</v>
      </c>
      <c r="W438">
        <f t="shared" si="104"/>
        <v>0</v>
      </c>
      <c r="X438">
        <f t="shared" si="105"/>
        <v>0</v>
      </c>
      <c r="Y438">
        <f t="shared" si="106"/>
        <v>0</v>
      </c>
      <c r="Z438">
        <f t="shared" si="107"/>
        <v>0</v>
      </c>
      <c r="AA438">
        <f t="shared" si="108"/>
        <v>0</v>
      </c>
      <c r="AB438">
        <f t="shared" si="109"/>
        <v>0</v>
      </c>
      <c r="AC438">
        <f t="shared" si="110"/>
        <v>1</v>
      </c>
      <c r="AD438">
        <f t="shared" si="111"/>
        <v>0</v>
      </c>
      <c r="AE438">
        <v>90.9</v>
      </c>
      <c r="AF438">
        <v>1.95</v>
      </c>
      <c r="AG438">
        <v>6.46</v>
      </c>
      <c r="AH438" t="s">
        <v>129</v>
      </c>
      <c r="AI438" t="s">
        <v>97</v>
      </c>
      <c r="AJ438" t="s">
        <v>97</v>
      </c>
      <c r="AK438" t="s">
        <v>97</v>
      </c>
      <c r="AL438" t="s">
        <v>97</v>
      </c>
      <c r="AM438">
        <v>13</v>
      </c>
      <c r="AN438" t="s">
        <v>130</v>
      </c>
      <c r="AO438" t="s">
        <v>213</v>
      </c>
      <c r="AP438" t="s">
        <v>122</v>
      </c>
      <c r="AQ438" t="s">
        <v>103</v>
      </c>
      <c r="AR438" t="s">
        <v>104</v>
      </c>
      <c r="AS438" t="s">
        <v>214</v>
      </c>
      <c r="AT438" t="s">
        <v>110</v>
      </c>
      <c r="AU438" t="s">
        <v>97</v>
      </c>
      <c r="AV438" t="s">
        <v>97</v>
      </c>
      <c r="AW438">
        <v>-0.01</v>
      </c>
      <c r="AX438">
        <v>0.35</v>
      </c>
      <c r="AY438">
        <v>-0.66</v>
      </c>
      <c r="AZ438">
        <v>0.63</v>
      </c>
      <c r="BA438" t="s">
        <v>97</v>
      </c>
      <c r="BB438" t="s">
        <v>97</v>
      </c>
      <c r="BC438">
        <v>666182</v>
      </c>
      <c r="BD438">
        <v>2</v>
      </c>
      <c r="BE438" t="s">
        <v>97</v>
      </c>
      <c r="BF438" t="s">
        <v>97</v>
      </c>
      <c r="BG438" t="s">
        <v>97</v>
      </c>
      <c r="BH438" t="s">
        <v>97</v>
      </c>
      <c r="BI438">
        <v>669257</v>
      </c>
      <c r="BJ438">
        <v>669257</v>
      </c>
      <c r="BK438" t="s">
        <v>97</v>
      </c>
      <c r="BL438" t="s">
        <v>97</v>
      </c>
      <c r="BM438">
        <v>-6.5976273460000003</v>
      </c>
      <c r="BN438">
        <v>-132.07623409999999</v>
      </c>
      <c r="BO438">
        <v>-9.5885976159999995</v>
      </c>
      <c r="BP438">
        <v>1.223857567</v>
      </c>
      <c r="BQ438">
        <v>27.405277340000001</v>
      </c>
      <c r="BR438">
        <v>-26.196064459999999</v>
      </c>
      <c r="BS438">
        <v>3.13</v>
      </c>
      <c r="BT438">
        <v>1.5</v>
      </c>
      <c r="BU438">
        <v>2</v>
      </c>
      <c r="BV438">
        <v>57.9</v>
      </c>
      <c r="BW438">
        <v>-29</v>
      </c>
      <c r="BX438">
        <v>92.2</v>
      </c>
      <c r="BY438">
        <v>2326</v>
      </c>
      <c r="BZ438">
        <v>7.1</v>
      </c>
      <c r="CA438">
        <v>813022</v>
      </c>
      <c r="CB438">
        <v>669257</v>
      </c>
      <c r="CC438">
        <v>669257</v>
      </c>
      <c r="CD438">
        <v>518692</v>
      </c>
      <c r="CE438">
        <v>669242</v>
      </c>
      <c r="CF438">
        <v>571970</v>
      </c>
      <c r="CG438">
        <v>605141</v>
      </c>
      <c r="CH438">
        <v>669743</v>
      </c>
      <c r="CI438">
        <v>571771</v>
      </c>
      <c r="CJ438">
        <v>606192</v>
      </c>
      <c r="CK438">
        <v>53.41</v>
      </c>
      <c r="CL438" t="s">
        <v>97</v>
      </c>
      <c r="CM438" t="s">
        <v>97</v>
      </c>
      <c r="CN438" t="s">
        <v>97</v>
      </c>
      <c r="CO438" t="s">
        <v>97</v>
      </c>
      <c r="CP438" t="s">
        <v>97</v>
      </c>
      <c r="CQ438" t="s">
        <v>97</v>
      </c>
      <c r="CR438" t="s">
        <v>97</v>
      </c>
      <c r="CS438">
        <v>0</v>
      </c>
      <c r="CT438">
        <v>2</v>
      </c>
      <c r="CU438">
        <v>2</v>
      </c>
      <c r="CV438">
        <v>0</v>
      </c>
      <c r="CW438">
        <v>2</v>
      </c>
      <c r="CX438">
        <v>0</v>
      </c>
      <c r="CY438">
        <v>2</v>
      </c>
      <c r="CZ438">
        <v>0</v>
      </c>
      <c r="DA438" t="s">
        <v>107</v>
      </c>
      <c r="DB438" t="s">
        <v>107</v>
      </c>
      <c r="DC438">
        <v>164</v>
      </c>
      <c r="DD438">
        <v>0</v>
      </c>
      <c r="DE438">
        <v>0</v>
      </c>
      <c r="DF438">
        <v>74.5</v>
      </c>
      <c r="DG438">
        <v>8</v>
      </c>
    </row>
    <row r="439" spans="1:111" x14ac:dyDescent="0.2">
      <c r="A439">
        <v>2025</v>
      </c>
      <c r="B439" s="1">
        <v>45959</v>
      </c>
      <c r="C439" t="s">
        <v>95</v>
      </c>
      <c r="D439">
        <v>605483</v>
      </c>
      <c r="E439">
        <v>672386</v>
      </c>
      <c r="F439">
        <v>2</v>
      </c>
      <c r="G439">
        <v>2</v>
      </c>
      <c r="H439">
        <v>3</v>
      </c>
      <c r="I439" t="s">
        <v>96</v>
      </c>
      <c r="J439">
        <v>20</v>
      </c>
      <c r="K439">
        <v>7</v>
      </c>
      <c r="L439" t="s">
        <v>116</v>
      </c>
      <c r="M439" t="s">
        <v>111</v>
      </c>
      <c r="N439" t="s">
        <v>112</v>
      </c>
      <c r="O439">
        <f t="shared" si="96"/>
        <v>0</v>
      </c>
      <c r="P439">
        <f t="shared" si="97"/>
        <v>0</v>
      </c>
      <c r="Q439">
        <f t="shared" si="98"/>
        <v>0</v>
      </c>
      <c r="R439">
        <f t="shared" si="99"/>
        <v>0</v>
      </c>
      <c r="S439">
        <f t="shared" si="100"/>
        <v>1</v>
      </c>
      <c r="T439">
        <f t="shared" si="101"/>
        <v>0</v>
      </c>
      <c r="U439">
        <f t="shared" si="102"/>
        <v>0</v>
      </c>
      <c r="V439">
        <f t="shared" si="103"/>
        <v>0</v>
      </c>
      <c r="W439">
        <f t="shared" si="104"/>
        <v>0</v>
      </c>
      <c r="X439">
        <f t="shared" si="105"/>
        <v>0</v>
      </c>
      <c r="Y439">
        <f t="shared" si="106"/>
        <v>0</v>
      </c>
      <c r="Z439">
        <f t="shared" si="107"/>
        <v>0</v>
      </c>
      <c r="AA439">
        <f t="shared" si="108"/>
        <v>0</v>
      </c>
      <c r="AB439">
        <f t="shared" si="109"/>
        <v>0</v>
      </c>
      <c r="AC439">
        <f t="shared" si="110"/>
        <v>0</v>
      </c>
      <c r="AD439">
        <f t="shared" si="111"/>
        <v>0</v>
      </c>
      <c r="AE439">
        <v>82</v>
      </c>
      <c r="AF439">
        <v>1.79</v>
      </c>
      <c r="AG439">
        <v>6.46</v>
      </c>
      <c r="AH439" t="s">
        <v>117</v>
      </c>
      <c r="AI439" t="s">
        <v>97</v>
      </c>
      <c r="AJ439" t="s">
        <v>97</v>
      </c>
      <c r="AK439" t="s">
        <v>97</v>
      </c>
      <c r="AL439" t="s">
        <v>97</v>
      </c>
      <c r="AM439">
        <v>13</v>
      </c>
      <c r="AN439" t="s">
        <v>256</v>
      </c>
      <c r="AO439" t="s">
        <v>213</v>
      </c>
      <c r="AP439" t="s">
        <v>122</v>
      </c>
      <c r="AQ439" t="s">
        <v>103</v>
      </c>
      <c r="AR439" t="s">
        <v>104</v>
      </c>
      <c r="AS439" t="s">
        <v>214</v>
      </c>
      <c r="AT439" t="s">
        <v>110</v>
      </c>
      <c r="AU439">
        <v>2</v>
      </c>
      <c r="AV439" t="s">
        <v>97</v>
      </c>
      <c r="AW439">
        <v>-1.42</v>
      </c>
      <c r="AX439">
        <v>-0.96</v>
      </c>
      <c r="AY439">
        <v>-1.03</v>
      </c>
      <c r="AZ439">
        <v>-0.45</v>
      </c>
      <c r="BA439" t="s">
        <v>97</v>
      </c>
      <c r="BB439" t="s">
        <v>97</v>
      </c>
      <c r="BC439">
        <v>666182</v>
      </c>
      <c r="BD439">
        <v>2</v>
      </c>
      <c r="BE439" t="s">
        <v>97</v>
      </c>
      <c r="BF439" t="s">
        <v>97</v>
      </c>
      <c r="BG439" t="s">
        <v>97</v>
      </c>
      <c r="BH439" t="s">
        <v>97</v>
      </c>
      <c r="BI439">
        <v>669257</v>
      </c>
      <c r="BJ439">
        <v>669257</v>
      </c>
      <c r="BK439" t="s">
        <v>97</v>
      </c>
      <c r="BL439" t="s">
        <v>97</v>
      </c>
      <c r="BM439">
        <v>-3.6776041799999999</v>
      </c>
      <c r="BN439">
        <v>-119.2133819</v>
      </c>
      <c r="BO439">
        <v>-7.1686154999999996</v>
      </c>
      <c r="BP439">
        <v>-12.49154646</v>
      </c>
      <c r="BQ439">
        <v>26.872917409999999</v>
      </c>
      <c r="BR439">
        <v>-39.81152874</v>
      </c>
      <c r="BS439">
        <v>3.13</v>
      </c>
      <c r="BT439">
        <v>1.5</v>
      </c>
      <c r="BU439" t="s">
        <v>97</v>
      </c>
      <c r="BV439" t="s">
        <v>97</v>
      </c>
      <c r="BW439" t="s">
        <v>97</v>
      </c>
      <c r="BX439">
        <v>82.3</v>
      </c>
      <c r="BY439">
        <v>2729</v>
      </c>
      <c r="BZ439">
        <v>6.9</v>
      </c>
      <c r="CA439">
        <v>813022</v>
      </c>
      <c r="CB439">
        <v>669257</v>
      </c>
      <c r="CC439">
        <v>669257</v>
      </c>
      <c r="CD439">
        <v>518692</v>
      </c>
      <c r="CE439">
        <v>669242</v>
      </c>
      <c r="CF439">
        <v>571970</v>
      </c>
      <c r="CG439">
        <v>605141</v>
      </c>
      <c r="CH439">
        <v>669743</v>
      </c>
      <c r="CI439">
        <v>571771</v>
      </c>
      <c r="CJ439">
        <v>606192</v>
      </c>
      <c r="CK439">
        <v>53.56</v>
      </c>
      <c r="CL439" t="s">
        <v>97</v>
      </c>
      <c r="CM439">
        <v>0</v>
      </c>
      <c r="CN439">
        <v>0</v>
      </c>
      <c r="CO439">
        <v>1</v>
      </c>
      <c r="CP439">
        <v>0</v>
      </c>
      <c r="CQ439">
        <v>0</v>
      </c>
      <c r="CR439" t="s">
        <v>97</v>
      </c>
      <c r="CS439">
        <v>0</v>
      </c>
      <c r="CT439">
        <v>2</v>
      </c>
      <c r="CU439">
        <v>2</v>
      </c>
      <c r="CV439">
        <v>0</v>
      </c>
      <c r="CW439">
        <v>2</v>
      </c>
      <c r="CX439">
        <v>0</v>
      </c>
      <c r="CY439">
        <v>2</v>
      </c>
      <c r="CZ439">
        <v>0</v>
      </c>
      <c r="DA439" t="s">
        <v>107</v>
      </c>
      <c r="DB439" t="s">
        <v>107</v>
      </c>
      <c r="DC439">
        <v>331</v>
      </c>
      <c r="DD439">
        <v>1.7999999999999999E-2</v>
      </c>
      <c r="DE439">
        <v>-0.216</v>
      </c>
      <c r="DF439">
        <v>60.1</v>
      </c>
      <c r="DG439">
        <v>9.1</v>
      </c>
    </row>
    <row r="440" spans="1:111" x14ac:dyDescent="0.2">
      <c r="A440">
        <v>2025</v>
      </c>
      <c r="B440" s="1">
        <v>45959</v>
      </c>
      <c r="C440" t="s">
        <v>95</v>
      </c>
      <c r="D440">
        <v>605483</v>
      </c>
      <c r="E440">
        <v>662139</v>
      </c>
      <c r="F440">
        <v>0</v>
      </c>
      <c r="G440">
        <v>0</v>
      </c>
      <c r="H440">
        <v>4</v>
      </c>
      <c r="I440" t="s">
        <v>96</v>
      </c>
      <c r="J440">
        <v>25</v>
      </c>
      <c r="K440">
        <v>1</v>
      </c>
      <c r="L440" t="s">
        <v>97</v>
      </c>
      <c r="M440" t="s">
        <v>111</v>
      </c>
      <c r="N440" t="s">
        <v>112</v>
      </c>
      <c r="O440">
        <f t="shared" si="96"/>
        <v>0</v>
      </c>
      <c r="P440">
        <f t="shared" si="97"/>
        <v>0</v>
      </c>
      <c r="Q440">
        <f t="shared" si="98"/>
        <v>0</v>
      </c>
      <c r="R440">
        <f t="shared" si="99"/>
        <v>0</v>
      </c>
      <c r="S440">
        <f t="shared" si="100"/>
        <v>0</v>
      </c>
      <c r="T440">
        <f t="shared" si="101"/>
        <v>0</v>
      </c>
      <c r="U440">
        <f t="shared" si="102"/>
        <v>0</v>
      </c>
      <c r="V440">
        <f t="shared" si="103"/>
        <v>1</v>
      </c>
      <c r="W440">
        <f t="shared" si="104"/>
        <v>0</v>
      </c>
      <c r="X440">
        <f t="shared" si="105"/>
        <v>0</v>
      </c>
      <c r="Y440">
        <f t="shared" si="106"/>
        <v>0</v>
      </c>
      <c r="Z440">
        <f t="shared" si="107"/>
        <v>0</v>
      </c>
      <c r="AA440">
        <f t="shared" si="108"/>
        <v>0</v>
      </c>
      <c r="AB440">
        <f t="shared" si="109"/>
        <v>0</v>
      </c>
      <c r="AC440">
        <f t="shared" si="110"/>
        <v>0</v>
      </c>
      <c r="AD440">
        <f t="shared" si="111"/>
        <v>0</v>
      </c>
      <c r="AE440">
        <v>81</v>
      </c>
      <c r="AF440">
        <v>1.84</v>
      </c>
      <c r="AG440">
        <v>6.57</v>
      </c>
      <c r="AH440" t="s">
        <v>108</v>
      </c>
      <c r="AI440" t="s">
        <v>97</v>
      </c>
      <c r="AJ440" t="s">
        <v>97</v>
      </c>
      <c r="AK440" t="s">
        <v>97</v>
      </c>
      <c r="AL440" t="s">
        <v>97</v>
      </c>
      <c r="AM440">
        <v>8</v>
      </c>
      <c r="AN440" t="s">
        <v>109</v>
      </c>
      <c r="AO440" t="s">
        <v>213</v>
      </c>
      <c r="AP440" t="s">
        <v>103</v>
      </c>
      <c r="AQ440" t="s">
        <v>103</v>
      </c>
      <c r="AR440" t="s">
        <v>104</v>
      </c>
      <c r="AS440" t="s">
        <v>214</v>
      </c>
      <c r="AT440" t="s">
        <v>110</v>
      </c>
      <c r="AU440" t="s">
        <v>97</v>
      </c>
      <c r="AV440" t="s">
        <v>97</v>
      </c>
      <c r="AW440">
        <v>-0.84</v>
      </c>
      <c r="AX440">
        <v>-0.45</v>
      </c>
      <c r="AY440">
        <v>-0.17</v>
      </c>
      <c r="AZ440">
        <v>1.96</v>
      </c>
      <c r="BA440" t="s">
        <v>97</v>
      </c>
      <c r="BB440" t="s">
        <v>97</v>
      </c>
      <c r="BC440" t="s">
        <v>97</v>
      </c>
      <c r="BD440">
        <v>0</v>
      </c>
      <c r="BE440" t="s">
        <v>97</v>
      </c>
      <c r="BF440" t="s">
        <v>97</v>
      </c>
      <c r="BG440" t="s">
        <v>97</v>
      </c>
      <c r="BH440" t="s">
        <v>97</v>
      </c>
      <c r="BI440">
        <v>669257</v>
      </c>
      <c r="BJ440">
        <v>669257</v>
      </c>
      <c r="BK440" t="s">
        <v>97</v>
      </c>
      <c r="BL440" t="s">
        <v>97</v>
      </c>
      <c r="BM440">
        <v>-2.8895617530000002</v>
      </c>
      <c r="BN440">
        <v>-117.9110718</v>
      </c>
      <c r="BO440">
        <v>-2.761318272</v>
      </c>
      <c r="BP440">
        <v>-7.2337156699999996</v>
      </c>
      <c r="BQ440">
        <v>24.319745560000001</v>
      </c>
      <c r="BR440">
        <v>-36.023978219999996</v>
      </c>
      <c r="BS440">
        <v>3.29</v>
      </c>
      <c r="BT440">
        <v>1.58</v>
      </c>
      <c r="BU440" t="s">
        <v>97</v>
      </c>
      <c r="BV440" t="s">
        <v>97</v>
      </c>
      <c r="BW440" t="s">
        <v>97</v>
      </c>
      <c r="BX440">
        <v>81.3</v>
      </c>
      <c r="BY440">
        <v>2629</v>
      </c>
      <c r="BZ440">
        <v>6.7</v>
      </c>
      <c r="CA440">
        <v>813022</v>
      </c>
      <c r="CB440">
        <v>669257</v>
      </c>
      <c r="CC440">
        <v>669257</v>
      </c>
      <c r="CD440">
        <v>518692</v>
      </c>
      <c r="CE440">
        <v>669242</v>
      </c>
      <c r="CF440">
        <v>571970</v>
      </c>
      <c r="CG440">
        <v>605141</v>
      </c>
      <c r="CH440">
        <v>669743</v>
      </c>
      <c r="CI440">
        <v>571771</v>
      </c>
      <c r="CJ440">
        <v>606192</v>
      </c>
      <c r="CK440">
        <v>53.8</v>
      </c>
      <c r="CL440" t="s">
        <v>97</v>
      </c>
      <c r="CM440" t="s">
        <v>97</v>
      </c>
      <c r="CN440" t="s">
        <v>97</v>
      </c>
      <c r="CO440" t="s">
        <v>97</v>
      </c>
      <c r="CP440" t="s">
        <v>97</v>
      </c>
      <c r="CQ440" t="s">
        <v>97</v>
      </c>
      <c r="CR440" t="s">
        <v>97</v>
      </c>
      <c r="CS440">
        <v>1</v>
      </c>
      <c r="CT440">
        <v>2</v>
      </c>
      <c r="CU440">
        <v>2</v>
      </c>
      <c r="CV440">
        <v>1</v>
      </c>
      <c r="CW440">
        <v>2</v>
      </c>
      <c r="CX440">
        <v>1</v>
      </c>
      <c r="CY440">
        <v>2</v>
      </c>
      <c r="CZ440">
        <v>1</v>
      </c>
      <c r="DA440" t="s">
        <v>107</v>
      </c>
      <c r="DB440" t="s">
        <v>107</v>
      </c>
      <c r="DC440">
        <v>322</v>
      </c>
      <c r="DD440">
        <v>0</v>
      </c>
      <c r="DE440">
        <v>-3.9E-2</v>
      </c>
      <c r="DF440" t="s">
        <v>97</v>
      </c>
      <c r="DG440" t="s">
        <v>97</v>
      </c>
    </row>
    <row r="441" spans="1:111" x14ac:dyDescent="0.2">
      <c r="A441">
        <v>2025</v>
      </c>
      <c r="B441" s="1">
        <v>45959</v>
      </c>
      <c r="C441" t="s">
        <v>95</v>
      </c>
      <c r="D441">
        <v>605483</v>
      </c>
      <c r="E441">
        <v>662139</v>
      </c>
      <c r="F441">
        <v>0</v>
      </c>
      <c r="G441">
        <v>1</v>
      </c>
      <c r="H441">
        <v>4</v>
      </c>
      <c r="I441" t="s">
        <v>96</v>
      </c>
      <c r="J441">
        <v>25</v>
      </c>
      <c r="K441">
        <v>2</v>
      </c>
      <c r="L441" t="s">
        <v>97</v>
      </c>
      <c r="M441" t="s">
        <v>138</v>
      </c>
      <c r="N441" t="s">
        <v>139</v>
      </c>
      <c r="O441">
        <f t="shared" si="96"/>
        <v>0</v>
      </c>
      <c r="P441">
        <f t="shared" si="97"/>
        <v>0</v>
      </c>
      <c r="Q441">
        <f t="shared" si="98"/>
        <v>0</v>
      </c>
      <c r="R441">
        <f t="shared" si="99"/>
        <v>0</v>
      </c>
      <c r="S441">
        <f t="shared" si="100"/>
        <v>0</v>
      </c>
      <c r="T441">
        <f t="shared" si="101"/>
        <v>0</v>
      </c>
      <c r="U441">
        <f t="shared" si="102"/>
        <v>0</v>
      </c>
      <c r="V441">
        <f t="shared" si="103"/>
        <v>0</v>
      </c>
      <c r="W441">
        <f t="shared" si="104"/>
        <v>0</v>
      </c>
      <c r="X441">
        <f t="shared" si="105"/>
        <v>0</v>
      </c>
      <c r="Y441">
        <f t="shared" si="106"/>
        <v>0</v>
      </c>
      <c r="Z441">
        <f t="shared" si="107"/>
        <v>0</v>
      </c>
      <c r="AA441">
        <f t="shared" si="108"/>
        <v>0</v>
      </c>
      <c r="AB441">
        <f t="shared" si="109"/>
        <v>0</v>
      </c>
      <c r="AC441">
        <f t="shared" si="110"/>
        <v>1</v>
      </c>
      <c r="AD441">
        <f t="shared" si="111"/>
        <v>0</v>
      </c>
      <c r="AE441">
        <v>86.7</v>
      </c>
      <c r="AF441">
        <v>2.02</v>
      </c>
      <c r="AG441">
        <v>6.52</v>
      </c>
      <c r="AH441" t="s">
        <v>100</v>
      </c>
      <c r="AI441" t="s">
        <v>97</v>
      </c>
      <c r="AJ441" t="s">
        <v>97</v>
      </c>
      <c r="AK441" t="s">
        <v>97</v>
      </c>
      <c r="AL441" t="s">
        <v>97</v>
      </c>
      <c r="AM441">
        <v>11</v>
      </c>
      <c r="AN441" t="s">
        <v>101</v>
      </c>
      <c r="AO441" t="s">
        <v>213</v>
      </c>
      <c r="AP441" t="s">
        <v>103</v>
      </c>
      <c r="AQ441" t="s">
        <v>103</v>
      </c>
      <c r="AR441" t="s">
        <v>104</v>
      </c>
      <c r="AS441" t="s">
        <v>214</v>
      </c>
      <c r="AT441" t="s">
        <v>106</v>
      </c>
      <c r="AU441" t="s">
        <v>97</v>
      </c>
      <c r="AV441" t="s">
        <v>97</v>
      </c>
      <c r="AW441">
        <v>-0.48</v>
      </c>
      <c r="AX441">
        <v>0.49</v>
      </c>
      <c r="AY441">
        <v>-1.26</v>
      </c>
      <c r="AZ441">
        <v>2.5</v>
      </c>
      <c r="BA441" t="s">
        <v>97</v>
      </c>
      <c r="BB441" t="s">
        <v>97</v>
      </c>
      <c r="BC441" t="s">
        <v>97</v>
      </c>
      <c r="BD441">
        <v>0</v>
      </c>
      <c r="BE441" t="s">
        <v>97</v>
      </c>
      <c r="BF441" t="s">
        <v>97</v>
      </c>
      <c r="BG441" t="s">
        <v>97</v>
      </c>
      <c r="BH441" t="s">
        <v>97</v>
      </c>
      <c r="BI441">
        <v>669257</v>
      </c>
      <c r="BJ441">
        <v>669257</v>
      </c>
      <c r="BK441" t="s">
        <v>97</v>
      </c>
      <c r="BL441" t="s">
        <v>97</v>
      </c>
      <c r="BM441">
        <v>-6.9244707090000004</v>
      </c>
      <c r="BN441">
        <v>-126.2270908</v>
      </c>
      <c r="BO441">
        <v>-4.5179300019999999</v>
      </c>
      <c r="BP441">
        <v>-3.92444148</v>
      </c>
      <c r="BQ441">
        <v>22.807900950000001</v>
      </c>
      <c r="BR441">
        <v>-26.189059149999999</v>
      </c>
      <c r="BS441">
        <v>3.4</v>
      </c>
      <c r="BT441">
        <v>1.52</v>
      </c>
      <c r="BU441" t="s">
        <v>97</v>
      </c>
      <c r="BV441" t="s">
        <v>97</v>
      </c>
      <c r="BW441" t="s">
        <v>97</v>
      </c>
      <c r="BX441">
        <v>88</v>
      </c>
      <c r="BY441">
        <v>2445</v>
      </c>
      <c r="BZ441">
        <v>6.8</v>
      </c>
      <c r="CA441">
        <v>813022</v>
      </c>
      <c r="CB441">
        <v>669257</v>
      </c>
      <c r="CC441">
        <v>669257</v>
      </c>
      <c r="CD441">
        <v>518692</v>
      </c>
      <c r="CE441">
        <v>669242</v>
      </c>
      <c r="CF441">
        <v>571970</v>
      </c>
      <c r="CG441">
        <v>605141</v>
      </c>
      <c r="CH441">
        <v>669743</v>
      </c>
      <c r="CI441">
        <v>571771</v>
      </c>
      <c r="CJ441">
        <v>606192</v>
      </c>
      <c r="CK441">
        <v>53.67</v>
      </c>
      <c r="CL441" t="s">
        <v>97</v>
      </c>
      <c r="CM441" t="s">
        <v>97</v>
      </c>
      <c r="CN441" t="s">
        <v>97</v>
      </c>
      <c r="CO441" t="s">
        <v>97</v>
      </c>
      <c r="CP441" t="s">
        <v>97</v>
      </c>
      <c r="CQ441" t="s">
        <v>97</v>
      </c>
      <c r="CR441" t="s">
        <v>97</v>
      </c>
      <c r="CS441">
        <v>1</v>
      </c>
      <c r="CT441">
        <v>2</v>
      </c>
      <c r="CU441">
        <v>2</v>
      </c>
      <c r="CV441">
        <v>1</v>
      </c>
      <c r="CW441">
        <v>2</v>
      </c>
      <c r="CX441">
        <v>1</v>
      </c>
      <c r="CY441">
        <v>2</v>
      </c>
      <c r="CZ441">
        <v>1</v>
      </c>
      <c r="DA441" t="s">
        <v>107</v>
      </c>
      <c r="DB441" t="s">
        <v>107</v>
      </c>
      <c r="DC441">
        <v>195</v>
      </c>
      <c r="DD441">
        <v>0</v>
      </c>
      <c r="DE441">
        <v>3.1E-2</v>
      </c>
      <c r="DF441" t="s">
        <v>97</v>
      </c>
      <c r="DG441" t="s">
        <v>97</v>
      </c>
    </row>
    <row r="442" spans="1:111" x14ac:dyDescent="0.2">
      <c r="A442">
        <v>2025</v>
      </c>
      <c r="B442" s="1">
        <v>45959</v>
      </c>
      <c r="C442" t="s">
        <v>95</v>
      </c>
      <c r="D442">
        <v>605483</v>
      </c>
      <c r="E442">
        <v>662139</v>
      </c>
      <c r="F442">
        <v>1</v>
      </c>
      <c r="G442">
        <v>1</v>
      </c>
      <c r="H442">
        <v>4</v>
      </c>
      <c r="I442" t="s">
        <v>96</v>
      </c>
      <c r="J442">
        <v>25</v>
      </c>
      <c r="K442">
        <v>3</v>
      </c>
      <c r="L442" t="s">
        <v>97</v>
      </c>
      <c r="M442" t="s">
        <v>111</v>
      </c>
      <c r="N442" t="s">
        <v>112</v>
      </c>
      <c r="O442">
        <f t="shared" si="96"/>
        <v>0</v>
      </c>
      <c r="P442">
        <f t="shared" si="97"/>
        <v>0</v>
      </c>
      <c r="Q442">
        <f t="shared" si="98"/>
        <v>0</v>
      </c>
      <c r="R442">
        <f t="shared" si="99"/>
        <v>0</v>
      </c>
      <c r="S442">
        <f t="shared" si="100"/>
        <v>1</v>
      </c>
      <c r="T442">
        <f t="shared" si="101"/>
        <v>0</v>
      </c>
      <c r="U442">
        <f t="shared" si="102"/>
        <v>0</v>
      </c>
      <c r="V442">
        <f t="shared" si="103"/>
        <v>0</v>
      </c>
      <c r="W442">
        <f t="shared" si="104"/>
        <v>0</v>
      </c>
      <c r="X442">
        <f t="shared" si="105"/>
        <v>0</v>
      </c>
      <c r="Y442">
        <f t="shared" si="106"/>
        <v>0</v>
      </c>
      <c r="Z442">
        <f t="shared" si="107"/>
        <v>0</v>
      </c>
      <c r="AA442">
        <f t="shared" si="108"/>
        <v>0</v>
      </c>
      <c r="AB442">
        <f t="shared" si="109"/>
        <v>0</v>
      </c>
      <c r="AC442">
        <f t="shared" si="110"/>
        <v>0</v>
      </c>
      <c r="AD442">
        <f t="shared" si="111"/>
        <v>0</v>
      </c>
      <c r="AE442">
        <v>82.2</v>
      </c>
      <c r="AF442">
        <v>2.0099999999999998</v>
      </c>
      <c r="AG442">
        <v>6.53</v>
      </c>
      <c r="AH442" t="s">
        <v>129</v>
      </c>
      <c r="AI442" t="s">
        <v>97</v>
      </c>
      <c r="AJ442" t="s">
        <v>97</v>
      </c>
      <c r="AK442" t="s">
        <v>97</v>
      </c>
      <c r="AL442" t="s">
        <v>97</v>
      </c>
      <c r="AM442">
        <v>7</v>
      </c>
      <c r="AN442" t="s">
        <v>130</v>
      </c>
      <c r="AO442" t="s">
        <v>213</v>
      </c>
      <c r="AP442" t="s">
        <v>103</v>
      </c>
      <c r="AQ442" t="s">
        <v>103</v>
      </c>
      <c r="AR442" t="s">
        <v>104</v>
      </c>
      <c r="AS442" t="s">
        <v>214</v>
      </c>
      <c r="AT442" t="s">
        <v>110</v>
      </c>
      <c r="AU442" t="s">
        <v>97</v>
      </c>
      <c r="AV442" t="s">
        <v>97</v>
      </c>
      <c r="AW442">
        <v>-1.24</v>
      </c>
      <c r="AX442">
        <v>-0.62</v>
      </c>
      <c r="AY442">
        <v>-0.45</v>
      </c>
      <c r="AZ442">
        <v>1.95</v>
      </c>
      <c r="BA442" t="s">
        <v>97</v>
      </c>
      <c r="BB442" t="s">
        <v>97</v>
      </c>
      <c r="BC442" t="s">
        <v>97</v>
      </c>
      <c r="BD442">
        <v>0</v>
      </c>
      <c r="BE442" t="s">
        <v>97</v>
      </c>
      <c r="BF442" t="s">
        <v>97</v>
      </c>
      <c r="BG442" t="s">
        <v>97</v>
      </c>
      <c r="BH442" t="s">
        <v>97</v>
      </c>
      <c r="BI442">
        <v>669257</v>
      </c>
      <c r="BJ442">
        <v>669257</v>
      </c>
      <c r="BK442" t="s">
        <v>97</v>
      </c>
      <c r="BL442" t="s">
        <v>97</v>
      </c>
      <c r="BM442">
        <v>-3.1884637979999999</v>
      </c>
      <c r="BN442">
        <v>-119.6623944</v>
      </c>
      <c r="BO442">
        <v>-2.5968743220000001</v>
      </c>
      <c r="BP442">
        <v>-11.14187287</v>
      </c>
      <c r="BQ442">
        <v>25.017900189999999</v>
      </c>
      <c r="BR442">
        <v>-37.814576019999997</v>
      </c>
      <c r="BS442">
        <v>3.4</v>
      </c>
      <c r="BT442">
        <v>1.58</v>
      </c>
      <c r="BU442">
        <v>5</v>
      </c>
      <c r="BV442">
        <v>36.200000000000003</v>
      </c>
      <c r="BW442">
        <v>-24</v>
      </c>
      <c r="BX442">
        <v>82.6</v>
      </c>
      <c r="BY442">
        <v>2598</v>
      </c>
      <c r="BZ442">
        <v>6.7</v>
      </c>
      <c r="CA442">
        <v>813022</v>
      </c>
      <c r="CB442">
        <v>669257</v>
      </c>
      <c r="CC442">
        <v>669257</v>
      </c>
      <c r="CD442">
        <v>518692</v>
      </c>
      <c r="CE442">
        <v>669242</v>
      </c>
      <c r="CF442">
        <v>571970</v>
      </c>
      <c r="CG442">
        <v>605141</v>
      </c>
      <c r="CH442">
        <v>669743</v>
      </c>
      <c r="CI442">
        <v>571771</v>
      </c>
      <c r="CJ442">
        <v>606192</v>
      </c>
      <c r="CK442">
        <v>53.79</v>
      </c>
      <c r="CL442" t="s">
        <v>97</v>
      </c>
      <c r="CM442" t="s">
        <v>97</v>
      </c>
      <c r="CN442" t="s">
        <v>97</v>
      </c>
      <c r="CO442" t="s">
        <v>97</v>
      </c>
      <c r="CP442" t="s">
        <v>97</v>
      </c>
      <c r="CQ442" t="s">
        <v>97</v>
      </c>
      <c r="CR442" t="s">
        <v>97</v>
      </c>
      <c r="CS442">
        <v>1</v>
      </c>
      <c r="CT442">
        <v>2</v>
      </c>
      <c r="CU442">
        <v>2</v>
      </c>
      <c r="CV442">
        <v>1</v>
      </c>
      <c r="CW442">
        <v>2</v>
      </c>
      <c r="CX442">
        <v>1</v>
      </c>
      <c r="CY442">
        <v>2</v>
      </c>
      <c r="CZ442">
        <v>1</v>
      </c>
      <c r="DA442" t="s">
        <v>107</v>
      </c>
      <c r="DB442" t="s">
        <v>107</v>
      </c>
      <c r="DC442">
        <v>325</v>
      </c>
      <c r="DD442">
        <v>0</v>
      </c>
      <c r="DE442">
        <v>-6.0999999999999999E-2</v>
      </c>
      <c r="DF442">
        <v>71.5</v>
      </c>
      <c r="DG442">
        <v>8.8000000000000007</v>
      </c>
    </row>
    <row r="443" spans="1:111" x14ac:dyDescent="0.2">
      <c r="A443">
        <v>2025</v>
      </c>
      <c r="B443" s="1">
        <v>45959</v>
      </c>
      <c r="C443" t="s">
        <v>95</v>
      </c>
      <c r="D443">
        <v>605483</v>
      </c>
      <c r="E443">
        <v>662139</v>
      </c>
      <c r="F443">
        <v>1</v>
      </c>
      <c r="G443">
        <v>2</v>
      </c>
      <c r="H443">
        <v>4</v>
      </c>
      <c r="I443" t="s">
        <v>96</v>
      </c>
      <c r="J443">
        <v>25</v>
      </c>
      <c r="K443">
        <v>4</v>
      </c>
      <c r="L443" t="s">
        <v>97</v>
      </c>
      <c r="M443" t="s">
        <v>111</v>
      </c>
      <c r="N443" t="s">
        <v>112</v>
      </c>
      <c r="O443">
        <f t="shared" si="96"/>
        <v>0</v>
      </c>
      <c r="P443">
        <f t="shared" si="97"/>
        <v>0</v>
      </c>
      <c r="Q443">
        <f t="shared" si="98"/>
        <v>0</v>
      </c>
      <c r="R443">
        <f t="shared" si="99"/>
        <v>0</v>
      </c>
      <c r="S443">
        <f t="shared" si="100"/>
        <v>1</v>
      </c>
      <c r="T443">
        <f t="shared" si="101"/>
        <v>0</v>
      </c>
      <c r="U443">
        <f t="shared" si="102"/>
        <v>0</v>
      </c>
      <c r="V443">
        <f t="shared" si="103"/>
        <v>0</v>
      </c>
      <c r="W443">
        <f t="shared" si="104"/>
        <v>0</v>
      </c>
      <c r="X443">
        <f t="shared" si="105"/>
        <v>0</v>
      </c>
      <c r="Y443">
        <f t="shared" si="106"/>
        <v>0</v>
      </c>
      <c r="Z443">
        <f t="shared" si="107"/>
        <v>0</v>
      </c>
      <c r="AA443">
        <f t="shared" si="108"/>
        <v>0</v>
      </c>
      <c r="AB443">
        <f t="shared" si="109"/>
        <v>0</v>
      </c>
      <c r="AC443">
        <f t="shared" si="110"/>
        <v>0</v>
      </c>
      <c r="AD443">
        <f t="shared" si="111"/>
        <v>0</v>
      </c>
      <c r="AE443">
        <v>82.6</v>
      </c>
      <c r="AF443">
        <v>1.86</v>
      </c>
      <c r="AG443">
        <v>6.42</v>
      </c>
      <c r="AH443" t="s">
        <v>100</v>
      </c>
      <c r="AI443" t="s">
        <v>97</v>
      </c>
      <c r="AJ443" t="s">
        <v>97</v>
      </c>
      <c r="AK443" t="s">
        <v>97</v>
      </c>
      <c r="AL443" t="s">
        <v>97</v>
      </c>
      <c r="AM443">
        <v>13</v>
      </c>
      <c r="AN443" t="s">
        <v>101</v>
      </c>
      <c r="AO443" t="s">
        <v>213</v>
      </c>
      <c r="AP443" t="s">
        <v>103</v>
      </c>
      <c r="AQ443" t="s">
        <v>103</v>
      </c>
      <c r="AR443" t="s">
        <v>104</v>
      </c>
      <c r="AS443" t="s">
        <v>214</v>
      </c>
      <c r="AT443" t="s">
        <v>106</v>
      </c>
      <c r="AU443" t="s">
        <v>97</v>
      </c>
      <c r="AV443" t="s">
        <v>97</v>
      </c>
      <c r="AW443">
        <v>-1.42</v>
      </c>
      <c r="AX443">
        <v>-0.75</v>
      </c>
      <c r="AY443">
        <v>-1.03</v>
      </c>
      <c r="AZ443">
        <v>-0.5</v>
      </c>
      <c r="BA443" t="s">
        <v>97</v>
      </c>
      <c r="BB443" t="s">
        <v>97</v>
      </c>
      <c r="BC443" t="s">
        <v>97</v>
      </c>
      <c r="BD443">
        <v>0</v>
      </c>
      <c r="BE443" t="s">
        <v>97</v>
      </c>
      <c r="BF443" t="s">
        <v>97</v>
      </c>
      <c r="BG443" t="s">
        <v>97</v>
      </c>
      <c r="BH443" t="s">
        <v>97</v>
      </c>
      <c r="BI443">
        <v>669257</v>
      </c>
      <c r="BJ443">
        <v>669257</v>
      </c>
      <c r="BK443" t="s">
        <v>97</v>
      </c>
      <c r="BL443" t="s">
        <v>97</v>
      </c>
      <c r="BM443">
        <v>-3.8517642479999998</v>
      </c>
      <c r="BN443">
        <v>-120.0660172</v>
      </c>
      <c r="BO443">
        <v>-7.798160781</v>
      </c>
      <c r="BP443">
        <v>-12.82693518</v>
      </c>
      <c r="BQ443">
        <v>25.291383239999998</v>
      </c>
      <c r="BR443">
        <v>-37.986744809999998</v>
      </c>
      <c r="BS443">
        <v>3.34</v>
      </c>
      <c r="BT443">
        <v>1.52</v>
      </c>
      <c r="BU443" t="s">
        <v>97</v>
      </c>
      <c r="BV443" t="s">
        <v>97</v>
      </c>
      <c r="BW443" t="s">
        <v>97</v>
      </c>
      <c r="BX443">
        <v>83.3</v>
      </c>
      <c r="BY443">
        <v>2657</v>
      </c>
      <c r="BZ443">
        <v>7</v>
      </c>
      <c r="CA443">
        <v>813022</v>
      </c>
      <c r="CB443">
        <v>669257</v>
      </c>
      <c r="CC443">
        <v>669257</v>
      </c>
      <c r="CD443">
        <v>518692</v>
      </c>
      <c r="CE443">
        <v>669242</v>
      </c>
      <c r="CF443">
        <v>571970</v>
      </c>
      <c r="CG443">
        <v>605141</v>
      </c>
      <c r="CH443">
        <v>669743</v>
      </c>
      <c r="CI443">
        <v>571771</v>
      </c>
      <c r="CJ443">
        <v>606192</v>
      </c>
      <c r="CK443">
        <v>53.51</v>
      </c>
      <c r="CL443" t="s">
        <v>97</v>
      </c>
      <c r="CM443" t="s">
        <v>97</v>
      </c>
      <c r="CN443" t="s">
        <v>97</v>
      </c>
      <c r="CO443" t="s">
        <v>97</v>
      </c>
      <c r="CP443" t="s">
        <v>97</v>
      </c>
      <c r="CQ443" t="s">
        <v>97</v>
      </c>
      <c r="CR443" t="s">
        <v>97</v>
      </c>
      <c r="CS443">
        <v>1</v>
      </c>
      <c r="CT443">
        <v>2</v>
      </c>
      <c r="CU443">
        <v>2</v>
      </c>
      <c r="CV443">
        <v>1</v>
      </c>
      <c r="CW443">
        <v>2</v>
      </c>
      <c r="CX443">
        <v>1</v>
      </c>
      <c r="CY443">
        <v>2</v>
      </c>
      <c r="CZ443">
        <v>1</v>
      </c>
      <c r="DA443" t="s">
        <v>107</v>
      </c>
      <c r="DB443" t="s">
        <v>107</v>
      </c>
      <c r="DC443">
        <v>332</v>
      </c>
      <c r="DD443">
        <v>0</v>
      </c>
      <c r="DE443">
        <v>4.2999999999999997E-2</v>
      </c>
      <c r="DF443" t="s">
        <v>97</v>
      </c>
      <c r="DG443" t="s">
        <v>97</v>
      </c>
    </row>
    <row r="444" spans="1:111" x14ac:dyDescent="0.2">
      <c r="A444">
        <v>2025</v>
      </c>
      <c r="B444" s="1">
        <v>45959</v>
      </c>
      <c r="C444" t="s">
        <v>95</v>
      </c>
      <c r="D444">
        <v>605483</v>
      </c>
      <c r="E444">
        <v>662139</v>
      </c>
      <c r="F444">
        <v>2</v>
      </c>
      <c r="G444">
        <v>2</v>
      </c>
      <c r="H444">
        <v>4</v>
      </c>
      <c r="I444" t="s">
        <v>96</v>
      </c>
      <c r="J444">
        <v>25</v>
      </c>
      <c r="K444">
        <v>5</v>
      </c>
      <c r="L444" t="s">
        <v>257</v>
      </c>
      <c r="M444" t="s">
        <v>111</v>
      </c>
      <c r="N444" t="s">
        <v>112</v>
      </c>
      <c r="O444">
        <f t="shared" si="96"/>
        <v>0</v>
      </c>
      <c r="P444">
        <f t="shared" si="97"/>
        <v>0</v>
      </c>
      <c r="Q444">
        <f t="shared" si="98"/>
        <v>0</v>
      </c>
      <c r="R444">
        <f t="shared" si="99"/>
        <v>0</v>
      </c>
      <c r="S444">
        <f t="shared" si="100"/>
        <v>0</v>
      </c>
      <c r="T444">
        <f t="shared" si="101"/>
        <v>0</v>
      </c>
      <c r="U444">
        <f t="shared" si="102"/>
        <v>1</v>
      </c>
      <c r="V444">
        <f t="shared" si="103"/>
        <v>0</v>
      </c>
      <c r="W444">
        <f t="shared" si="104"/>
        <v>0</v>
      </c>
      <c r="X444">
        <f t="shared" si="105"/>
        <v>0</v>
      </c>
      <c r="Y444">
        <f t="shared" si="106"/>
        <v>0</v>
      </c>
      <c r="Z444">
        <f t="shared" si="107"/>
        <v>0</v>
      </c>
      <c r="AA444">
        <f t="shared" si="108"/>
        <v>0</v>
      </c>
      <c r="AB444">
        <f t="shared" si="109"/>
        <v>0</v>
      </c>
      <c r="AC444">
        <f t="shared" si="110"/>
        <v>0</v>
      </c>
      <c r="AD444">
        <f t="shared" si="111"/>
        <v>0</v>
      </c>
      <c r="AE444">
        <v>80.900000000000006</v>
      </c>
      <c r="AF444">
        <v>2.02</v>
      </c>
      <c r="AG444">
        <v>6.5</v>
      </c>
      <c r="AH444" t="s">
        <v>120</v>
      </c>
      <c r="AI444" t="s">
        <v>97</v>
      </c>
      <c r="AJ444" t="s">
        <v>97</v>
      </c>
      <c r="AK444" t="s">
        <v>97</v>
      </c>
      <c r="AL444" t="s">
        <v>97</v>
      </c>
      <c r="AM444">
        <v>13</v>
      </c>
      <c r="AN444" t="s">
        <v>258</v>
      </c>
      <c r="AO444" t="s">
        <v>213</v>
      </c>
      <c r="AP444" t="s">
        <v>103</v>
      </c>
      <c r="AQ444" t="s">
        <v>103</v>
      </c>
      <c r="AR444" t="s">
        <v>104</v>
      </c>
      <c r="AS444" t="s">
        <v>214</v>
      </c>
      <c r="AT444" t="s">
        <v>123</v>
      </c>
      <c r="AU444">
        <v>9</v>
      </c>
      <c r="AV444" t="s">
        <v>158</v>
      </c>
      <c r="AW444">
        <v>-1.1200000000000001</v>
      </c>
      <c r="AX444">
        <v>-0.46</v>
      </c>
      <c r="AY444">
        <v>-0.17</v>
      </c>
      <c r="AZ444">
        <v>1.03</v>
      </c>
      <c r="BA444" t="s">
        <v>97</v>
      </c>
      <c r="BB444" t="s">
        <v>97</v>
      </c>
      <c r="BC444" t="s">
        <v>97</v>
      </c>
      <c r="BD444">
        <v>0</v>
      </c>
      <c r="BE444">
        <v>206.85</v>
      </c>
      <c r="BF444">
        <v>123.26</v>
      </c>
      <c r="BG444" t="s">
        <v>97</v>
      </c>
      <c r="BH444" t="s">
        <v>97</v>
      </c>
      <c r="BI444">
        <v>669257</v>
      </c>
      <c r="BJ444">
        <v>669257</v>
      </c>
      <c r="BK444" t="s">
        <v>97</v>
      </c>
      <c r="BL444" t="s">
        <v>97</v>
      </c>
      <c r="BM444">
        <v>-2.7727562720000001</v>
      </c>
      <c r="BN444">
        <v>-117.78817340000001</v>
      </c>
      <c r="BO444">
        <v>-4.6799097610000002</v>
      </c>
      <c r="BP444">
        <v>-9.793663746</v>
      </c>
      <c r="BQ444">
        <v>23.950853850000001</v>
      </c>
      <c r="BR444">
        <v>-35.733788050000001</v>
      </c>
      <c r="BS444">
        <v>3.4</v>
      </c>
      <c r="BT444">
        <v>1.58</v>
      </c>
      <c r="BU444">
        <v>254</v>
      </c>
      <c r="BV444">
        <v>75.599999999999994</v>
      </c>
      <c r="BW444">
        <v>30</v>
      </c>
      <c r="BX444">
        <v>81.599999999999994</v>
      </c>
      <c r="BY444">
        <v>2661</v>
      </c>
      <c r="BZ444">
        <v>6.9</v>
      </c>
      <c r="CA444">
        <v>813022</v>
      </c>
      <c r="CB444">
        <v>669257</v>
      </c>
      <c r="CC444">
        <v>669257</v>
      </c>
      <c r="CD444">
        <v>518692</v>
      </c>
      <c r="CE444">
        <v>669242</v>
      </c>
      <c r="CF444">
        <v>571970</v>
      </c>
      <c r="CG444">
        <v>605141</v>
      </c>
      <c r="CH444">
        <v>669743</v>
      </c>
      <c r="CI444">
        <v>571771</v>
      </c>
      <c r="CJ444">
        <v>606192</v>
      </c>
      <c r="CK444">
        <v>53.62</v>
      </c>
      <c r="CL444">
        <v>0.28299999999999997</v>
      </c>
      <c r="CM444">
        <v>0.255</v>
      </c>
      <c r="CN444">
        <v>1.6</v>
      </c>
      <c r="CO444">
        <v>1</v>
      </c>
      <c r="CP444">
        <v>1</v>
      </c>
      <c r="CQ444">
        <v>2</v>
      </c>
      <c r="CR444">
        <v>3</v>
      </c>
      <c r="CS444">
        <v>1</v>
      </c>
      <c r="CT444">
        <v>2</v>
      </c>
      <c r="CU444">
        <v>2</v>
      </c>
      <c r="CV444">
        <v>1</v>
      </c>
      <c r="CW444">
        <v>2</v>
      </c>
      <c r="CX444">
        <v>1</v>
      </c>
      <c r="CY444">
        <v>2</v>
      </c>
      <c r="CZ444">
        <v>1</v>
      </c>
      <c r="DA444" t="s">
        <v>107</v>
      </c>
      <c r="DB444" t="s">
        <v>107</v>
      </c>
      <c r="DC444">
        <v>329</v>
      </c>
      <c r="DD444">
        <v>-9.2999999999999999E-2</v>
      </c>
      <c r="DE444">
        <v>0.95</v>
      </c>
      <c r="DF444">
        <v>68</v>
      </c>
      <c r="DG444">
        <v>8.6999999999999993</v>
      </c>
    </row>
    <row r="445" spans="1:111" x14ac:dyDescent="0.2">
      <c r="A445">
        <v>2025</v>
      </c>
      <c r="B445" s="1">
        <v>45959</v>
      </c>
      <c r="C445" t="s">
        <v>95</v>
      </c>
      <c r="D445">
        <v>605483</v>
      </c>
      <c r="E445">
        <v>676391</v>
      </c>
      <c r="F445">
        <v>0</v>
      </c>
      <c r="G445">
        <v>0</v>
      </c>
      <c r="H445">
        <v>4</v>
      </c>
      <c r="I445" t="s">
        <v>96</v>
      </c>
      <c r="J445">
        <v>26</v>
      </c>
      <c r="K445">
        <v>1</v>
      </c>
      <c r="L445" t="s">
        <v>97</v>
      </c>
      <c r="M445" t="s">
        <v>132</v>
      </c>
      <c r="N445" t="s">
        <v>133</v>
      </c>
      <c r="O445">
        <f t="shared" si="96"/>
        <v>0</v>
      </c>
      <c r="P445">
        <f t="shared" si="97"/>
        <v>0</v>
      </c>
      <c r="Q445">
        <f t="shared" si="98"/>
        <v>0</v>
      </c>
      <c r="R445">
        <f t="shared" si="99"/>
        <v>0</v>
      </c>
      <c r="S445">
        <f t="shared" si="100"/>
        <v>0</v>
      </c>
      <c r="T445">
        <f t="shared" si="101"/>
        <v>0</v>
      </c>
      <c r="U445">
        <f t="shared" si="102"/>
        <v>0</v>
      </c>
      <c r="V445">
        <f t="shared" si="103"/>
        <v>0</v>
      </c>
      <c r="W445">
        <f t="shared" si="104"/>
        <v>0</v>
      </c>
      <c r="X445">
        <f t="shared" si="105"/>
        <v>1</v>
      </c>
      <c r="Y445">
        <f t="shared" si="106"/>
        <v>0</v>
      </c>
      <c r="Z445">
        <f t="shared" si="107"/>
        <v>0</v>
      </c>
      <c r="AA445">
        <f t="shared" si="108"/>
        <v>0</v>
      </c>
      <c r="AB445">
        <f t="shared" si="109"/>
        <v>0</v>
      </c>
      <c r="AC445">
        <f t="shared" si="110"/>
        <v>0</v>
      </c>
      <c r="AD445">
        <f t="shared" si="111"/>
        <v>0</v>
      </c>
      <c r="AE445">
        <v>84.3</v>
      </c>
      <c r="AF445">
        <v>2.4700000000000002</v>
      </c>
      <c r="AG445">
        <v>6.29</v>
      </c>
      <c r="AH445" t="s">
        <v>100</v>
      </c>
      <c r="AI445" t="s">
        <v>97</v>
      </c>
      <c r="AJ445" t="s">
        <v>97</v>
      </c>
      <c r="AK445" t="s">
        <v>97</v>
      </c>
      <c r="AL445" t="s">
        <v>97</v>
      </c>
      <c r="AM445">
        <v>12</v>
      </c>
      <c r="AN445" t="s">
        <v>101</v>
      </c>
      <c r="AO445" t="s">
        <v>213</v>
      </c>
      <c r="AP445" t="s">
        <v>122</v>
      </c>
      <c r="AQ445" t="s">
        <v>103</v>
      </c>
      <c r="AR445" t="s">
        <v>104</v>
      </c>
      <c r="AS445" t="s">
        <v>214</v>
      </c>
      <c r="AT445" t="s">
        <v>106</v>
      </c>
      <c r="AU445" t="s">
        <v>97</v>
      </c>
      <c r="AV445" t="s">
        <v>97</v>
      </c>
      <c r="AW445">
        <v>1.46</v>
      </c>
      <c r="AX445">
        <v>0.46</v>
      </c>
      <c r="AY445">
        <v>2.06</v>
      </c>
      <c r="AZ445">
        <v>2.72</v>
      </c>
      <c r="BA445">
        <v>662139</v>
      </c>
      <c r="BB445" t="s">
        <v>97</v>
      </c>
      <c r="BC445" t="s">
        <v>97</v>
      </c>
      <c r="BD445">
        <v>0</v>
      </c>
      <c r="BE445" t="s">
        <v>97</v>
      </c>
      <c r="BF445" t="s">
        <v>97</v>
      </c>
      <c r="BG445" t="s">
        <v>97</v>
      </c>
      <c r="BH445" t="s">
        <v>97</v>
      </c>
      <c r="BI445">
        <v>669257</v>
      </c>
      <c r="BJ445">
        <v>669257</v>
      </c>
      <c r="BK445" t="s">
        <v>97</v>
      </c>
      <c r="BL445" t="s">
        <v>97</v>
      </c>
      <c r="BM445">
        <v>-3.8995152750000002</v>
      </c>
      <c r="BN445">
        <v>-122.6607127</v>
      </c>
      <c r="BO445">
        <v>-2.8373200330000001</v>
      </c>
      <c r="BP445">
        <v>15.52718885</v>
      </c>
      <c r="BQ445">
        <v>24.348736639999998</v>
      </c>
      <c r="BR445">
        <v>-27.173487730000002</v>
      </c>
      <c r="BS445">
        <v>3.35</v>
      </c>
      <c r="BT445">
        <v>1.55</v>
      </c>
      <c r="BU445" t="s">
        <v>97</v>
      </c>
      <c r="BV445" t="s">
        <v>97</v>
      </c>
      <c r="BW445" t="s">
        <v>97</v>
      </c>
      <c r="BX445">
        <v>85</v>
      </c>
      <c r="BY445">
        <v>1785</v>
      </c>
      <c r="BZ445">
        <v>6.8</v>
      </c>
      <c r="CA445">
        <v>813022</v>
      </c>
      <c r="CB445">
        <v>669257</v>
      </c>
      <c r="CC445">
        <v>669257</v>
      </c>
      <c r="CD445">
        <v>518692</v>
      </c>
      <c r="CE445">
        <v>669242</v>
      </c>
      <c r="CF445">
        <v>571970</v>
      </c>
      <c r="CG445">
        <v>605141</v>
      </c>
      <c r="CH445">
        <v>669743</v>
      </c>
      <c r="CI445">
        <v>571771</v>
      </c>
      <c r="CJ445">
        <v>606192</v>
      </c>
      <c r="CK445">
        <v>53.72</v>
      </c>
      <c r="CL445" t="s">
        <v>97</v>
      </c>
      <c r="CM445" t="s">
        <v>97</v>
      </c>
      <c r="CN445" t="s">
        <v>97</v>
      </c>
      <c r="CO445" t="s">
        <v>97</v>
      </c>
      <c r="CP445" t="s">
        <v>97</v>
      </c>
      <c r="CQ445" t="s">
        <v>97</v>
      </c>
      <c r="CR445" t="s">
        <v>97</v>
      </c>
      <c r="CS445">
        <v>1</v>
      </c>
      <c r="CT445">
        <v>2</v>
      </c>
      <c r="CU445">
        <v>2</v>
      </c>
      <c r="CV445">
        <v>1</v>
      </c>
      <c r="CW445">
        <v>2</v>
      </c>
      <c r="CX445">
        <v>1</v>
      </c>
      <c r="CY445">
        <v>2</v>
      </c>
      <c r="CZ445">
        <v>1</v>
      </c>
      <c r="DA445" t="s">
        <v>107</v>
      </c>
      <c r="DB445" t="s">
        <v>107</v>
      </c>
      <c r="DC445">
        <v>126</v>
      </c>
      <c r="DD445">
        <v>0</v>
      </c>
      <c r="DE445">
        <v>-0.01</v>
      </c>
      <c r="DF445" t="s">
        <v>97</v>
      </c>
      <c r="DG445" t="s">
        <v>97</v>
      </c>
    </row>
    <row r="446" spans="1:111" x14ac:dyDescent="0.2">
      <c r="A446">
        <v>2025</v>
      </c>
      <c r="B446" s="1">
        <v>45959</v>
      </c>
      <c r="C446" t="s">
        <v>95</v>
      </c>
      <c r="D446">
        <v>605483</v>
      </c>
      <c r="E446">
        <v>676391</v>
      </c>
      <c r="F446">
        <v>1</v>
      </c>
      <c r="G446">
        <v>0</v>
      </c>
      <c r="H446">
        <v>4</v>
      </c>
      <c r="I446" t="s">
        <v>96</v>
      </c>
      <c r="J446">
        <v>26</v>
      </c>
      <c r="K446">
        <v>2</v>
      </c>
      <c r="L446" t="s">
        <v>97</v>
      </c>
      <c r="M446" t="s">
        <v>98</v>
      </c>
      <c r="N446" t="s">
        <v>99</v>
      </c>
      <c r="O446">
        <f t="shared" si="96"/>
        <v>0</v>
      </c>
      <c r="P446">
        <f t="shared" si="97"/>
        <v>1</v>
      </c>
      <c r="Q446">
        <f t="shared" si="98"/>
        <v>0</v>
      </c>
      <c r="R446">
        <f t="shared" si="99"/>
        <v>0</v>
      </c>
      <c r="S446">
        <f t="shared" si="100"/>
        <v>0</v>
      </c>
      <c r="T446">
        <f t="shared" si="101"/>
        <v>0</v>
      </c>
      <c r="U446">
        <f t="shared" si="102"/>
        <v>0</v>
      </c>
      <c r="V446">
        <f t="shared" si="103"/>
        <v>0</v>
      </c>
      <c r="W446">
        <f t="shared" si="104"/>
        <v>0</v>
      </c>
      <c r="X446">
        <f t="shared" si="105"/>
        <v>0</v>
      </c>
      <c r="Y446">
        <f t="shared" si="106"/>
        <v>0</v>
      </c>
      <c r="Z446">
        <f t="shared" si="107"/>
        <v>0</v>
      </c>
      <c r="AA446">
        <f t="shared" si="108"/>
        <v>0</v>
      </c>
      <c r="AB446">
        <f t="shared" si="109"/>
        <v>0</v>
      </c>
      <c r="AC446">
        <f t="shared" si="110"/>
        <v>0</v>
      </c>
      <c r="AD446">
        <f t="shared" si="111"/>
        <v>0</v>
      </c>
      <c r="AE446">
        <v>96.1</v>
      </c>
      <c r="AF446">
        <v>2.21</v>
      </c>
      <c r="AG446">
        <v>6.47</v>
      </c>
      <c r="AH446" t="s">
        <v>129</v>
      </c>
      <c r="AI446" t="s">
        <v>97</v>
      </c>
      <c r="AJ446" t="s">
        <v>97</v>
      </c>
      <c r="AK446" t="s">
        <v>97</v>
      </c>
      <c r="AL446" t="s">
        <v>97</v>
      </c>
      <c r="AM446">
        <v>12</v>
      </c>
      <c r="AN446" t="s">
        <v>130</v>
      </c>
      <c r="AO446" t="s">
        <v>213</v>
      </c>
      <c r="AP446" t="s">
        <v>122</v>
      </c>
      <c r="AQ446" t="s">
        <v>103</v>
      </c>
      <c r="AR446" t="s">
        <v>104</v>
      </c>
      <c r="AS446" t="s">
        <v>214</v>
      </c>
      <c r="AT446" t="s">
        <v>110</v>
      </c>
      <c r="AU446" t="s">
        <v>97</v>
      </c>
      <c r="AV446" t="s">
        <v>97</v>
      </c>
      <c r="AW446">
        <v>0.6</v>
      </c>
      <c r="AX446">
        <v>1.62</v>
      </c>
      <c r="AY446">
        <v>0.85</v>
      </c>
      <c r="AZ446">
        <v>2.88</v>
      </c>
      <c r="BA446">
        <v>662139</v>
      </c>
      <c r="BB446" t="s">
        <v>97</v>
      </c>
      <c r="BC446" t="s">
        <v>97</v>
      </c>
      <c r="BD446">
        <v>0</v>
      </c>
      <c r="BE446" t="s">
        <v>97</v>
      </c>
      <c r="BF446" t="s">
        <v>97</v>
      </c>
      <c r="BG446" t="s">
        <v>97</v>
      </c>
      <c r="BH446" t="s">
        <v>97</v>
      </c>
      <c r="BI446">
        <v>669257</v>
      </c>
      <c r="BJ446">
        <v>669257</v>
      </c>
      <c r="BK446" t="s">
        <v>97</v>
      </c>
      <c r="BL446" t="s">
        <v>97</v>
      </c>
      <c r="BM446">
        <v>-5.0176265170000001</v>
      </c>
      <c r="BN446">
        <v>-139.6989648</v>
      </c>
      <c r="BO446">
        <v>-7.6498188630000001</v>
      </c>
      <c r="BP446">
        <v>9.0537073140000004</v>
      </c>
      <c r="BQ446">
        <v>32.26879933</v>
      </c>
      <c r="BR446">
        <v>-9.4603428199999993</v>
      </c>
      <c r="BS446">
        <v>3.35</v>
      </c>
      <c r="BT446">
        <v>1.55</v>
      </c>
      <c r="BU446">
        <v>226</v>
      </c>
      <c r="BV446">
        <v>77.2</v>
      </c>
      <c r="BW446">
        <v>46</v>
      </c>
      <c r="BX446">
        <v>96.9</v>
      </c>
      <c r="BY446">
        <v>2410</v>
      </c>
      <c r="BZ446">
        <v>6.9</v>
      </c>
      <c r="CA446">
        <v>813022</v>
      </c>
      <c r="CB446">
        <v>669257</v>
      </c>
      <c r="CC446">
        <v>669257</v>
      </c>
      <c r="CD446">
        <v>518692</v>
      </c>
      <c r="CE446">
        <v>669242</v>
      </c>
      <c r="CF446">
        <v>571970</v>
      </c>
      <c r="CG446">
        <v>605141</v>
      </c>
      <c r="CH446">
        <v>669743</v>
      </c>
      <c r="CI446">
        <v>571771</v>
      </c>
      <c r="CJ446">
        <v>606192</v>
      </c>
      <c r="CK446">
        <v>53.63</v>
      </c>
      <c r="CL446" t="s">
        <v>97</v>
      </c>
      <c r="CM446" t="s">
        <v>97</v>
      </c>
      <c r="CN446" t="s">
        <v>97</v>
      </c>
      <c r="CO446" t="s">
        <v>97</v>
      </c>
      <c r="CP446" t="s">
        <v>97</v>
      </c>
      <c r="CQ446" t="s">
        <v>97</v>
      </c>
      <c r="CR446" t="s">
        <v>97</v>
      </c>
      <c r="CS446">
        <v>1</v>
      </c>
      <c r="CT446">
        <v>2</v>
      </c>
      <c r="CU446">
        <v>2</v>
      </c>
      <c r="CV446">
        <v>1</v>
      </c>
      <c r="CW446">
        <v>2</v>
      </c>
      <c r="CX446">
        <v>1</v>
      </c>
      <c r="CY446">
        <v>2</v>
      </c>
      <c r="CZ446">
        <v>1</v>
      </c>
      <c r="DA446" t="s">
        <v>107</v>
      </c>
      <c r="DB446" t="s">
        <v>107</v>
      </c>
      <c r="DC446">
        <v>159</v>
      </c>
      <c r="DD446">
        <v>0</v>
      </c>
      <c r="DE446">
        <v>-1.7999999999999999E-2</v>
      </c>
      <c r="DF446">
        <v>63</v>
      </c>
      <c r="DG446">
        <v>6.6</v>
      </c>
    </row>
    <row r="447" spans="1:111" x14ac:dyDescent="0.2">
      <c r="A447">
        <v>2025</v>
      </c>
      <c r="B447" s="1">
        <v>45959</v>
      </c>
      <c r="C447" t="s">
        <v>95</v>
      </c>
      <c r="D447">
        <v>605483</v>
      </c>
      <c r="E447">
        <v>676391</v>
      </c>
      <c r="F447">
        <v>1</v>
      </c>
      <c r="G447">
        <v>1</v>
      </c>
      <c r="H447">
        <v>4</v>
      </c>
      <c r="I447" t="s">
        <v>96</v>
      </c>
      <c r="J447">
        <v>26</v>
      </c>
      <c r="K447">
        <v>3</v>
      </c>
      <c r="L447" t="s">
        <v>259</v>
      </c>
      <c r="M447" t="s">
        <v>111</v>
      </c>
      <c r="N447" t="s">
        <v>112</v>
      </c>
      <c r="O447">
        <f t="shared" si="96"/>
        <v>0</v>
      </c>
      <c r="P447">
        <f t="shared" si="97"/>
        <v>0</v>
      </c>
      <c r="Q447">
        <f t="shared" si="98"/>
        <v>0</v>
      </c>
      <c r="R447">
        <f t="shared" si="99"/>
        <v>0</v>
      </c>
      <c r="S447">
        <f t="shared" si="100"/>
        <v>1</v>
      </c>
      <c r="T447">
        <f t="shared" si="101"/>
        <v>0</v>
      </c>
      <c r="U447">
        <f t="shared" si="102"/>
        <v>0</v>
      </c>
      <c r="V447">
        <f t="shared" si="103"/>
        <v>0</v>
      </c>
      <c r="W447">
        <f t="shared" si="104"/>
        <v>0</v>
      </c>
      <c r="X447">
        <f t="shared" si="105"/>
        <v>0</v>
      </c>
      <c r="Y447">
        <f t="shared" si="106"/>
        <v>0</v>
      </c>
      <c r="Z447">
        <f t="shared" si="107"/>
        <v>0</v>
      </c>
      <c r="AA447">
        <f t="shared" si="108"/>
        <v>0</v>
      </c>
      <c r="AB447">
        <f t="shared" si="109"/>
        <v>0</v>
      </c>
      <c r="AC447">
        <f t="shared" si="110"/>
        <v>0</v>
      </c>
      <c r="AD447">
        <f t="shared" si="111"/>
        <v>0</v>
      </c>
      <c r="AE447">
        <v>79.3</v>
      </c>
      <c r="AF447">
        <v>2.0499999999999998</v>
      </c>
      <c r="AG447">
        <v>6.56</v>
      </c>
      <c r="AH447" t="s">
        <v>120</v>
      </c>
      <c r="AI447" t="s">
        <v>97</v>
      </c>
      <c r="AJ447" t="s">
        <v>97</v>
      </c>
      <c r="AK447" t="s">
        <v>97</v>
      </c>
      <c r="AL447" t="s">
        <v>97</v>
      </c>
      <c r="AM447">
        <v>9</v>
      </c>
      <c r="AN447" t="s">
        <v>260</v>
      </c>
      <c r="AO447" t="s">
        <v>213</v>
      </c>
      <c r="AP447" t="s">
        <v>122</v>
      </c>
      <c r="AQ447" t="s">
        <v>103</v>
      </c>
      <c r="AR447" t="s">
        <v>104</v>
      </c>
      <c r="AS447" t="s">
        <v>214</v>
      </c>
      <c r="AT447" t="s">
        <v>123</v>
      </c>
      <c r="AU447">
        <v>8</v>
      </c>
      <c r="AV447" t="s">
        <v>158</v>
      </c>
      <c r="AW447">
        <v>-1.36</v>
      </c>
      <c r="AX447">
        <v>-0.62</v>
      </c>
      <c r="AY447">
        <v>0.4</v>
      </c>
      <c r="AZ447">
        <v>1.79</v>
      </c>
      <c r="BA447">
        <v>662139</v>
      </c>
      <c r="BB447" t="s">
        <v>97</v>
      </c>
      <c r="BC447" t="s">
        <v>97</v>
      </c>
      <c r="BD447">
        <v>0</v>
      </c>
      <c r="BE447">
        <v>131.56</v>
      </c>
      <c r="BF447">
        <v>75.099999999999994</v>
      </c>
      <c r="BG447" t="s">
        <v>97</v>
      </c>
      <c r="BH447" t="s">
        <v>97</v>
      </c>
      <c r="BI447">
        <v>669257</v>
      </c>
      <c r="BJ447">
        <v>669257</v>
      </c>
      <c r="BK447" t="s">
        <v>97</v>
      </c>
      <c r="BL447" t="s">
        <v>97</v>
      </c>
      <c r="BM447">
        <v>-1.0404105779999999</v>
      </c>
      <c r="BN447">
        <v>-115.46066399999999</v>
      </c>
      <c r="BO447">
        <v>-2.4615276389999998</v>
      </c>
      <c r="BP447">
        <v>-11.91505209</v>
      </c>
      <c r="BQ447">
        <v>23.38449447</v>
      </c>
      <c r="BR447">
        <v>-37.39643281</v>
      </c>
      <c r="BS447">
        <v>3.35</v>
      </c>
      <c r="BT447">
        <v>1.55</v>
      </c>
      <c r="BU447">
        <v>308</v>
      </c>
      <c r="BV447">
        <v>96.5</v>
      </c>
      <c r="BW447">
        <v>18</v>
      </c>
      <c r="BX447">
        <v>79.5</v>
      </c>
      <c r="BY447">
        <v>2725</v>
      </c>
      <c r="BZ447">
        <v>6.6</v>
      </c>
      <c r="CA447">
        <v>813022</v>
      </c>
      <c r="CB447">
        <v>669257</v>
      </c>
      <c r="CC447">
        <v>669257</v>
      </c>
      <c r="CD447">
        <v>518692</v>
      </c>
      <c r="CE447">
        <v>669242</v>
      </c>
      <c r="CF447">
        <v>571970</v>
      </c>
      <c r="CG447">
        <v>605141</v>
      </c>
      <c r="CH447">
        <v>669743</v>
      </c>
      <c r="CI447">
        <v>571771</v>
      </c>
      <c r="CJ447">
        <v>606192</v>
      </c>
      <c r="CK447">
        <v>53.9</v>
      </c>
      <c r="CL447">
        <v>0.45700000000000002</v>
      </c>
      <c r="CM447">
        <v>0.48099999999999998</v>
      </c>
      <c r="CN447">
        <v>0</v>
      </c>
      <c r="CO447">
        <v>1</v>
      </c>
      <c r="CP447">
        <v>0</v>
      </c>
      <c r="CQ447">
        <v>0</v>
      </c>
      <c r="CR447">
        <v>4</v>
      </c>
      <c r="CS447">
        <v>1</v>
      </c>
      <c r="CT447">
        <v>2</v>
      </c>
      <c r="CU447">
        <v>2</v>
      </c>
      <c r="CV447">
        <v>1</v>
      </c>
      <c r="CW447">
        <v>3</v>
      </c>
      <c r="CX447">
        <v>1</v>
      </c>
      <c r="CY447">
        <v>3</v>
      </c>
      <c r="CZ447">
        <v>1</v>
      </c>
      <c r="DA447" t="s">
        <v>107</v>
      </c>
      <c r="DB447" t="s">
        <v>107</v>
      </c>
      <c r="DC447">
        <v>319</v>
      </c>
      <c r="DD447">
        <v>1E-3</v>
      </c>
      <c r="DE447">
        <v>-0.159</v>
      </c>
      <c r="DF447">
        <v>67.599999999999994</v>
      </c>
      <c r="DG447">
        <v>7.3</v>
      </c>
    </row>
    <row r="448" spans="1:111" x14ac:dyDescent="0.2">
      <c r="A448">
        <v>2025</v>
      </c>
      <c r="B448" s="1">
        <v>45959</v>
      </c>
      <c r="C448" t="s">
        <v>95</v>
      </c>
      <c r="D448">
        <v>605483</v>
      </c>
      <c r="E448">
        <v>680718</v>
      </c>
      <c r="F448">
        <v>0</v>
      </c>
      <c r="G448">
        <v>0</v>
      </c>
      <c r="H448">
        <v>4</v>
      </c>
      <c r="I448" t="s">
        <v>96</v>
      </c>
      <c r="J448">
        <v>27</v>
      </c>
      <c r="K448">
        <v>1</v>
      </c>
      <c r="L448" t="s">
        <v>97</v>
      </c>
      <c r="M448" t="s">
        <v>111</v>
      </c>
      <c r="N448" t="s">
        <v>112</v>
      </c>
      <c r="O448">
        <f t="shared" si="96"/>
        <v>0</v>
      </c>
      <c r="P448">
        <f t="shared" si="97"/>
        <v>0</v>
      </c>
      <c r="Q448">
        <f t="shared" si="98"/>
        <v>0</v>
      </c>
      <c r="R448">
        <f t="shared" si="99"/>
        <v>0</v>
      </c>
      <c r="S448">
        <f t="shared" si="100"/>
        <v>0</v>
      </c>
      <c r="T448">
        <f t="shared" si="101"/>
        <v>0</v>
      </c>
      <c r="U448">
        <f t="shared" si="102"/>
        <v>0</v>
      </c>
      <c r="V448">
        <f t="shared" si="103"/>
        <v>1</v>
      </c>
      <c r="W448">
        <f t="shared" si="104"/>
        <v>0</v>
      </c>
      <c r="X448">
        <f t="shared" si="105"/>
        <v>0</v>
      </c>
      <c r="Y448">
        <f t="shared" si="106"/>
        <v>0</v>
      </c>
      <c r="Z448">
        <f t="shared" si="107"/>
        <v>0</v>
      </c>
      <c r="AA448">
        <f t="shared" si="108"/>
        <v>0</v>
      </c>
      <c r="AB448">
        <f t="shared" si="109"/>
        <v>0</v>
      </c>
      <c r="AC448">
        <f t="shared" si="110"/>
        <v>0</v>
      </c>
      <c r="AD448">
        <f t="shared" si="111"/>
        <v>0</v>
      </c>
      <c r="AE448">
        <v>82</v>
      </c>
      <c r="AF448">
        <v>2.0099999999999998</v>
      </c>
      <c r="AG448">
        <v>6.47</v>
      </c>
      <c r="AH448" t="s">
        <v>100</v>
      </c>
      <c r="AI448" t="s">
        <v>97</v>
      </c>
      <c r="AJ448" t="s">
        <v>97</v>
      </c>
      <c r="AK448" t="s">
        <v>97</v>
      </c>
      <c r="AL448" t="s">
        <v>97</v>
      </c>
      <c r="AM448">
        <v>13</v>
      </c>
      <c r="AN448" t="s">
        <v>101</v>
      </c>
      <c r="AO448" t="s">
        <v>213</v>
      </c>
      <c r="AP448" t="s">
        <v>103</v>
      </c>
      <c r="AQ448" t="s">
        <v>103</v>
      </c>
      <c r="AR448" t="s">
        <v>104</v>
      </c>
      <c r="AS448" t="s">
        <v>214</v>
      </c>
      <c r="AT448" t="s">
        <v>106</v>
      </c>
      <c r="AU448" t="s">
        <v>97</v>
      </c>
      <c r="AV448" t="s">
        <v>97</v>
      </c>
      <c r="AW448">
        <v>-0.86</v>
      </c>
      <c r="AX448">
        <v>-0.48</v>
      </c>
      <c r="AY448">
        <v>-0.68</v>
      </c>
      <c r="AZ448">
        <v>0.5</v>
      </c>
      <c r="BA448" t="s">
        <v>97</v>
      </c>
      <c r="BB448" t="s">
        <v>97</v>
      </c>
      <c r="BC448" t="s">
        <v>97</v>
      </c>
      <c r="BD448">
        <v>1</v>
      </c>
      <c r="BE448" t="s">
        <v>97</v>
      </c>
      <c r="BF448" t="s">
        <v>97</v>
      </c>
      <c r="BG448" t="s">
        <v>97</v>
      </c>
      <c r="BH448" t="s">
        <v>97</v>
      </c>
      <c r="BI448">
        <v>669257</v>
      </c>
      <c r="BJ448">
        <v>669257</v>
      </c>
      <c r="BK448" t="s">
        <v>97</v>
      </c>
      <c r="BL448" t="s">
        <v>97</v>
      </c>
      <c r="BM448">
        <v>-4.4596963340000002</v>
      </c>
      <c r="BN448">
        <v>-119.3675003</v>
      </c>
      <c r="BO448">
        <v>-6.074569619</v>
      </c>
      <c r="BP448">
        <v>-7.3119238429999998</v>
      </c>
      <c r="BQ448">
        <v>23.19216441</v>
      </c>
      <c r="BR448">
        <v>-35.780175880000002</v>
      </c>
      <c r="BS448">
        <v>3.79</v>
      </c>
      <c r="BT448">
        <v>1.8</v>
      </c>
      <c r="BU448" t="s">
        <v>97</v>
      </c>
      <c r="BV448" t="s">
        <v>97</v>
      </c>
      <c r="BW448" t="s">
        <v>97</v>
      </c>
      <c r="BX448">
        <v>82.7</v>
      </c>
      <c r="BY448">
        <v>2478</v>
      </c>
      <c r="BZ448">
        <v>6.7</v>
      </c>
      <c r="CA448">
        <v>813022</v>
      </c>
      <c r="CB448">
        <v>669257</v>
      </c>
      <c r="CC448">
        <v>669257</v>
      </c>
      <c r="CD448">
        <v>518692</v>
      </c>
      <c r="CE448">
        <v>669242</v>
      </c>
      <c r="CF448">
        <v>571970</v>
      </c>
      <c r="CG448">
        <v>605141</v>
      </c>
      <c r="CH448">
        <v>669743</v>
      </c>
      <c r="CI448">
        <v>571771</v>
      </c>
      <c r="CJ448">
        <v>606192</v>
      </c>
      <c r="CK448">
        <v>53.77</v>
      </c>
      <c r="CL448" t="s">
        <v>97</v>
      </c>
      <c r="CM448" t="s">
        <v>97</v>
      </c>
      <c r="CN448" t="s">
        <v>97</v>
      </c>
      <c r="CO448" t="s">
        <v>97</v>
      </c>
      <c r="CP448" t="s">
        <v>97</v>
      </c>
      <c r="CQ448" t="s">
        <v>97</v>
      </c>
      <c r="CR448" t="s">
        <v>97</v>
      </c>
      <c r="CS448">
        <v>1</v>
      </c>
      <c r="CT448">
        <v>3</v>
      </c>
      <c r="CU448">
        <v>3</v>
      </c>
      <c r="CV448">
        <v>1</v>
      </c>
      <c r="CW448">
        <v>3</v>
      </c>
      <c r="CX448">
        <v>1</v>
      </c>
      <c r="CY448">
        <v>3</v>
      </c>
      <c r="CZ448">
        <v>1</v>
      </c>
      <c r="DA448" t="s">
        <v>107</v>
      </c>
      <c r="DB448" t="s">
        <v>107</v>
      </c>
      <c r="DC448">
        <v>326</v>
      </c>
      <c r="DD448">
        <v>0</v>
      </c>
      <c r="DE448">
        <v>3.9E-2</v>
      </c>
      <c r="DF448" t="s">
        <v>97</v>
      </c>
      <c r="DG448" t="s">
        <v>97</v>
      </c>
    </row>
    <row r="449" spans="1:111" x14ac:dyDescent="0.2">
      <c r="A449">
        <v>2025</v>
      </c>
      <c r="B449" s="1">
        <v>45959</v>
      </c>
      <c r="C449" t="s">
        <v>95</v>
      </c>
      <c r="D449">
        <v>605483</v>
      </c>
      <c r="E449">
        <v>680718</v>
      </c>
      <c r="F449">
        <v>1</v>
      </c>
      <c r="G449">
        <v>0</v>
      </c>
      <c r="H449">
        <v>4</v>
      </c>
      <c r="I449" t="s">
        <v>96</v>
      </c>
      <c r="J449">
        <v>27</v>
      </c>
      <c r="K449">
        <v>2</v>
      </c>
      <c r="L449" t="s">
        <v>97</v>
      </c>
      <c r="M449" t="s">
        <v>138</v>
      </c>
      <c r="N449" t="s">
        <v>139</v>
      </c>
      <c r="O449">
        <f t="shared" si="96"/>
        <v>0</v>
      </c>
      <c r="P449">
        <f t="shared" si="97"/>
        <v>0</v>
      </c>
      <c r="Q449">
        <f t="shared" si="98"/>
        <v>0</v>
      </c>
      <c r="R449">
        <f t="shared" si="99"/>
        <v>0</v>
      </c>
      <c r="S449">
        <f t="shared" si="100"/>
        <v>0</v>
      </c>
      <c r="T449">
        <f t="shared" si="101"/>
        <v>0</v>
      </c>
      <c r="U449">
        <f t="shared" si="102"/>
        <v>0</v>
      </c>
      <c r="V449">
        <f t="shared" si="103"/>
        <v>0</v>
      </c>
      <c r="W449">
        <f t="shared" si="104"/>
        <v>0</v>
      </c>
      <c r="X449">
        <f t="shared" si="105"/>
        <v>0</v>
      </c>
      <c r="Y449">
        <f t="shared" si="106"/>
        <v>0</v>
      </c>
      <c r="Z449">
        <f t="shared" si="107"/>
        <v>0</v>
      </c>
      <c r="AA449">
        <f t="shared" si="108"/>
        <v>0</v>
      </c>
      <c r="AB449">
        <f t="shared" si="109"/>
        <v>0</v>
      </c>
      <c r="AC449">
        <f t="shared" si="110"/>
        <v>1</v>
      </c>
      <c r="AD449">
        <f t="shared" si="111"/>
        <v>0</v>
      </c>
      <c r="AE449">
        <v>90.6</v>
      </c>
      <c r="AF449">
        <v>2.16</v>
      </c>
      <c r="AG449">
        <v>6.47</v>
      </c>
      <c r="AH449" t="s">
        <v>100</v>
      </c>
      <c r="AI449" t="s">
        <v>97</v>
      </c>
      <c r="AJ449" t="s">
        <v>97</v>
      </c>
      <c r="AK449" t="s">
        <v>97</v>
      </c>
      <c r="AL449" t="s">
        <v>97</v>
      </c>
      <c r="AM449">
        <v>13</v>
      </c>
      <c r="AN449" t="s">
        <v>101</v>
      </c>
      <c r="AO449" t="s">
        <v>213</v>
      </c>
      <c r="AP449" t="s">
        <v>103</v>
      </c>
      <c r="AQ449" t="s">
        <v>103</v>
      </c>
      <c r="AR449" t="s">
        <v>104</v>
      </c>
      <c r="AS449" t="s">
        <v>214</v>
      </c>
      <c r="AT449" t="s">
        <v>106</v>
      </c>
      <c r="AU449" t="s">
        <v>97</v>
      </c>
      <c r="AV449" t="s">
        <v>97</v>
      </c>
      <c r="AW449">
        <v>-0.13</v>
      </c>
      <c r="AX449">
        <v>0.82</v>
      </c>
      <c r="AY449">
        <v>-0.76</v>
      </c>
      <c r="AZ449">
        <v>1.18</v>
      </c>
      <c r="BA449" t="s">
        <v>97</v>
      </c>
      <c r="BB449" t="s">
        <v>97</v>
      </c>
      <c r="BC449" t="s">
        <v>97</v>
      </c>
      <c r="BD449">
        <v>1</v>
      </c>
      <c r="BE449" t="s">
        <v>97</v>
      </c>
      <c r="BF449" t="s">
        <v>97</v>
      </c>
      <c r="BG449" t="s">
        <v>97</v>
      </c>
      <c r="BH449" t="s">
        <v>97</v>
      </c>
      <c r="BI449">
        <v>669257</v>
      </c>
      <c r="BJ449">
        <v>669257</v>
      </c>
      <c r="BK449" t="s">
        <v>97</v>
      </c>
      <c r="BL449" t="s">
        <v>97</v>
      </c>
      <c r="BM449">
        <v>-7.0614826370000001</v>
      </c>
      <c r="BN449">
        <v>-131.4812622</v>
      </c>
      <c r="BO449">
        <v>-9.0621300920000003</v>
      </c>
      <c r="BP449">
        <v>1.5357039999999999E-3</v>
      </c>
      <c r="BQ449">
        <v>27.89552334</v>
      </c>
      <c r="BR449">
        <v>-20.93088535</v>
      </c>
      <c r="BS449">
        <v>3.67</v>
      </c>
      <c r="BT449">
        <v>1.74</v>
      </c>
      <c r="BU449" t="s">
        <v>97</v>
      </c>
      <c r="BV449" t="s">
        <v>97</v>
      </c>
      <c r="BW449" t="s">
        <v>97</v>
      </c>
      <c r="BX449">
        <v>91.2</v>
      </c>
      <c r="BY449">
        <v>2373</v>
      </c>
      <c r="BZ449">
        <v>6.8</v>
      </c>
      <c r="CA449">
        <v>813022</v>
      </c>
      <c r="CB449">
        <v>669257</v>
      </c>
      <c r="CC449">
        <v>669257</v>
      </c>
      <c r="CD449">
        <v>518692</v>
      </c>
      <c r="CE449">
        <v>669242</v>
      </c>
      <c r="CF449">
        <v>571970</v>
      </c>
      <c r="CG449">
        <v>605141</v>
      </c>
      <c r="CH449">
        <v>669743</v>
      </c>
      <c r="CI449">
        <v>571771</v>
      </c>
      <c r="CJ449">
        <v>606192</v>
      </c>
      <c r="CK449">
        <v>53.69</v>
      </c>
      <c r="CL449" t="s">
        <v>97</v>
      </c>
      <c r="CM449" t="s">
        <v>97</v>
      </c>
      <c r="CN449" t="s">
        <v>97</v>
      </c>
      <c r="CO449" t="s">
        <v>97</v>
      </c>
      <c r="CP449" t="s">
        <v>97</v>
      </c>
      <c r="CQ449" t="s">
        <v>97</v>
      </c>
      <c r="CR449" t="s">
        <v>97</v>
      </c>
      <c r="CS449">
        <v>1</v>
      </c>
      <c r="CT449">
        <v>3</v>
      </c>
      <c r="CU449">
        <v>3</v>
      </c>
      <c r="CV449">
        <v>1</v>
      </c>
      <c r="CW449">
        <v>3</v>
      </c>
      <c r="CX449">
        <v>1</v>
      </c>
      <c r="CY449">
        <v>3</v>
      </c>
      <c r="CZ449">
        <v>1</v>
      </c>
      <c r="DA449" t="s">
        <v>107</v>
      </c>
      <c r="DB449" t="s">
        <v>107</v>
      </c>
      <c r="DC449">
        <v>162</v>
      </c>
      <c r="DD449">
        <v>0</v>
      </c>
      <c r="DE449">
        <v>7.0999999999999994E-2</v>
      </c>
      <c r="DF449" t="s">
        <v>97</v>
      </c>
      <c r="DG449" t="s">
        <v>97</v>
      </c>
    </row>
    <row r="450" spans="1:111" x14ac:dyDescent="0.2">
      <c r="A450">
        <v>2025</v>
      </c>
      <c r="B450" s="1">
        <v>45959</v>
      </c>
      <c r="C450" t="s">
        <v>95</v>
      </c>
      <c r="D450">
        <v>605483</v>
      </c>
      <c r="E450">
        <v>680718</v>
      </c>
      <c r="F450">
        <v>2</v>
      </c>
      <c r="G450">
        <v>0</v>
      </c>
      <c r="H450">
        <v>4</v>
      </c>
      <c r="I450" t="s">
        <v>96</v>
      </c>
      <c r="J450">
        <v>27</v>
      </c>
      <c r="K450">
        <v>3</v>
      </c>
      <c r="L450" t="s">
        <v>97</v>
      </c>
      <c r="M450" t="s">
        <v>111</v>
      </c>
      <c r="N450" t="s">
        <v>112</v>
      </c>
      <c r="O450">
        <f t="shared" si="96"/>
        <v>0</v>
      </c>
      <c r="P450">
        <f t="shared" si="97"/>
        <v>0</v>
      </c>
      <c r="Q450">
        <f t="shared" si="98"/>
        <v>0</v>
      </c>
      <c r="R450">
        <f t="shared" si="99"/>
        <v>0</v>
      </c>
      <c r="S450">
        <f t="shared" si="100"/>
        <v>0</v>
      </c>
      <c r="T450">
        <f t="shared" si="101"/>
        <v>0</v>
      </c>
      <c r="U450">
        <f t="shared" si="102"/>
        <v>1</v>
      </c>
      <c r="V450">
        <f t="shared" si="103"/>
        <v>0</v>
      </c>
      <c r="W450">
        <f t="shared" si="104"/>
        <v>0</v>
      </c>
      <c r="X450">
        <f t="shared" si="105"/>
        <v>0</v>
      </c>
      <c r="Y450">
        <f t="shared" si="106"/>
        <v>0</v>
      </c>
      <c r="Z450">
        <f t="shared" si="107"/>
        <v>0</v>
      </c>
      <c r="AA450">
        <f t="shared" si="108"/>
        <v>0</v>
      </c>
      <c r="AB450">
        <f t="shared" si="109"/>
        <v>0</v>
      </c>
      <c r="AC450">
        <f t="shared" si="110"/>
        <v>0</v>
      </c>
      <c r="AD450">
        <f t="shared" si="111"/>
        <v>0</v>
      </c>
      <c r="AE450">
        <v>81.8</v>
      </c>
      <c r="AF450">
        <v>1.98</v>
      </c>
      <c r="AG450">
        <v>6.54</v>
      </c>
      <c r="AH450" t="s">
        <v>108</v>
      </c>
      <c r="AI450" t="s">
        <v>97</v>
      </c>
      <c r="AJ450" t="s">
        <v>97</v>
      </c>
      <c r="AK450" t="s">
        <v>97</v>
      </c>
      <c r="AL450" t="s">
        <v>97</v>
      </c>
      <c r="AM450">
        <v>8</v>
      </c>
      <c r="AN450" t="s">
        <v>109</v>
      </c>
      <c r="AO450" t="s">
        <v>213</v>
      </c>
      <c r="AP450" t="s">
        <v>103</v>
      </c>
      <c r="AQ450" t="s">
        <v>103</v>
      </c>
      <c r="AR450" t="s">
        <v>104</v>
      </c>
      <c r="AS450" t="s">
        <v>214</v>
      </c>
      <c r="AT450" t="s">
        <v>110</v>
      </c>
      <c r="AU450" t="s">
        <v>97</v>
      </c>
      <c r="AV450" t="s">
        <v>97</v>
      </c>
      <c r="AW450">
        <v>-0.74</v>
      </c>
      <c r="AX450">
        <v>-0.39</v>
      </c>
      <c r="AY450">
        <v>0.16</v>
      </c>
      <c r="AZ450">
        <v>1.61</v>
      </c>
      <c r="BA450" t="s">
        <v>97</v>
      </c>
      <c r="BB450" t="s">
        <v>97</v>
      </c>
      <c r="BC450" t="s">
        <v>97</v>
      </c>
      <c r="BD450">
        <v>1</v>
      </c>
      <c r="BE450" t="s">
        <v>97</v>
      </c>
      <c r="BF450" t="s">
        <v>97</v>
      </c>
      <c r="BG450" t="s">
        <v>97</v>
      </c>
      <c r="BH450" t="s">
        <v>97</v>
      </c>
      <c r="BI450">
        <v>669257</v>
      </c>
      <c r="BJ450">
        <v>669257</v>
      </c>
      <c r="BK450" t="s">
        <v>97</v>
      </c>
      <c r="BL450" t="s">
        <v>97</v>
      </c>
      <c r="BM450">
        <v>-2.6835529440000001</v>
      </c>
      <c r="BN450">
        <v>-119.0745924</v>
      </c>
      <c r="BO450">
        <v>-3.8061439340000001</v>
      </c>
      <c r="BP450">
        <v>-6.5234061849999998</v>
      </c>
      <c r="BQ450">
        <v>22.953781750000001</v>
      </c>
      <c r="BR450">
        <v>-35.343468049999998</v>
      </c>
      <c r="BS450">
        <v>3.56</v>
      </c>
      <c r="BT450">
        <v>1.68</v>
      </c>
      <c r="BU450" t="s">
        <v>97</v>
      </c>
      <c r="BV450" t="s">
        <v>97</v>
      </c>
      <c r="BW450" t="s">
        <v>97</v>
      </c>
      <c r="BX450">
        <v>82.4</v>
      </c>
      <c r="BY450">
        <v>2679</v>
      </c>
      <c r="BZ450">
        <v>6.7</v>
      </c>
      <c r="CA450">
        <v>813022</v>
      </c>
      <c r="CB450">
        <v>669257</v>
      </c>
      <c r="CC450">
        <v>669257</v>
      </c>
      <c r="CD450">
        <v>518692</v>
      </c>
      <c r="CE450">
        <v>669242</v>
      </c>
      <c r="CF450">
        <v>571970</v>
      </c>
      <c r="CG450">
        <v>605141</v>
      </c>
      <c r="CH450">
        <v>669743</v>
      </c>
      <c r="CI450">
        <v>571771</v>
      </c>
      <c r="CJ450">
        <v>606192</v>
      </c>
      <c r="CK450">
        <v>53.85</v>
      </c>
      <c r="CL450" t="s">
        <v>97</v>
      </c>
      <c r="CM450" t="s">
        <v>97</v>
      </c>
      <c r="CN450" t="s">
        <v>97</v>
      </c>
      <c r="CO450" t="s">
        <v>97</v>
      </c>
      <c r="CP450" t="s">
        <v>97</v>
      </c>
      <c r="CQ450" t="s">
        <v>97</v>
      </c>
      <c r="CR450" t="s">
        <v>97</v>
      </c>
      <c r="CS450">
        <v>1</v>
      </c>
      <c r="CT450">
        <v>3</v>
      </c>
      <c r="CU450">
        <v>3</v>
      </c>
      <c r="CV450">
        <v>1</v>
      </c>
      <c r="CW450">
        <v>3</v>
      </c>
      <c r="CX450">
        <v>1</v>
      </c>
      <c r="CY450">
        <v>3</v>
      </c>
      <c r="CZ450">
        <v>1</v>
      </c>
      <c r="DA450" t="s">
        <v>115</v>
      </c>
      <c r="DB450" t="s">
        <v>107</v>
      </c>
      <c r="DC450">
        <v>323</v>
      </c>
      <c r="DD450">
        <v>0</v>
      </c>
      <c r="DE450">
        <v>-6.6000000000000003E-2</v>
      </c>
      <c r="DF450" t="s">
        <v>97</v>
      </c>
      <c r="DG450" t="s">
        <v>97</v>
      </c>
    </row>
    <row r="451" spans="1:111" x14ac:dyDescent="0.2">
      <c r="A451">
        <v>2025</v>
      </c>
      <c r="B451" s="1">
        <v>45959</v>
      </c>
      <c r="C451" t="s">
        <v>95</v>
      </c>
      <c r="D451">
        <v>605483</v>
      </c>
      <c r="E451">
        <v>680718</v>
      </c>
      <c r="F451">
        <v>2</v>
      </c>
      <c r="G451">
        <v>1</v>
      </c>
      <c r="H451">
        <v>4</v>
      </c>
      <c r="I451" t="s">
        <v>96</v>
      </c>
      <c r="J451">
        <v>27</v>
      </c>
      <c r="K451">
        <v>4</v>
      </c>
      <c r="L451" t="s">
        <v>97</v>
      </c>
      <c r="M451" t="s">
        <v>132</v>
      </c>
      <c r="N451" t="s">
        <v>133</v>
      </c>
      <c r="O451">
        <f t="shared" ref="O451:O514" si="112">IF(AND(N451="4-Seam Fastball",N452="4-Seam Fastball"),1,0)</f>
        <v>0</v>
      </c>
      <c r="P451">
        <f t="shared" ref="P451:P514" si="113">IF(AND(N451="4-Seam Fastball",N452="Curveball"),1,0)</f>
        <v>0</v>
      </c>
      <c r="Q451">
        <f t="shared" ref="Q451:Q514" si="114">IF(AND(N451="4-Seam Fastball",N452="Changeup"),1,0)</f>
        <v>0</v>
      </c>
      <c r="R451">
        <f t="shared" ref="R451:R514" si="115">IF(AND(N451="4-Seam Fastball",N452="Slider"),1,0)</f>
        <v>0</v>
      </c>
      <c r="S451">
        <f t="shared" ref="S451:S514" si="116">IF(AND(N451="Curveball",N452="Curveball"),1,0)</f>
        <v>0</v>
      </c>
      <c r="T451">
        <f t="shared" ref="T451:T514" si="117">IF(AND(N451="Curveball",N452="4-Seam Fastball"),1,0)</f>
        <v>0</v>
      </c>
      <c r="U451">
        <f t="shared" ref="U451:U514" si="118">IF(AND(N451="Curveball",N452="Changeup"),1,0)</f>
        <v>0</v>
      </c>
      <c r="V451">
        <f t="shared" ref="V451:V514" si="119">IF(AND(N451="Curveball",N452="Slider"),1,0)</f>
        <v>0</v>
      </c>
      <c r="W451">
        <f t="shared" ref="W451:W514" si="120">IF(AND(N451="Changeup",N452="Changeup"),1,0)</f>
        <v>0</v>
      </c>
      <c r="X451">
        <f t="shared" ref="X451:X514" si="121">IF(AND(N451="Changeup",N452="4-Seam Fastball"),1,0)</f>
        <v>0</v>
      </c>
      <c r="Y451">
        <f t="shared" ref="Y451:Y514" si="122">IF(AND(N451="Changeup",N452="Curveball"),1,0)</f>
        <v>0</v>
      </c>
      <c r="Z451">
        <f t="shared" ref="Z451:Z514" si="123">IF(AND(N451="Changeup",N452="Slider"),1,0)</f>
        <v>1</v>
      </c>
      <c r="AA451">
        <f t="shared" ref="AA451:AA514" si="124">IF(AND(N451="Slider",N452="Slider"),1,0)</f>
        <v>0</v>
      </c>
      <c r="AB451">
        <f t="shared" ref="AB451:AB514" si="125">IF(AND(N451="Slider",N452="4-Seam Fastball"),1,0)</f>
        <v>0</v>
      </c>
      <c r="AC451">
        <f t="shared" ref="AC451:AC514" si="126">IF(AND(N451="Slider",N452="Curveball"),1,0)</f>
        <v>0</v>
      </c>
      <c r="AD451">
        <f t="shared" ref="AD451:AD514" si="127">IF(AND(N451="Slider",N452="Changeup"),1,0)</f>
        <v>0</v>
      </c>
      <c r="AE451">
        <v>86.7</v>
      </c>
      <c r="AF451">
        <v>2.27</v>
      </c>
      <c r="AG451">
        <v>6.33</v>
      </c>
      <c r="AH451" t="s">
        <v>100</v>
      </c>
      <c r="AI451" t="s">
        <v>97</v>
      </c>
      <c r="AJ451" t="s">
        <v>97</v>
      </c>
      <c r="AK451" t="s">
        <v>97</v>
      </c>
      <c r="AL451" t="s">
        <v>97</v>
      </c>
      <c r="AM451">
        <v>14</v>
      </c>
      <c r="AN451" t="s">
        <v>101</v>
      </c>
      <c r="AO451" t="s">
        <v>213</v>
      </c>
      <c r="AP451" t="s">
        <v>103</v>
      </c>
      <c r="AQ451" t="s">
        <v>103</v>
      </c>
      <c r="AR451" t="s">
        <v>104</v>
      </c>
      <c r="AS451" t="s">
        <v>214</v>
      </c>
      <c r="AT451" t="s">
        <v>106</v>
      </c>
      <c r="AU451" t="s">
        <v>97</v>
      </c>
      <c r="AV451" t="s">
        <v>97</v>
      </c>
      <c r="AW451">
        <v>1.28</v>
      </c>
      <c r="AX451">
        <v>0.32</v>
      </c>
      <c r="AY451">
        <v>1.07</v>
      </c>
      <c r="AZ451">
        <v>0.59</v>
      </c>
      <c r="BA451" t="s">
        <v>97</v>
      </c>
      <c r="BB451" t="s">
        <v>97</v>
      </c>
      <c r="BC451" t="s">
        <v>97</v>
      </c>
      <c r="BD451">
        <v>1</v>
      </c>
      <c r="BE451" t="s">
        <v>97</v>
      </c>
      <c r="BF451" t="s">
        <v>97</v>
      </c>
      <c r="BG451" t="s">
        <v>97</v>
      </c>
      <c r="BH451" t="s">
        <v>97</v>
      </c>
      <c r="BI451">
        <v>669257</v>
      </c>
      <c r="BJ451">
        <v>669257</v>
      </c>
      <c r="BK451" t="s">
        <v>97</v>
      </c>
      <c r="BL451" t="s">
        <v>97</v>
      </c>
      <c r="BM451">
        <v>-5.5510894989999997</v>
      </c>
      <c r="BN451">
        <v>-125.895295</v>
      </c>
      <c r="BO451">
        <v>-8.2184016720000006</v>
      </c>
      <c r="BP451">
        <v>14.764404559999999</v>
      </c>
      <c r="BQ451">
        <v>25.999458390000001</v>
      </c>
      <c r="BR451">
        <v>-27.212491400000001</v>
      </c>
      <c r="BS451">
        <v>3.76</v>
      </c>
      <c r="BT451">
        <v>1.74</v>
      </c>
      <c r="BU451" t="s">
        <v>97</v>
      </c>
      <c r="BV451" t="s">
        <v>97</v>
      </c>
      <c r="BW451" t="s">
        <v>97</v>
      </c>
      <c r="BX451">
        <v>87.4</v>
      </c>
      <c r="BY451">
        <v>1765</v>
      </c>
      <c r="BZ451">
        <v>6.9</v>
      </c>
      <c r="CA451">
        <v>813022</v>
      </c>
      <c r="CB451">
        <v>669257</v>
      </c>
      <c r="CC451">
        <v>669257</v>
      </c>
      <c r="CD451">
        <v>518692</v>
      </c>
      <c r="CE451">
        <v>669242</v>
      </c>
      <c r="CF451">
        <v>571970</v>
      </c>
      <c r="CG451">
        <v>605141</v>
      </c>
      <c r="CH451">
        <v>669743</v>
      </c>
      <c r="CI451">
        <v>571771</v>
      </c>
      <c r="CJ451">
        <v>606192</v>
      </c>
      <c r="CK451">
        <v>53.61</v>
      </c>
      <c r="CL451" t="s">
        <v>97</v>
      </c>
      <c r="CM451" t="s">
        <v>97</v>
      </c>
      <c r="CN451" t="s">
        <v>97</v>
      </c>
      <c r="CO451" t="s">
        <v>97</v>
      </c>
      <c r="CP451" t="s">
        <v>97</v>
      </c>
      <c r="CQ451" t="s">
        <v>97</v>
      </c>
      <c r="CR451" t="s">
        <v>97</v>
      </c>
      <c r="CS451">
        <v>1</v>
      </c>
      <c r="CT451">
        <v>3</v>
      </c>
      <c r="CU451">
        <v>3</v>
      </c>
      <c r="CV451">
        <v>1</v>
      </c>
      <c r="CW451">
        <v>3</v>
      </c>
      <c r="CX451">
        <v>1</v>
      </c>
      <c r="CY451">
        <v>3</v>
      </c>
      <c r="CZ451">
        <v>1</v>
      </c>
      <c r="DA451" t="s">
        <v>115</v>
      </c>
      <c r="DB451" t="s">
        <v>107</v>
      </c>
      <c r="DC451">
        <v>125</v>
      </c>
      <c r="DD451">
        <v>0</v>
      </c>
      <c r="DE451">
        <v>0.121</v>
      </c>
      <c r="DF451" t="s">
        <v>97</v>
      </c>
      <c r="DG451" t="s">
        <v>97</v>
      </c>
    </row>
    <row r="452" spans="1:111" x14ac:dyDescent="0.2">
      <c r="A452">
        <v>2025</v>
      </c>
      <c r="B452" s="1">
        <v>45959</v>
      </c>
      <c r="C452" t="s">
        <v>95</v>
      </c>
      <c r="D452">
        <v>605483</v>
      </c>
      <c r="E452">
        <v>680718</v>
      </c>
      <c r="F452">
        <v>3</v>
      </c>
      <c r="G452">
        <v>1</v>
      </c>
      <c r="H452">
        <v>4</v>
      </c>
      <c r="I452" t="s">
        <v>96</v>
      </c>
      <c r="J452">
        <v>27</v>
      </c>
      <c r="K452">
        <v>5</v>
      </c>
      <c r="L452" t="s">
        <v>97</v>
      </c>
      <c r="M452" t="s">
        <v>138</v>
      </c>
      <c r="N452" t="s">
        <v>139</v>
      </c>
      <c r="O452">
        <f t="shared" si="112"/>
        <v>0</v>
      </c>
      <c r="P452">
        <f t="shared" si="113"/>
        <v>0</v>
      </c>
      <c r="Q452">
        <f t="shared" si="114"/>
        <v>0</v>
      </c>
      <c r="R452">
        <f t="shared" si="115"/>
        <v>0</v>
      </c>
      <c r="S452">
        <f t="shared" si="116"/>
        <v>0</v>
      </c>
      <c r="T452">
        <f t="shared" si="117"/>
        <v>0</v>
      </c>
      <c r="U452">
        <f t="shared" si="118"/>
        <v>0</v>
      </c>
      <c r="V452">
        <f t="shared" si="119"/>
        <v>0</v>
      </c>
      <c r="W452">
        <f t="shared" si="120"/>
        <v>0</v>
      </c>
      <c r="X452">
        <f t="shared" si="121"/>
        <v>0</v>
      </c>
      <c r="Y452">
        <f t="shared" si="122"/>
        <v>0</v>
      </c>
      <c r="Z452">
        <f t="shared" si="123"/>
        <v>0</v>
      </c>
      <c r="AA452">
        <f t="shared" si="124"/>
        <v>0</v>
      </c>
      <c r="AB452">
        <f t="shared" si="125"/>
        <v>0</v>
      </c>
      <c r="AC452">
        <f t="shared" si="126"/>
        <v>0</v>
      </c>
      <c r="AD452">
        <f t="shared" si="127"/>
        <v>1</v>
      </c>
      <c r="AE452">
        <v>91.4</v>
      </c>
      <c r="AF452">
        <v>2.1</v>
      </c>
      <c r="AG452">
        <v>6.48</v>
      </c>
      <c r="AH452" t="s">
        <v>129</v>
      </c>
      <c r="AI452" t="s">
        <v>97</v>
      </c>
      <c r="AJ452" t="s">
        <v>97</v>
      </c>
      <c r="AK452" t="s">
        <v>97</v>
      </c>
      <c r="AL452" t="s">
        <v>97</v>
      </c>
      <c r="AM452">
        <v>9</v>
      </c>
      <c r="AN452" t="s">
        <v>130</v>
      </c>
      <c r="AO452" t="s">
        <v>213</v>
      </c>
      <c r="AP452" t="s">
        <v>103</v>
      </c>
      <c r="AQ452" t="s">
        <v>103</v>
      </c>
      <c r="AR452" t="s">
        <v>104</v>
      </c>
      <c r="AS452" t="s">
        <v>214</v>
      </c>
      <c r="AT452" t="s">
        <v>110</v>
      </c>
      <c r="AU452" t="s">
        <v>97</v>
      </c>
      <c r="AV452" t="s">
        <v>97</v>
      </c>
      <c r="AW452">
        <v>0.01</v>
      </c>
      <c r="AX452">
        <v>0.7</v>
      </c>
      <c r="AY452">
        <v>0.55000000000000004</v>
      </c>
      <c r="AZ452">
        <v>2.34</v>
      </c>
      <c r="BA452" t="s">
        <v>97</v>
      </c>
      <c r="BB452" t="s">
        <v>97</v>
      </c>
      <c r="BC452" t="s">
        <v>97</v>
      </c>
      <c r="BD452">
        <v>1</v>
      </c>
      <c r="BE452" t="s">
        <v>97</v>
      </c>
      <c r="BF452" t="s">
        <v>97</v>
      </c>
      <c r="BG452" t="s">
        <v>97</v>
      </c>
      <c r="BH452" t="s">
        <v>97</v>
      </c>
      <c r="BI452">
        <v>669257</v>
      </c>
      <c r="BJ452">
        <v>669257</v>
      </c>
      <c r="BK452" t="s">
        <v>97</v>
      </c>
      <c r="BL452" t="s">
        <v>97</v>
      </c>
      <c r="BM452">
        <v>-3.9752479709999999</v>
      </c>
      <c r="BN452">
        <v>-132.92639220000001</v>
      </c>
      <c r="BO452">
        <v>-6.0673603539999998</v>
      </c>
      <c r="BP452">
        <v>0.95583474800000001</v>
      </c>
      <c r="BQ452">
        <v>29.32176454</v>
      </c>
      <c r="BR452">
        <v>-22.780271299999999</v>
      </c>
      <c r="BS452">
        <v>3.73</v>
      </c>
      <c r="BT452">
        <v>1.74</v>
      </c>
      <c r="BU452">
        <v>26</v>
      </c>
      <c r="BV452">
        <v>90.7</v>
      </c>
      <c r="BW452">
        <v>-3</v>
      </c>
      <c r="BX452">
        <v>92.1</v>
      </c>
      <c r="BY452">
        <v>2414</v>
      </c>
      <c r="BZ452">
        <v>6.8</v>
      </c>
      <c r="CA452">
        <v>813022</v>
      </c>
      <c r="CB452">
        <v>669257</v>
      </c>
      <c r="CC452">
        <v>669257</v>
      </c>
      <c r="CD452">
        <v>518692</v>
      </c>
      <c r="CE452">
        <v>669242</v>
      </c>
      <c r="CF452">
        <v>571970</v>
      </c>
      <c r="CG452">
        <v>605141</v>
      </c>
      <c r="CH452">
        <v>669743</v>
      </c>
      <c r="CI452">
        <v>571771</v>
      </c>
      <c r="CJ452">
        <v>606192</v>
      </c>
      <c r="CK452">
        <v>53.71</v>
      </c>
      <c r="CL452" t="s">
        <v>97</v>
      </c>
      <c r="CM452" t="s">
        <v>97</v>
      </c>
      <c r="CN452" t="s">
        <v>97</v>
      </c>
      <c r="CO452" t="s">
        <v>97</v>
      </c>
      <c r="CP452" t="s">
        <v>97</v>
      </c>
      <c r="CQ452" t="s">
        <v>97</v>
      </c>
      <c r="CR452" t="s">
        <v>97</v>
      </c>
      <c r="CS452">
        <v>1</v>
      </c>
      <c r="CT452">
        <v>3</v>
      </c>
      <c r="CU452">
        <v>3</v>
      </c>
      <c r="CV452">
        <v>1</v>
      </c>
      <c r="CW452">
        <v>3</v>
      </c>
      <c r="CX452">
        <v>1</v>
      </c>
      <c r="CY452">
        <v>3</v>
      </c>
      <c r="CZ452">
        <v>1</v>
      </c>
      <c r="DA452" t="s">
        <v>115</v>
      </c>
      <c r="DB452" t="s">
        <v>107</v>
      </c>
      <c r="DC452">
        <v>170</v>
      </c>
      <c r="DD452">
        <v>0</v>
      </c>
      <c r="DE452">
        <v>-8.6999999999999994E-2</v>
      </c>
      <c r="DF452">
        <v>78.3</v>
      </c>
      <c r="DG452">
        <v>8.3000000000000007</v>
      </c>
    </row>
    <row r="453" spans="1:111" x14ac:dyDescent="0.2">
      <c r="A453">
        <v>2025</v>
      </c>
      <c r="B453" s="1">
        <v>45959</v>
      </c>
      <c r="C453" t="s">
        <v>95</v>
      </c>
      <c r="D453">
        <v>605483</v>
      </c>
      <c r="E453">
        <v>680718</v>
      </c>
      <c r="F453">
        <v>3</v>
      </c>
      <c r="G453">
        <v>2</v>
      </c>
      <c r="H453">
        <v>4</v>
      </c>
      <c r="I453" t="s">
        <v>96</v>
      </c>
      <c r="J453">
        <v>27</v>
      </c>
      <c r="K453">
        <v>6</v>
      </c>
      <c r="L453" t="s">
        <v>142</v>
      </c>
      <c r="M453" t="s">
        <v>132</v>
      </c>
      <c r="N453" t="s">
        <v>133</v>
      </c>
      <c r="O453">
        <f t="shared" si="112"/>
        <v>0</v>
      </c>
      <c r="P453">
        <f t="shared" si="113"/>
        <v>0</v>
      </c>
      <c r="Q453">
        <f t="shared" si="114"/>
        <v>0</v>
      </c>
      <c r="R453">
        <f t="shared" si="115"/>
        <v>0</v>
      </c>
      <c r="S453">
        <f t="shared" si="116"/>
        <v>0</v>
      </c>
      <c r="T453">
        <f t="shared" si="117"/>
        <v>0</v>
      </c>
      <c r="U453">
        <f t="shared" si="118"/>
        <v>0</v>
      </c>
      <c r="V453">
        <f t="shared" si="119"/>
        <v>0</v>
      </c>
      <c r="W453">
        <f t="shared" si="120"/>
        <v>1</v>
      </c>
      <c r="X453">
        <f t="shared" si="121"/>
        <v>0</v>
      </c>
      <c r="Y453">
        <f t="shared" si="122"/>
        <v>0</v>
      </c>
      <c r="Z453">
        <f t="shared" si="123"/>
        <v>0</v>
      </c>
      <c r="AA453">
        <f t="shared" si="124"/>
        <v>0</v>
      </c>
      <c r="AB453">
        <f t="shared" si="125"/>
        <v>0</v>
      </c>
      <c r="AC453">
        <f t="shared" si="126"/>
        <v>0</v>
      </c>
      <c r="AD453">
        <f t="shared" si="127"/>
        <v>0</v>
      </c>
      <c r="AE453">
        <v>86.4</v>
      </c>
      <c r="AF453">
        <v>2.2000000000000002</v>
      </c>
      <c r="AG453">
        <v>6.36</v>
      </c>
      <c r="AH453" t="s">
        <v>100</v>
      </c>
      <c r="AI453" t="s">
        <v>97</v>
      </c>
      <c r="AJ453" t="s">
        <v>97</v>
      </c>
      <c r="AK453" t="s">
        <v>97</v>
      </c>
      <c r="AL453" t="s">
        <v>97</v>
      </c>
      <c r="AM453">
        <v>14</v>
      </c>
      <c r="AN453" t="s">
        <v>261</v>
      </c>
      <c r="AO453" t="s">
        <v>213</v>
      </c>
      <c r="AP453" t="s">
        <v>103</v>
      </c>
      <c r="AQ453" t="s">
        <v>103</v>
      </c>
      <c r="AR453" t="s">
        <v>104</v>
      </c>
      <c r="AS453" t="s">
        <v>214</v>
      </c>
      <c r="AT453" t="s">
        <v>106</v>
      </c>
      <c r="AU453" t="s">
        <v>97</v>
      </c>
      <c r="AV453" t="s">
        <v>97</v>
      </c>
      <c r="AW453">
        <v>1.08</v>
      </c>
      <c r="AX453">
        <v>0.85</v>
      </c>
      <c r="AY453">
        <v>0.13</v>
      </c>
      <c r="AZ453">
        <v>1.06</v>
      </c>
      <c r="BA453" t="s">
        <v>97</v>
      </c>
      <c r="BB453" t="s">
        <v>97</v>
      </c>
      <c r="BC453" t="s">
        <v>97</v>
      </c>
      <c r="BD453">
        <v>1</v>
      </c>
      <c r="BE453" t="s">
        <v>97</v>
      </c>
      <c r="BF453" t="s">
        <v>97</v>
      </c>
      <c r="BG453" t="s">
        <v>97</v>
      </c>
      <c r="BH453" t="s">
        <v>97</v>
      </c>
      <c r="BI453">
        <v>669257</v>
      </c>
      <c r="BJ453">
        <v>669257</v>
      </c>
      <c r="BK453" t="s">
        <v>97</v>
      </c>
      <c r="BL453" t="s">
        <v>97</v>
      </c>
      <c r="BM453">
        <v>-7.1829370990000001</v>
      </c>
      <c r="BN453">
        <v>-125.419059</v>
      </c>
      <c r="BO453">
        <v>-8.1430384789999994</v>
      </c>
      <c r="BP453">
        <v>12.840672359999999</v>
      </c>
      <c r="BQ453">
        <v>26.151731259999998</v>
      </c>
      <c r="BR453">
        <v>-21.738047850000001</v>
      </c>
      <c r="BS453">
        <v>3.76</v>
      </c>
      <c r="BT453">
        <v>1.77</v>
      </c>
      <c r="BU453" t="s">
        <v>97</v>
      </c>
      <c r="BV453" t="s">
        <v>97</v>
      </c>
      <c r="BW453" t="s">
        <v>97</v>
      </c>
      <c r="BX453">
        <v>87</v>
      </c>
      <c r="BY453">
        <v>1820</v>
      </c>
      <c r="BZ453">
        <v>6.8</v>
      </c>
      <c r="CA453">
        <v>813022</v>
      </c>
      <c r="CB453">
        <v>669257</v>
      </c>
      <c r="CC453">
        <v>669257</v>
      </c>
      <c r="CD453">
        <v>518692</v>
      </c>
      <c r="CE453">
        <v>669242</v>
      </c>
      <c r="CF453">
        <v>571970</v>
      </c>
      <c r="CG453">
        <v>605141</v>
      </c>
      <c r="CH453">
        <v>669743</v>
      </c>
      <c r="CI453">
        <v>571771</v>
      </c>
      <c r="CJ453">
        <v>606192</v>
      </c>
      <c r="CK453">
        <v>53.65</v>
      </c>
      <c r="CL453" t="s">
        <v>97</v>
      </c>
      <c r="CM453">
        <v>0.69149700000000003</v>
      </c>
      <c r="CN453">
        <v>0.7</v>
      </c>
      <c r="CO453">
        <v>1</v>
      </c>
      <c r="CP453">
        <v>0</v>
      </c>
      <c r="CQ453">
        <v>0</v>
      </c>
      <c r="CR453" t="s">
        <v>97</v>
      </c>
      <c r="CS453">
        <v>1</v>
      </c>
      <c r="CT453">
        <v>3</v>
      </c>
      <c r="CU453">
        <v>3</v>
      </c>
      <c r="CV453">
        <v>1</v>
      </c>
      <c r="CW453">
        <v>3</v>
      </c>
      <c r="CX453">
        <v>1</v>
      </c>
      <c r="CY453">
        <v>3</v>
      </c>
      <c r="CZ453">
        <v>1</v>
      </c>
      <c r="DA453" t="s">
        <v>115</v>
      </c>
      <c r="DB453" t="s">
        <v>107</v>
      </c>
      <c r="DC453">
        <v>129</v>
      </c>
      <c r="DD453">
        <v>-1.9E-2</v>
      </c>
      <c r="DE453">
        <v>0.34</v>
      </c>
      <c r="DF453" t="s">
        <v>97</v>
      </c>
      <c r="DG453" t="s">
        <v>97</v>
      </c>
    </row>
    <row r="454" spans="1:111" x14ac:dyDescent="0.2">
      <c r="A454">
        <v>2025</v>
      </c>
      <c r="B454" s="1">
        <v>45959</v>
      </c>
      <c r="C454" t="s">
        <v>95</v>
      </c>
      <c r="D454">
        <v>605483</v>
      </c>
      <c r="E454">
        <v>643396</v>
      </c>
      <c r="F454">
        <v>0</v>
      </c>
      <c r="G454">
        <v>0</v>
      </c>
      <c r="H454">
        <v>4</v>
      </c>
      <c r="I454" t="s">
        <v>96</v>
      </c>
      <c r="J454">
        <v>28</v>
      </c>
      <c r="K454">
        <v>1</v>
      </c>
      <c r="L454" t="s">
        <v>97</v>
      </c>
      <c r="M454" t="s">
        <v>132</v>
      </c>
      <c r="N454" t="s">
        <v>133</v>
      </c>
      <c r="O454">
        <f t="shared" si="112"/>
        <v>0</v>
      </c>
      <c r="P454">
        <f t="shared" si="113"/>
        <v>0</v>
      </c>
      <c r="Q454">
        <f t="shared" si="114"/>
        <v>0</v>
      </c>
      <c r="R454">
        <f t="shared" si="115"/>
        <v>0</v>
      </c>
      <c r="S454">
        <f t="shared" si="116"/>
        <v>0</v>
      </c>
      <c r="T454">
        <f t="shared" si="117"/>
        <v>0</v>
      </c>
      <c r="U454">
        <f t="shared" si="118"/>
        <v>0</v>
      </c>
      <c r="V454">
        <f t="shared" si="119"/>
        <v>0</v>
      </c>
      <c r="W454">
        <f t="shared" si="120"/>
        <v>0</v>
      </c>
      <c r="X454">
        <f t="shared" si="121"/>
        <v>1</v>
      </c>
      <c r="Y454">
        <f t="shared" si="122"/>
        <v>0</v>
      </c>
      <c r="Z454">
        <f t="shared" si="123"/>
        <v>0</v>
      </c>
      <c r="AA454">
        <f t="shared" si="124"/>
        <v>0</v>
      </c>
      <c r="AB454">
        <f t="shared" si="125"/>
        <v>0</v>
      </c>
      <c r="AC454">
        <f t="shared" si="126"/>
        <v>0</v>
      </c>
      <c r="AD454">
        <f t="shared" si="127"/>
        <v>0</v>
      </c>
      <c r="AE454">
        <v>88.5</v>
      </c>
      <c r="AF454">
        <v>2.19</v>
      </c>
      <c r="AG454">
        <v>6.31</v>
      </c>
      <c r="AH454" t="s">
        <v>108</v>
      </c>
      <c r="AI454" t="s">
        <v>97</v>
      </c>
      <c r="AJ454" t="s">
        <v>97</v>
      </c>
      <c r="AK454" t="s">
        <v>97</v>
      </c>
      <c r="AL454" t="s">
        <v>97</v>
      </c>
      <c r="AM454">
        <v>4</v>
      </c>
      <c r="AN454" t="s">
        <v>109</v>
      </c>
      <c r="AO454" t="s">
        <v>213</v>
      </c>
      <c r="AP454" t="s">
        <v>122</v>
      </c>
      <c r="AQ454" t="s">
        <v>103</v>
      </c>
      <c r="AR454" t="s">
        <v>104</v>
      </c>
      <c r="AS454" t="s">
        <v>214</v>
      </c>
      <c r="AT454" t="s">
        <v>110</v>
      </c>
      <c r="AU454" t="s">
        <v>97</v>
      </c>
      <c r="AV454" t="s">
        <v>97</v>
      </c>
      <c r="AW454">
        <v>1.01</v>
      </c>
      <c r="AX454">
        <v>0.98</v>
      </c>
      <c r="AY454">
        <v>-0.35</v>
      </c>
      <c r="AZ454">
        <v>2.11</v>
      </c>
      <c r="BA454" t="s">
        <v>97</v>
      </c>
      <c r="BB454" t="s">
        <v>97</v>
      </c>
      <c r="BC454">
        <v>680718</v>
      </c>
      <c r="BD454">
        <v>1</v>
      </c>
      <c r="BE454" t="s">
        <v>97</v>
      </c>
      <c r="BF454" t="s">
        <v>97</v>
      </c>
      <c r="BG454" t="s">
        <v>97</v>
      </c>
      <c r="BH454" t="s">
        <v>97</v>
      </c>
      <c r="BI454">
        <v>669257</v>
      </c>
      <c r="BJ454">
        <v>669257</v>
      </c>
      <c r="BK454" t="s">
        <v>97</v>
      </c>
      <c r="BL454" t="s">
        <v>97</v>
      </c>
      <c r="BM454">
        <v>-8.3797319340000005</v>
      </c>
      <c r="BN454">
        <v>-128.473052</v>
      </c>
      <c r="BO454">
        <v>-6.2508769300000004</v>
      </c>
      <c r="BP454">
        <v>12.94510266</v>
      </c>
      <c r="BQ454">
        <v>27.11785716</v>
      </c>
      <c r="BR454">
        <v>-20.14824729</v>
      </c>
      <c r="BS454">
        <v>3.22</v>
      </c>
      <c r="BT454">
        <v>1.47</v>
      </c>
      <c r="BU454" t="s">
        <v>97</v>
      </c>
      <c r="BV454" t="s">
        <v>97</v>
      </c>
      <c r="BW454" t="s">
        <v>97</v>
      </c>
      <c r="BX454">
        <v>89.3</v>
      </c>
      <c r="BY454">
        <v>1845</v>
      </c>
      <c r="BZ454">
        <v>6.9</v>
      </c>
      <c r="CA454">
        <v>813022</v>
      </c>
      <c r="CB454">
        <v>669257</v>
      </c>
      <c r="CC454">
        <v>669257</v>
      </c>
      <c r="CD454">
        <v>518692</v>
      </c>
      <c r="CE454">
        <v>669242</v>
      </c>
      <c r="CF454">
        <v>571970</v>
      </c>
      <c r="CG454">
        <v>605141</v>
      </c>
      <c r="CH454">
        <v>669743</v>
      </c>
      <c r="CI454">
        <v>571771</v>
      </c>
      <c r="CJ454">
        <v>606192</v>
      </c>
      <c r="CK454">
        <v>53.55</v>
      </c>
      <c r="CL454" t="s">
        <v>97</v>
      </c>
      <c r="CM454" t="s">
        <v>97</v>
      </c>
      <c r="CN454" t="s">
        <v>97</v>
      </c>
      <c r="CO454" t="s">
        <v>97</v>
      </c>
      <c r="CP454" t="s">
        <v>97</v>
      </c>
      <c r="CQ454" t="s">
        <v>97</v>
      </c>
      <c r="CR454" t="s">
        <v>97</v>
      </c>
      <c r="CS454">
        <v>1</v>
      </c>
      <c r="CT454">
        <v>3</v>
      </c>
      <c r="CU454">
        <v>3</v>
      </c>
      <c r="CV454">
        <v>1</v>
      </c>
      <c r="CW454">
        <v>3</v>
      </c>
      <c r="CX454">
        <v>1</v>
      </c>
      <c r="CY454">
        <v>3</v>
      </c>
      <c r="CZ454">
        <v>1</v>
      </c>
      <c r="DA454" t="s">
        <v>107</v>
      </c>
      <c r="DB454" t="s">
        <v>107</v>
      </c>
      <c r="DC454">
        <v>131</v>
      </c>
      <c r="DD454">
        <v>0</v>
      </c>
      <c r="DE454">
        <v>-0.04</v>
      </c>
      <c r="DF454" t="s">
        <v>97</v>
      </c>
      <c r="DG454" t="s">
        <v>97</v>
      </c>
    </row>
    <row r="455" spans="1:111" x14ac:dyDescent="0.2">
      <c r="A455">
        <v>2025</v>
      </c>
      <c r="B455" s="1">
        <v>45959</v>
      </c>
      <c r="C455" t="s">
        <v>95</v>
      </c>
      <c r="D455">
        <v>605483</v>
      </c>
      <c r="E455">
        <v>643396</v>
      </c>
      <c r="F455">
        <v>0</v>
      </c>
      <c r="G455">
        <v>1</v>
      </c>
      <c r="H455">
        <v>4</v>
      </c>
      <c r="I455" t="s">
        <v>96</v>
      </c>
      <c r="J455">
        <v>28</v>
      </c>
      <c r="K455">
        <v>2</v>
      </c>
      <c r="L455" t="s">
        <v>97</v>
      </c>
      <c r="M455" t="s">
        <v>98</v>
      </c>
      <c r="N455" t="s">
        <v>99</v>
      </c>
      <c r="O455">
        <f t="shared" si="112"/>
        <v>0</v>
      </c>
      <c r="P455">
        <f t="shared" si="113"/>
        <v>1</v>
      </c>
      <c r="Q455">
        <f t="shared" si="114"/>
        <v>0</v>
      </c>
      <c r="R455">
        <f t="shared" si="115"/>
        <v>0</v>
      </c>
      <c r="S455">
        <f t="shared" si="116"/>
        <v>0</v>
      </c>
      <c r="T455">
        <f t="shared" si="117"/>
        <v>0</v>
      </c>
      <c r="U455">
        <f t="shared" si="118"/>
        <v>0</v>
      </c>
      <c r="V455">
        <f t="shared" si="119"/>
        <v>0</v>
      </c>
      <c r="W455">
        <f t="shared" si="120"/>
        <v>0</v>
      </c>
      <c r="X455">
        <f t="shared" si="121"/>
        <v>0</v>
      </c>
      <c r="Y455">
        <f t="shared" si="122"/>
        <v>0</v>
      </c>
      <c r="Z455">
        <f t="shared" si="123"/>
        <v>0</v>
      </c>
      <c r="AA455">
        <f t="shared" si="124"/>
        <v>0</v>
      </c>
      <c r="AB455">
        <f t="shared" si="125"/>
        <v>0</v>
      </c>
      <c r="AC455">
        <f t="shared" si="126"/>
        <v>0</v>
      </c>
      <c r="AD455">
        <f t="shared" si="127"/>
        <v>0</v>
      </c>
      <c r="AE455">
        <v>96.6</v>
      </c>
      <c r="AF455">
        <v>1.93</v>
      </c>
      <c r="AG455">
        <v>6.47</v>
      </c>
      <c r="AH455" t="s">
        <v>129</v>
      </c>
      <c r="AI455" t="s">
        <v>97</v>
      </c>
      <c r="AJ455" t="s">
        <v>97</v>
      </c>
      <c r="AK455" t="s">
        <v>97</v>
      </c>
      <c r="AL455" t="s">
        <v>97</v>
      </c>
      <c r="AM455">
        <v>2</v>
      </c>
      <c r="AN455" t="s">
        <v>130</v>
      </c>
      <c r="AO455" t="s">
        <v>213</v>
      </c>
      <c r="AP455" t="s">
        <v>122</v>
      </c>
      <c r="AQ455" t="s">
        <v>103</v>
      </c>
      <c r="AR455" t="s">
        <v>104</v>
      </c>
      <c r="AS455" t="s">
        <v>214</v>
      </c>
      <c r="AT455" t="s">
        <v>110</v>
      </c>
      <c r="AU455" t="s">
        <v>97</v>
      </c>
      <c r="AV455" t="s">
        <v>97</v>
      </c>
      <c r="AW455">
        <v>0.12</v>
      </c>
      <c r="AX455">
        <v>1.68</v>
      </c>
      <c r="AY455">
        <v>0.01</v>
      </c>
      <c r="AZ455">
        <v>3.21</v>
      </c>
      <c r="BA455" t="s">
        <v>97</v>
      </c>
      <c r="BB455" t="s">
        <v>97</v>
      </c>
      <c r="BC455">
        <v>680718</v>
      </c>
      <c r="BD455">
        <v>1</v>
      </c>
      <c r="BE455" t="s">
        <v>97</v>
      </c>
      <c r="BF455" t="s">
        <v>97</v>
      </c>
      <c r="BG455" t="s">
        <v>97</v>
      </c>
      <c r="BH455" t="s">
        <v>97</v>
      </c>
      <c r="BI455">
        <v>669257</v>
      </c>
      <c r="BJ455">
        <v>669257</v>
      </c>
      <c r="BK455" t="s">
        <v>97</v>
      </c>
      <c r="BL455" t="s">
        <v>97</v>
      </c>
      <c r="BM455">
        <v>-5.4248646980000004</v>
      </c>
      <c r="BN455">
        <v>-140.45526820000001</v>
      </c>
      <c r="BO455">
        <v>-6.9669220129999996</v>
      </c>
      <c r="BP455">
        <v>2.8748601329999999</v>
      </c>
      <c r="BQ455">
        <v>34.494769650000002</v>
      </c>
      <c r="BR455">
        <v>-8.5487836749999992</v>
      </c>
      <c r="BS455">
        <v>3.22</v>
      </c>
      <c r="BT455">
        <v>1.47</v>
      </c>
      <c r="BU455">
        <v>284</v>
      </c>
      <c r="BV455">
        <v>85.9</v>
      </c>
      <c r="BW455">
        <v>28</v>
      </c>
      <c r="BX455">
        <v>97.2</v>
      </c>
      <c r="BY455">
        <v>2485</v>
      </c>
      <c r="BZ455">
        <v>6.8</v>
      </c>
      <c r="CA455">
        <v>813022</v>
      </c>
      <c r="CB455">
        <v>669257</v>
      </c>
      <c r="CC455">
        <v>669257</v>
      </c>
      <c r="CD455">
        <v>518692</v>
      </c>
      <c r="CE455">
        <v>669242</v>
      </c>
      <c r="CF455">
        <v>571970</v>
      </c>
      <c r="CG455">
        <v>605141</v>
      </c>
      <c r="CH455">
        <v>669743</v>
      </c>
      <c r="CI455">
        <v>571771</v>
      </c>
      <c r="CJ455">
        <v>606192</v>
      </c>
      <c r="CK455">
        <v>53.65</v>
      </c>
      <c r="CL455" t="s">
        <v>97</v>
      </c>
      <c r="CM455" t="s">
        <v>97</v>
      </c>
      <c r="CN455" t="s">
        <v>97</v>
      </c>
      <c r="CO455" t="s">
        <v>97</v>
      </c>
      <c r="CP455" t="s">
        <v>97</v>
      </c>
      <c r="CQ455" t="s">
        <v>97</v>
      </c>
      <c r="CR455" t="s">
        <v>97</v>
      </c>
      <c r="CS455">
        <v>1</v>
      </c>
      <c r="CT455">
        <v>3</v>
      </c>
      <c r="CU455">
        <v>3</v>
      </c>
      <c r="CV455">
        <v>1</v>
      </c>
      <c r="CW455">
        <v>3</v>
      </c>
      <c r="CX455">
        <v>1</v>
      </c>
      <c r="CY455">
        <v>3</v>
      </c>
      <c r="CZ455">
        <v>1</v>
      </c>
      <c r="DA455" t="s">
        <v>107</v>
      </c>
      <c r="DB455" t="s">
        <v>107</v>
      </c>
      <c r="DC455">
        <v>155</v>
      </c>
      <c r="DD455">
        <v>0</v>
      </c>
      <c r="DE455">
        <v>-4.7E-2</v>
      </c>
      <c r="DF455">
        <v>63.5</v>
      </c>
      <c r="DG455">
        <v>5.8</v>
      </c>
    </row>
    <row r="456" spans="1:111" x14ac:dyDescent="0.2">
      <c r="A456">
        <v>2025</v>
      </c>
      <c r="B456" s="1">
        <v>45959</v>
      </c>
      <c r="C456" t="s">
        <v>95</v>
      </c>
      <c r="D456">
        <v>605483</v>
      </c>
      <c r="E456">
        <v>643396</v>
      </c>
      <c r="F456">
        <v>0</v>
      </c>
      <c r="G456">
        <v>2</v>
      </c>
      <c r="H456">
        <v>4</v>
      </c>
      <c r="I456" t="s">
        <v>96</v>
      </c>
      <c r="J456">
        <v>28</v>
      </c>
      <c r="K456">
        <v>3</v>
      </c>
      <c r="L456" t="s">
        <v>116</v>
      </c>
      <c r="M456" t="s">
        <v>111</v>
      </c>
      <c r="N456" t="s">
        <v>112</v>
      </c>
      <c r="O456">
        <f t="shared" si="112"/>
        <v>0</v>
      </c>
      <c r="P456">
        <f t="shared" si="113"/>
        <v>0</v>
      </c>
      <c r="Q456">
        <f t="shared" si="114"/>
        <v>0</v>
      </c>
      <c r="R456">
        <f t="shared" si="115"/>
        <v>0</v>
      </c>
      <c r="S456">
        <f t="shared" si="116"/>
        <v>0</v>
      </c>
      <c r="T456">
        <f t="shared" si="117"/>
        <v>1</v>
      </c>
      <c r="U456">
        <f t="shared" si="118"/>
        <v>0</v>
      </c>
      <c r="V456">
        <f t="shared" si="119"/>
        <v>0</v>
      </c>
      <c r="W456">
        <f t="shared" si="120"/>
        <v>0</v>
      </c>
      <c r="X456">
        <f t="shared" si="121"/>
        <v>0</v>
      </c>
      <c r="Y456">
        <f t="shared" si="122"/>
        <v>0</v>
      </c>
      <c r="Z456">
        <f t="shared" si="123"/>
        <v>0</v>
      </c>
      <c r="AA456">
        <f t="shared" si="124"/>
        <v>0</v>
      </c>
      <c r="AB456">
        <f t="shared" si="125"/>
        <v>0</v>
      </c>
      <c r="AC456">
        <f t="shared" si="126"/>
        <v>0</v>
      </c>
      <c r="AD456">
        <f t="shared" si="127"/>
        <v>0</v>
      </c>
      <c r="AE456">
        <v>81.8</v>
      </c>
      <c r="AF456">
        <v>1.92</v>
      </c>
      <c r="AG456">
        <v>6.46</v>
      </c>
      <c r="AH456" t="s">
        <v>117</v>
      </c>
      <c r="AI456" t="s">
        <v>97</v>
      </c>
      <c r="AJ456" t="s">
        <v>97</v>
      </c>
      <c r="AK456" t="s">
        <v>97</v>
      </c>
      <c r="AL456" t="s">
        <v>97</v>
      </c>
      <c r="AM456">
        <v>13</v>
      </c>
      <c r="AN456" t="s">
        <v>262</v>
      </c>
      <c r="AO456" t="s">
        <v>213</v>
      </c>
      <c r="AP456" t="s">
        <v>122</v>
      </c>
      <c r="AQ456" t="s">
        <v>103</v>
      </c>
      <c r="AR456" t="s">
        <v>104</v>
      </c>
      <c r="AS456" t="s">
        <v>214</v>
      </c>
      <c r="AT456" t="s">
        <v>110</v>
      </c>
      <c r="AU456">
        <v>2</v>
      </c>
      <c r="AV456" t="s">
        <v>97</v>
      </c>
      <c r="AW456">
        <v>-0.92</v>
      </c>
      <c r="AX456">
        <v>-0.78</v>
      </c>
      <c r="AY456">
        <v>-0.34</v>
      </c>
      <c r="AZ456">
        <v>0.93</v>
      </c>
      <c r="BA456" t="s">
        <v>97</v>
      </c>
      <c r="BB456" t="s">
        <v>97</v>
      </c>
      <c r="BC456">
        <v>680718</v>
      </c>
      <c r="BD456">
        <v>1</v>
      </c>
      <c r="BE456" t="s">
        <v>97</v>
      </c>
      <c r="BF456" t="s">
        <v>97</v>
      </c>
      <c r="BG456" t="s">
        <v>97</v>
      </c>
      <c r="BH456" t="s">
        <v>97</v>
      </c>
      <c r="BI456">
        <v>669257</v>
      </c>
      <c r="BJ456">
        <v>669257</v>
      </c>
      <c r="BK456" t="s">
        <v>97</v>
      </c>
      <c r="BL456" t="s">
        <v>97</v>
      </c>
      <c r="BM456">
        <v>-3.3349473590000001</v>
      </c>
      <c r="BN456">
        <v>-118.9817431</v>
      </c>
      <c r="BO456">
        <v>-4.3650259939999998</v>
      </c>
      <c r="BP456">
        <v>-8.0192127620000004</v>
      </c>
      <c r="BQ456">
        <v>24.70318301</v>
      </c>
      <c r="BR456">
        <v>-38.824249940000001</v>
      </c>
      <c r="BS456">
        <v>3.22</v>
      </c>
      <c r="BT456">
        <v>1.47</v>
      </c>
      <c r="BU456" t="s">
        <v>97</v>
      </c>
      <c r="BV456" t="s">
        <v>97</v>
      </c>
      <c r="BW456" t="s">
        <v>97</v>
      </c>
      <c r="BX456">
        <v>82.1</v>
      </c>
      <c r="BY456">
        <v>2751</v>
      </c>
      <c r="BZ456">
        <v>6.7</v>
      </c>
      <c r="CA456">
        <v>813022</v>
      </c>
      <c r="CB456">
        <v>669257</v>
      </c>
      <c r="CC456">
        <v>669257</v>
      </c>
      <c r="CD456">
        <v>518692</v>
      </c>
      <c r="CE456">
        <v>669242</v>
      </c>
      <c r="CF456">
        <v>571970</v>
      </c>
      <c r="CG456">
        <v>605141</v>
      </c>
      <c r="CH456">
        <v>669743</v>
      </c>
      <c r="CI456">
        <v>571771</v>
      </c>
      <c r="CJ456">
        <v>606192</v>
      </c>
      <c r="CK456">
        <v>53.8</v>
      </c>
      <c r="CL456" t="s">
        <v>97</v>
      </c>
      <c r="CM456">
        <v>0</v>
      </c>
      <c r="CN456">
        <v>0</v>
      </c>
      <c r="CO456">
        <v>1</v>
      </c>
      <c r="CP456">
        <v>0</v>
      </c>
      <c r="CQ456">
        <v>0</v>
      </c>
      <c r="CR456" t="s">
        <v>97</v>
      </c>
      <c r="CS456">
        <v>1</v>
      </c>
      <c r="CT456">
        <v>3</v>
      </c>
      <c r="CU456">
        <v>3</v>
      </c>
      <c r="CV456">
        <v>1</v>
      </c>
      <c r="CW456">
        <v>3</v>
      </c>
      <c r="CX456">
        <v>1</v>
      </c>
      <c r="CY456">
        <v>3</v>
      </c>
      <c r="CZ456">
        <v>1</v>
      </c>
      <c r="DA456" t="s">
        <v>107</v>
      </c>
      <c r="DB456" t="s">
        <v>107</v>
      </c>
      <c r="DC456">
        <v>326</v>
      </c>
      <c r="DD456">
        <v>2.1000000000000001E-2</v>
      </c>
      <c r="DE456">
        <v>-0.16700000000000001</v>
      </c>
      <c r="DF456">
        <v>29.6</v>
      </c>
      <c r="DG456">
        <v>6</v>
      </c>
    </row>
    <row r="457" spans="1:111" x14ac:dyDescent="0.2">
      <c r="A457">
        <v>2025</v>
      </c>
      <c r="B457" s="1">
        <v>45959</v>
      </c>
      <c r="C457" t="s">
        <v>95</v>
      </c>
      <c r="D457">
        <v>605483</v>
      </c>
      <c r="E457">
        <v>665926</v>
      </c>
      <c r="F457">
        <v>0</v>
      </c>
      <c r="G457">
        <v>0</v>
      </c>
      <c r="H457">
        <v>4</v>
      </c>
      <c r="I457" t="s">
        <v>96</v>
      </c>
      <c r="J457">
        <v>29</v>
      </c>
      <c r="K457">
        <v>1</v>
      </c>
      <c r="L457" t="s">
        <v>97</v>
      </c>
      <c r="M457" t="s">
        <v>98</v>
      </c>
      <c r="N457" t="s">
        <v>99</v>
      </c>
      <c r="O457">
        <f t="shared" si="112"/>
        <v>0</v>
      </c>
      <c r="P457">
        <f t="shared" si="113"/>
        <v>1</v>
      </c>
      <c r="Q457">
        <f t="shared" si="114"/>
        <v>0</v>
      </c>
      <c r="R457">
        <f t="shared" si="115"/>
        <v>0</v>
      </c>
      <c r="S457">
        <f t="shared" si="116"/>
        <v>0</v>
      </c>
      <c r="T457">
        <f t="shared" si="117"/>
        <v>0</v>
      </c>
      <c r="U457">
        <f t="shared" si="118"/>
        <v>0</v>
      </c>
      <c r="V457">
        <f t="shared" si="119"/>
        <v>0</v>
      </c>
      <c r="W457">
        <f t="shared" si="120"/>
        <v>0</v>
      </c>
      <c r="X457">
        <f t="shared" si="121"/>
        <v>0</v>
      </c>
      <c r="Y457">
        <f t="shared" si="122"/>
        <v>0</v>
      </c>
      <c r="Z457">
        <f t="shared" si="123"/>
        <v>0</v>
      </c>
      <c r="AA457">
        <f t="shared" si="124"/>
        <v>0</v>
      </c>
      <c r="AB457">
        <f t="shared" si="125"/>
        <v>0</v>
      </c>
      <c r="AC457">
        <f t="shared" si="126"/>
        <v>0</v>
      </c>
      <c r="AD457">
        <f t="shared" si="127"/>
        <v>0</v>
      </c>
      <c r="AE457">
        <v>95.4</v>
      </c>
      <c r="AF457">
        <v>1.92</v>
      </c>
      <c r="AG457">
        <v>6.5</v>
      </c>
      <c r="AH457" t="s">
        <v>113</v>
      </c>
      <c r="AI457" t="s">
        <v>97</v>
      </c>
      <c r="AJ457" t="s">
        <v>97</v>
      </c>
      <c r="AK457" t="s">
        <v>97</v>
      </c>
      <c r="AL457" t="s">
        <v>97</v>
      </c>
      <c r="AM457">
        <v>2</v>
      </c>
      <c r="AN457" t="s">
        <v>114</v>
      </c>
      <c r="AO457" t="s">
        <v>213</v>
      </c>
      <c r="AP457" t="s">
        <v>103</v>
      </c>
      <c r="AQ457" t="s">
        <v>103</v>
      </c>
      <c r="AR457" t="s">
        <v>104</v>
      </c>
      <c r="AS457" t="s">
        <v>214</v>
      </c>
      <c r="AT457" t="s">
        <v>110</v>
      </c>
      <c r="AU457" t="s">
        <v>97</v>
      </c>
      <c r="AV457" t="s">
        <v>97</v>
      </c>
      <c r="AW457">
        <v>0.4</v>
      </c>
      <c r="AX457">
        <v>1.62</v>
      </c>
      <c r="AY457">
        <v>0.05</v>
      </c>
      <c r="AZ457">
        <v>3.29</v>
      </c>
      <c r="BA457" t="s">
        <v>97</v>
      </c>
      <c r="BB457" t="s">
        <v>97</v>
      </c>
      <c r="BC457">
        <v>680718</v>
      </c>
      <c r="BD457">
        <v>2</v>
      </c>
      <c r="BE457" t="s">
        <v>97</v>
      </c>
      <c r="BF457" t="s">
        <v>97</v>
      </c>
      <c r="BG457" t="s">
        <v>97</v>
      </c>
      <c r="BH457" t="s">
        <v>97</v>
      </c>
      <c r="BI457">
        <v>669257</v>
      </c>
      <c r="BJ457">
        <v>669257</v>
      </c>
      <c r="BK457" t="s">
        <v>97</v>
      </c>
      <c r="BL457" t="s">
        <v>97</v>
      </c>
      <c r="BM457">
        <v>-5.8818869850000004</v>
      </c>
      <c r="BN457">
        <v>-138.70685750000001</v>
      </c>
      <c r="BO457">
        <v>-6.4640814600000001</v>
      </c>
      <c r="BP457">
        <v>6.5307659549999997</v>
      </c>
      <c r="BQ457">
        <v>32.006517039999999</v>
      </c>
      <c r="BR457">
        <v>-10.05495033</v>
      </c>
      <c r="BS457">
        <v>3.25</v>
      </c>
      <c r="BT457">
        <v>1.5</v>
      </c>
      <c r="BU457" t="s">
        <v>97</v>
      </c>
      <c r="BV457" t="s">
        <v>97</v>
      </c>
      <c r="BW457" t="s">
        <v>97</v>
      </c>
      <c r="BX457">
        <v>96.1</v>
      </c>
      <c r="BY457">
        <v>2442</v>
      </c>
      <c r="BZ457">
        <v>6.8</v>
      </c>
      <c r="CA457">
        <v>813022</v>
      </c>
      <c r="CB457">
        <v>669257</v>
      </c>
      <c r="CC457">
        <v>669257</v>
      </c>
      <c r="CD457">
        <v>518692</v>
      </c>
      <c r="CE457">
        <v>669242</v>
      </c>
      <c r="CF457">
        <v>571970</v>
      </c>
      <c r="CG457">
        <v>605141</v>
      </c>
      <c r="CH457">
        <v>669743</v>
      </c>
      <c r="CI457">
        <v>571771</v>
      </c>
      <c r="CJ457">
        <v>606192</v>
      </c>
      <c r="CK457">
        <v>53.67</v>
      </c>
      <c r="CL457" t="s">
        <v>97</v>
      </c>
      <c r="CM457" t="s">
        <v>97</v>
      </c>
      <c r="CN457" t="s">
        <v>97</v>
      </c>
      <c r="CO457" t="s">
        <v>97</v>
      </c>
      <c r="CP457" t="s">
        <v>97</v>
      </c>
      <c r="CQ457" t="s">
        <v>97</v>
      </c>
      <c r="CR457" t="s">
        <v>97</v>
      </c>
      <c r="CS457">
        <v>1</v>
      </c>
      <c r="CT457">
        <v>3</v>
      </c>
      <c r="CU457">
        <v>3</v>
      </c>
      <c r="CV457">
        <v>1</v>
      </c>
      <c r="CW457">
        <v>3</v>
      </c>
      <c r="CX457">
        <v>1</v>
      </c>
      <c r="CY457">
        <v>3</v>
      </c>
      <c r="CZ457">
        <v>1</v>
      </c>
      <c r="DA457" t="s">
        <v>107</v>
      </c>
      <c r="DB457" t="s">
        <v>107</v>
      </c>
      <c r="DC457">
        <v>157</v>
      </c>
      <c r="DD457">
        <v>0</v>
      </c>
      <c r="DE457">
        <v>-4.2000000000000003E-2</v>
      </c>
      <c r="DF457">
        <v>57.8</v>
      </c>
      <c r="DG457">
        <v>5.3</v>
      </c>
    </row>
    <row r="458" spans="1:111" x14ac:dyDescent="0.2">
      <c r="A458">
        <v>2025</v>
      </c>
      <c r="B458" s="1">
        <v>45959</v>
      </c>
      <c r="C458" t="s">
        <v>95</v>
      </c>
      <c r="D458">
        <v>605483</v>
      </c>
      <c r="E458">
        <v>665926</v>
      </c>
      <c r="F458">
        <v>0</v>
      </c>
      <c r="G458">
        <v>1</v>
      </c>
      <c r="H458">
        <v>4</v>
      </c>
      <c r="I458" t="s">
        <v>96</v>
      </c>
      <c r="J458">
        <v>29</v>
      </c>
      <c r="K458">
        <v>2</v>
      </c>
      <c r="L458" t="s">
        <v>97</v>
      </c>
      <c r="M458" t="s">
        <v>111</v>
      </c>
      <c r="N458" t="s">
        <v>112</v>
      </c>
      <c r="O458">
        <f t="shared" si="112"/>
        <v>0</v>
      </c>
      <c r="P458">
        <f t="shared" si="113"/>
        <v>0</v>
      </c>
      <c r="Q458">
        <f t="shared" si="114"/>
        <v>0</v>
      </c>
      <c r="R458">
        <f t="shared" si="115"/>
        <v>0</v>
      </c>
      <c r="S458">
        <f t="shared" si="116"/>
        <v>1</v>
      </c>
      <c r="T458">
        <f t="shared" si="117"/>
        <v>0</v>
      </c>
      <c r="U458">
        <f t="shared" si="118"/>
        <v>0</v>
      </c>
      <c r="V458">
        <f t="shared" si="119"/>
        <v>0</v>
      </c>
      <c r="W458">
        <f t="shared" si="120"/>
        <v>0</v>
      </c>
      <c r="X458">
        <f t="shared" si="121"/>
        <v>0</v>
      </c>
      <c r="Y458">
        <f t="shared" si="122"/>
        <v>0</v>
      </c>
      <c r="Z458">
        <f t="shared" si="123"/>
        <v>0</v>
      </c>
      <c r="AA458">
        <f t="shared" si="124"/>
        <v>0</v>
      </c>
      <c r="AB458">
        <f t="shared" si="125"/>
        <v>0</v>
      </c>
      <c r="AC458">
        <f t="shared" si="126"/>
        <v>0</v>
      </c>
      <c r="AD458">
        <f t="shared" si="127"/>
        <v>0</v>
      </c>
      <c r="AE458">
        <v>81.599999999999994</v>
      </c>
      <c r="AF458">
        <v>1.82</v>
      </c>
      <c r="AG458">
        <v>6.46</v>
      </c>
      <c r="AH458" t="s">
        <v>100</v>
      </c>
      <c r="AI458" t="s">
        <v>97</v>
      </c>
      <c r="AJ458" t="s">
        <v>97</v>
      </c>
      <c r="AK458" t="s">
        <v>97</v>
      </c>
      <c r="AL458" t="s">
        <v>97</v>
      </c>
      <c r="AM458">
        <v>13</v>
      </c>
      <c r="AN458" t="s">
        <v>101</v>
      </c>
      <c r="AO458" t="s">
        <v>213</v>
      </c>
      <c r="AP458" t="s">
        <v>103</v>
      </c>
      <c r="AQ458" t="s">
        <v>103</v>
      </c>
      <c r="AR458" t="s">
        <v>104</v>
      </c>
      <c r="AS458" t="s">
        <v>214</v>
      </c>
      <c r="AT458" t="s">
        <v>106</v>
      </c>
      <c r="AU458" t="s">
        <v>97</v>
      </c>
      <c r="AV458" t="s">
        <v>97</v>
      </c>
      <c r="AW458">
        <v>-1.1399999999999999</v>
      </c>
      <c r="AX458">
        <v>-0.63</v>
      </c>
      <c r="AY458">
        <v>-1.45</v>
      </c>
      <c r="AZ458">
        <v>1.55</v>
      </c>
      <c r="BA458" t="s">
        <v>97</v>
      </c>
      <c r="BB458" t="s">
        <v>97</v>
      </c>
      <c r="BC458">
        <v>680718</v>
      </c>
      <c r="BD458">
        <v>2</v>
      </c>
      <c r="BE458" t="s">
        <v>97</v>
      </c>
      <c r="BF458" t="s">
        <v>97</v>
      </c>
      <c r="BG458" t="s">
        <v>97</v>
      </c>
      <c r="BH458" t="s">
        <v>97</v>
      </c>
      <c r="BI458">
        <v>669257</v>
      </c>
      <c r="BJ458">
        <v>669257</v>
      </c>
      <c r="BK458" t="s">
        <v>97</v>
      </c>
      <c r="BL458" t="s">
        <v>97</v>
      </c>
      <c r="BM458">
        <v>-5.2081638809999999</v>
      </c>
      <c r="BN458">
        <v>-118.7465464</v>
      </c>
      <c r="BO458">
        <v>-3.2111959130000001</v>
      </c>
      <c r="BP458">
        <v>-9.6896210259999993</v>
      </c>
      <c r="BQ458">
        <v>24.409926970000001</v>
      </c>
      <c r="BR458">
        <v>-37.69837055</v>
      </c>
      <c r="BS458">
        <v>3.33</v>
      </c>
      <c r="BT458">
        <v>1.5</v>
      </c>
      <c r="BU458" t="s">
        <v>97</v>
      </c>
      <c r="BV458" t="s">
        <v>97</v>
      </c>
      <c r="BW458" t="s">
        <v>97</v>
      </c>
      <c r="BX458">
        <v>82.2</v>
      </c>
      <c r="BY458">
        <v>2912</v>
      </c>
      <c r="BZ458">
        <v>6.8</v>
      </c>
      <c r="CA458">
        <v>813022</v>
      </c>
      <c r="CB458">
        <v>669257</v>
      </c>
      <c r="CC458">
        <v>669257</v>
      </c>
      <c r="CD458">
        <v>518692</v>
      </c>
      <c r="CE458">
        <v>669242</v>
      </c>
      <c r="CF458">
        <v>571970</v>
      </c>
      <c r="CG458">
        <v>605141</v>
      </c>
      <c r="CH458">
        <v>669743</v>
      </c>
      <c r="CI458">
        <v>571771</v>
      </c>
      <c r="CJ458">
        <v>606192</v>
      </c>
      <c r="CK458">
        <v>53.67</v>
      </c>
      <c r="CL458" t="s">
        <v>97</v>
      </c>
      <c r="CM458" t="s">
        <v>97</v>
      </c>
      <c r="CN458" t="s">
        <v>97</v>
      </c>
      <c r="CO458" t="s">
        <v>97</v>
      </c>
      <c r="CP458" t="s">
        <v>97</v>
      </c>
      <c r="CQ458" t="s">
        <v>97</v>
      </c>
      <c r="CR458" t="s">
        <v>97</v>
      </c>
      <c r="CS458">
        <v>1</v>
      </c>
      <c r="CT458">
        <v>3</v>
      </c>
      <c r="CU458">
        <v>3</v>
      </c>
      <c r="CV458">
        <v>1</v>
      </c>
      <c r="CW458">
        <v>3</v>
      </c>
      <c r="CX458">
        <v>1</v>
      </c>
      <c r="CY458">
        <v>3</v>
      </c>
      <c r="CZ458">
        <v>1</v>
      </c>
      <c r="DA458" t="s">
        <v>107</v>
      </c>
      <c r="DB458" t="s">
        <v>107</v>
      </c>
      <c r="DC458">
        <v>328</v>
      </c>
      <c r="DD458">
        <v>0</v>
      </c>
      <c r="DE458">
        <v>2.7E-2</v>
      </c>
      <c r="DF458" t="s">
        <v>97</v>
      </c>
      <c r="DG458" t="s">
        <v>97</v>
      </c>
    </row>
    <row r="459" spans="1:111" x14ac:dyDescent="0.2">
      <c r="A459">
        <v>2025</v>
      </c>
      <c r="B459" s="1">
        <v>45959</v>
      </c>
      <c r="C459" t="s">
        <v>95</v>
      </c>
      <c r="D459">
        <v>605483</v>
      </c>
      <c r="E459">
        <v>665926</v>
      </c>
      <c r="F459">
        <v>1</v>
      </c>
      <c r="G459">
        <v>1</v>
      </c>
      <c r="H459">
        <v>4</v>
      </c>
      <c r="I459" t="s">
        <v>96</v>
      </c>
      <c r="J459">
        <v>29</v>
      </c>
      <c r="K459">
        <v>3</v>
      </c>
      <c r="L459" t="s">
        <v>97</v>
      </c>
      <c r="M459" t="s">
        <v>111</v>
      </c>
      <c r="N459" t="s">
        <v>112</v>
      </c>
      <c r="O459">
        <f t="shared" si="112"/>
        <v>0</v>
      </c>
      <c r="P459">
        <f t="shared" si="113"/>
        <v>0</v>
      </c>
      <c r="Q459">
        <f t="shared" si="114"/>
        <v>0</v>
      </c>
      <c r="R459">
        <f t="shared" si="115"/>
        <v>0</v>
      </c>
      <c r="S459">
        <f t="shared" si="116"/>
        <v>0</v>
      </c>
      <c r="T459">
        <f t="shared" si="117"/>
        <v>0</v>
      </c>
      <c r="U459">
        <f t="shared" si="118"/>
        <v>0</v>
      </c>
      <c r="V459">
        <f t="shared" si="119"/>
        <v>1</v>
      </c>
      <c r="W459">
        <f t="shared" si="120"/>
        <v>0</v>
      </c>
      <c r="X459">
        <f t="shared" si="121"/>
        <v>0</v>
      </c>
      <c r="Y459">
        <f t="shared" si="122"/>
        <v>0</v>
      </c>
      <c r="Z459">
        <f t="shared" si="123"/>
        <v>0</v>
      </c>
      <c r="AA459">
        <f t="shared" si="124"/>
        <v>0</v>
      </c>
      <c r="AB459">
        <f t="shared" si="125"/>
        <v>0</v>
      </c>
      <c r="AC459">
        <f t="shared" si="126"/>
        <v>0</v>
      </c>
      <c r="AD459">
        <f t="shared" si="127"/>
        <v>0</v>
      </c>
      <c r="AE459">
        <v>80.5</v>
      </c>
      <c r="AF459">
        <v>2.02</v>
      </c>
      <c r="AG459">
        <v>6.46</v>
      </c>
      <c r="AH459" t="s">
        <v>129</v>
      </c>
      <c r="AI459" t="s">
        <v>97</v>
      </c>
      <c r="AJ459" t="s">
        <v>97</v>
      </c>
      <c r="AK459" t="s">
        <v>97</v>
      </c>
      <c r="AL459" t="s">
        <v>97</v>
      </c>
      <c r="AM459">
        <v>13</v>
      </c>
      <c r="AN459" t="s">
        <v>130</v>
      </c>
      <c r="AO459" t="s">
        <v>213</v>
      </c>
      <c r="AP459" t="s">
        <v>103</v>
      </c>
      <c r="AQ459" t="s">
        <v>103</v>
      </c>
      <c r="AR459" t="s">
        <v>104</v>
      </c>
      <c r="AS459" t="s">
        <v>214</v>
      </c>
      <c r="AT459" t="s">
        <v>110</v>
      </c>
      <c r="AU459" t="s">
        <v>97</v>
      </c>
      <c r="AV459" t="s">
        <v>97</v>
      </c>
      <c r="AW459">
        <v>-1.1599999999999999</v>
      </c>
      <c r="AX459">
        <v>-0.19</v>
      </c>
      <c r="AY459">
        <v>-0.98</v>
      </c>
      <c r="AZ459">
        <v>1.42</v>
      </c>
      <c r="BA459" t="s">
        <v>97</v>
      </c>
      <c r="BB459" t="s">
        <v>97</v>
      </c>
      <c r="BC459">
        <v>680718</v>
      </c>
      <c r="BD459">
        <v>2</v>
      </c>
      <c r="BE459" t="s">
        <v>97</v>
      </c>
      <c r="BF459" t="s">
        <v>97</v>
      </c>
      <c r="BG459" t="s">
        <v>97</v>
      </c>
      <c r="BH459" t="s">
        <v>97</v>
      </c>
      <c r="BI459">
        <v>669257</v>
      </c>
      <c r="BJ459">
        <v>669257</v>
      </c>
      <c r="BK459" t="s">
        <v>97</v>
      </c>
      <c r="BL459" t="s">
        <v>97</v>
      </c>
      <c r="BM459">
        <v>-4.4842272699999999</v>
      </c>
      <c r="BN459">
        <v>-117.2145881</v>
      </c>
      <c r="BO459">
        <v>-4.1484167679999997</v>
      </c>
      <c r="BP459">
        <v>-9.7995097960000006</v>
      </c>
      <c r="BQ459">
        <v>22.977995440000001</v>
      </c>
      <c r="BR459">
        <v>-33.341986640000002</v>
      </c>
      <c r="BS459">
        <v>3.25</v>
      </c>
      <c r="BT459">
        <v>1.5</v>
      </c>
      <c r="BU459">
        <v>149</v>
      </c>
      <c r="BV459">
        <v>58.7</v>
      </c>
      <c r="BW459">
        <v>42</v>
      </c>
      <c r="BX459">
        <v>81</v>
      </c>
      <c r="BY459">
        <v>2677</v>
      </c>
      <c r="BZ459">
        <v>6.7</v>
      </c>
      <c r="CA459">
        <v>813022</v>
      </c>
      <c r="CB459">
        <v>669257</v>
      </c>
      <c r="CC459">
        <v>669257</v>
      </c>
      <c r="CD459">
        <v>518692</v>
      </c>
      <c r="CE459">
        <v>669242</v>
      </c>
      <c r="CF459">
        <v>571970</v>
      </c>
      <c r="CG459">
        <v>605141</v>
      </c>
      <c r="CH459">
        <v>669743</v>
      </c>
      <c r="CI459">
        <v>571771</v>
      </c>
      <c r="CJ459">
        <v>606192</v>
      </c>
      <c r="CK459">
        <v>53.83</v>
      </c>
      <c r="CL459" t="s">
        <v>97</v>
      </c>
      <c r="CM459" t="s">
        <v>97</v>
      </c>
      <c r="CN459" t="s">
        <v>97</v>
      </c>
      <c r="CO459" t="s">
        <v>97</v>
      </c>
      <c r="CP459" t="s">
        <v>97</v>
      </c>
      <c r="CQ459" t="s">
        <v>97</v>
      </c>
      <c r="CR459" t="s">
        <v>97</v>
      </c>
      <c r="CS459">
        <v>1</v>
      </c>
      <c r="CT459">
        <v>3</v>
      </c>
      <c r="CU459">
        <v>3</v>
      </c>
      <c r="CV459">
        <v>1</v>
      </c>
      <c r="CW459">
        <v>3</v>
      </c>
      <c r="CX459">
        <v>1</v>
      </c>
      <c r="CY459">
        <v>3</v>
      </c>
      <c r="CZ459">
        <v>1</v>
      </c>
      <c r="DA459" t="s">
        <v>107</v>
      </c>
      <c r="DB459" t="s">
        <v>107</v>
      </c>
      <c r="DC459">
        <v>321</v>
      </c>
      <c r="DD459">
        <v>0</v>
      </c>
      <c r="DE459">
        <v>-7.2999999999999995E-2</v>
      </c>
      <c r="DF459">
        <v>61.2</v>
      </c>
      <c r="DG459">
        <v>7.7</v>
      </c>
    </row>
    <row r="460" spans="1:111" x14ac:dyDescent="0.2">
      <c r="A460">
        <v>2025</v>
      </c>
      <c r="B460" s="1">
        <v>45959</v>
      </c>
      <c r="C460" t="s">
        <v>95</v>
      </c>
      <c r="D460">
        <v>605483</v>
      </c>
      <c r="E460">
        <v>665926</v>
      </c>
      <c r="F460">
        <v>1</v>
      </c>
      <c r="G460">
        <v>2</v>
      </c>
      <c r="H460">
        <v>4</v>
      </c>
      <c r="I460" t="s">
        <v>96</v>
      </c>
      <c r="J460">
        <v>29</v>
      </c>
      <c r="K460">
        <v>4</v>
      </c>
      <c r="L460" t="s">
        <v>116</v>
      </c>
      <c r="M460" t="s">
        <v>138</v>
      </c>
      <c r="N460" t="s">
        <v>139</v>
      </c>
      <c r="O460">
        <f t="shared" si="112"/>
        <v>0</v>
      </c>
      <c r="P460">
        <f t="shared" si="113"/>
        <v>0</v>
      </c>
      <c r="Q460">
        <f t="shared" si="114"/>
        <v>0</v>
      </c>
      <c r="R460">
        <f t="shared" si="115"/>
        <v>0</v>
      </c>
      <c r="S460">
        <f t="shared" si="116"/>
        <v>0</v>
      </c>
      <c r="T460">
        <f t="shared" si="117"/>
        <v>0</v>
      </c>
      <c r="U460">
        <f t="shared" si="118"/>
        <v>0</v>
      </c>
      <c r="V460">
        <f t="shared" si="119"/>
        <v>0</v>
      </c>
      <c r="W460">
        <f t="shared" si="120"/>
        <v>0</v>
      </c>
      <c r="X460">
        <f t="shared" si="121"/>
        <v>0</v>
      </c>
      <c r="Y460">
        <f t="shared" si="122"/>
        <v>0</v>
      </c>
      <c r="Z460">
        <f t="shared" si="123"/>
        <v>0</v>
      </c>
      <c r="AA460">
        <f t="shared" si="124"/>
        <v>0</v>
      </c>
      <c r="AB460">
        <f t="shared" si="125"/>
        <v>0</v>
      </c>
      <c r="AC460">
        <f t="shared" si="126"/>
        <v>1</v>
      </c>
      <c r="AD460">
        <f t="shared" si="127"/>
        <v>0</v>
      </c>
      <c r="AE460">
        <v>91.3</v>
      </c>
      <c r="AF460">
        <v>1.99</v>
      </c>
      <c r="AG460">
        <v>6.42</v>
      </c>
      <c r="AH460" t="s">
        <v>117</v>
      </c>
      <c r="AI460" t="s">
        <v>97</v>
      </c>
      <c r="AJ460" t="s">
        <v>97</v>
      </c>
      <c r="AK460" t="s">
        <v>97</v>
      </c>
      <c r="AL460" t="s">
        <v>97</v>
      </c>
      <c r="AM460">
        <v>13</v>
      </c>
      <c r="AN460" t="s">
        <v>253</v>
      </c>
      <c r="AO460" t="s">
        <v>213</v>
      </c>
      <c r="AP460" t="s">
        <v>103</v>
      </c>
      <c r="AQ460" t="s">
        <v>103</v>
      </c>
      <c r="AR460" t="s">
        <v>104</v>
      </c>
      <c r="AS460" t="s">
        <v>214</v>
      </c>
      <c r="AT460" t="s">
        <v>110</v>
      </c>
      <c r="AU460">
        <v>2</v>
      </c>
      <c r="AV460" t="s">
        <v>97</v>
      </c>
      <c r="AW460">
        <v>-0.28000000000000003</v>
      </c>
      <c r="AX460">
        <v>0.71</v>
      </c>
      <c r="AY460">
        <v>-0.52</v>
      </c>
      <c r="AZ460">
        <v>0.14000000000000001</v>
      </c>
      <c r="BA460" t="s">
        <v>97</v>
      </c>
      <c r="BB460" t="s">
        <v>97</v>
      </c>
      <c r="BC460">
        <v>680718</v>
      </c>
      <c r="BD460">
        <v>2</v>
      </c>
      <c r="BE460" t="s">
        <v>97</v>
      </c>
      <c r="BF460" t="s">
        <v>97</v>
      </c>
      <c r="BG460" t="s">
        <v>97</v>
      </c>
      <c r="BH460" t="s">
        <v>97</v>
      </c>
      <c r="BI460">
        <v>669257</v>
      </c>
      <c r="BJ460">
        <v>669257</v>
      </c>
      <c r="BK460" t="s">
        <v>97</v>
      </c>
      <c r="BL460" t="s">
        <v>97</v>
      </c>
      <c r="BM460">
        <v>-5.7559899750000003</v>
      </c>
      <c r="BN460">
        <v>-132.4538842</v>
      </c>
      <c r="BO460">
        <v>-11.494671370000001</v>
      </c>
      <c r="BP460">
        <v>-2.0853738270000002</v>
      </c>
      <c r="BQ460">
        <v>28.228100130000001</v>
      </c>
      <c r="BR460">
        <v>-21.526070440000002</v>
      </c>
      <c r="BS460">
        <v>3.25</v>
      </c>
      <c r="BT460">
        <v>1.5</v>
      </c>
      <c r="BU460" t="s">
        <v>97</v>
      </c>
      <c r="BV460" t="s">
        <v>97</v>
      </c>
      <c r="BW460" t="s">
        <v>97</v>
      </c>
      <c r="BX460">
        <v>92</v>
      </c>
      <c r="BY460">
        <v>2422</v>
      </c>
      <c r="BZ460">
        <v>6.8</v>
      </c>
      <c r="CA460">
        <v>813022</v>
      </c>
      <c r="CB460">
        <v>669257</v>
      </c>
      <c r="CC460">
        <v>669257</v>
      </c>
      <c r="CD460">
        <v>518692</v>
      </c>
      <c r="CE460">
        <v>669242</v>
      </c>
      <c r="CF460">
        <v>571970</v>
      </c>
      <c r="CG460">
        <v>605141</v>
      </c>
      <c r="CH460">
        <v>669743</v>
      </c>
      <c r="CI460">
        <v>571771</v>
      </c>
      <c r="CJ460">
        <v>606192</v>
      </c>
      <c r="CK460">
        <v>53.65</v>
      </c>
      <c r="CL460" t="s">
        <v>97</v>
      </c>
      <c r="CM460">
        <v>0</v>
      </c>
      <c r="CN460">
        <v>0</v>
      </c>
      <c r="CO460">
        <v>1</v>
      </c>
      <c r="CP460">
        <v>0</v>
      </c>
      <c r="CQ460">
        <v>0</v>
      </c>
      <c r="CR460" t="s">
        <v>97</v>
      </c>
      <c r="CS460">
        <v>1</v>
      </c>
      <c r="CT460">
        <v>3</v>
      </c>
      <c r="CU460">
        <v>3</v>
      </c>
      <c r="CV460">
        <v>1</v>
      </c>
      <c r="CW460">
        <v>3</v>
      </c>
      <c r="CX460">
        <v>1</v>
      </c>
      <c r="CY460">
        <v>3</v>
      </c>
      <c r="CZ460">
        <v>1</v>
      </c>
      <c r="DA460" t="s">
        <v>115</v>
      </c>
      <c r="DB460" t="s">
        <v>107</v>
      </c>
      <c r="DC460">
        <v>168</v>
      </c>
      <c r="DD460">
        <v>1.9E-2</v>
      </c>
      <c r="DE460">
        <v>-0.183</v>
      </c>
      <c r="DF460">
        <v>27.7</v>
      </c>
      <c r="DG460">
        <v>6.5</v>
      </c>
    </row>
    <row r="461" spans="1:111" x14ac:dyDescent="0.2">
      <c r="A461">
        <v>2025</v>
      </c>
      <c r="B461" s="1">
        <v>45959</v>
      </c>
      <c r="C461" t="s">
        <v>95</v>
      </c>
      <c r="D461">
        <v>605483</v>
      </c>
      <c r="E461">
        <v>676914</v>
      </c>
      <c r="F461">
        <v>0</v>
      </c>
      <c r="G461">
        <v>0</v>
      </c>
      <c r="H461">
        <v>5</v>
      </c>
      <c r="I461" t="s">
        <v>96</v>
      </c>
      <c r="J461">
        <v>35</v>
      </c>
      <c r="K461">
        <v>1</v>
      </c>
      <c r="L461" t="s">
        <v>97</v>
      </c>
      <c r="M461" t="s">
        <v>111</v>
      </c>
      <c r="N461" t="s">
        <v>112</v>
      </c>
      <c r="O461">
        <f t="shared" si="112"/>
        <v>0</v>
      </c>
      <c r="P461">
        <f t="shared" si="113"/>
        <v>0</v>
      </c>
      <c r="Q461">
        <f t="shared" si="114"/>
        <v>0</v>
      </c>
      <c r="R461">
        <f t="shared" si="115"/>
        <v>0</v>
      </c>
      <c r="S461">
        <f t="shared" si="116"/>
        <v>0</v>
      </c>
      <c r="T461">
        <f t="shared" si="117"/>
        <v>0</v>
      </c>
      <c r="U461">
        <f t="shared" si="118"/>
        <v>1</v>
      </c>
      <c r="V461">
        <f t="shared" si="119"/>
        <v>0</v>
      </c>
      <c r="W461">
        <f t="shared" si="120"/>
        <v>0</v>
      </c>
      <c r="X461">
        <f t="shared" si="121"/>
        <v>0</v>
      </c>
      <c r="Y461">
        <f t="shared" si="122"/>
        <v>0</v>
      </c>
      <c r="Z461">
        <f t="shared" si="123"/>
        <v>0</v>
      </c>
      <c r="AA461">
        <f t="shared" si="124"/>
        <v>0</v>
      </c>
      <c r="AB461">
        <f t="shared" si="125"/>
        <v>0</v>
      </c>
      <c r="AC461">
        <f t="shared" si="126"/>
        <v>0</v>
      </c>
      <c r="AD461">
        <f t="shared" si="127"/>
        <v>0</v>
      </c>
      <c r="AE461">
        <v>79.3</v>
      </c>
      <c r="AF461">
        <v>1.94</v>
      </c>
      <c r="AG461">
        <v>6.56</v>
      </c>
      <c r="AH461" t="s">
        <v>129</v>
      </c>
      <c r="AI461" t="s">
        <v>97</v>
      </c>
      <c r="AJ461" t="s">
        <v>97</v>
      </c>
      <c r="AK461" t="s">
        <v>97</v>
      </c>
      <c r="AL461" t="s">
        <v>97</v>
      </c>
      <c r="AM461">
        <v>8</v>
      </c>
      <c r="AN461" t="s">
        <v>130</v>
      </c>
      <c r="AO461" t="s">
        <v>213</v>
      </c>
      <c r="AP461" t="s">
        <v>122</v>
      </c>
      <c r="AQ461" t="s">
        <v>103</v>
      </c>
      <c r="AR461" t="s">
        <v>104</v>
      </c>
      <c r="AS461" t="s">
        <v>214</v>
      </c>
      <c r="AT461" t="s">
        <v>110</v>
      </c>
      <c r="AU461" t="s">
        <v>97</v>
      </c>
      <c r="AV461" t="s">
        <v>97</v>
      </c>
      <c r="AW461">
        <v>-0.87</v>
      </c>
      <c r="AX461">
        <v>-0.63</v>
      </c>
      <c r="AY461">
        <v>0.14000000000000001</v>
      </c>
      <c r="AZ461">
        <v>1.78</v>
      </c>
      <c r="BA461" t="s">
        <v>97</v>
      </c>
      <c r="BB461" t="s">
        <v>97</v>
      </c>
      <c r="BC461" t="s">
        <v>97</v>
      </c>
      <c r="BD461">
        <v>0</v>
      </c>
      <c r="BE461" t="s">
        <v>97</v>
      </c>
      <c r="BF461" t="s">
        <v>97</v>
      </c>
      <c r="BG461" t="s">
        <v>97</v>
      </c>
      <c r="BH461" t="s">
        <v>97</v>
      </c>
      <c r="BI461">
        <v>669257</v>
      </c>
      <c r="BJ461">
        <v>669257</v>
      </c>
      <c r="BK461" t="s">
        <v>97</v>
      </c>
      <c r="BL461" t="s">
        <v>97</v>
      </c>
      <c r="BM461">
        <v>-2.3105938539999999</v>
      </c>
      <c r="BN461">
        <v>-115.46090599999999</v>
      </c>
      <c r="BO461">
        <v>-2.5150933750000002</v>
      </c>
      <c r="BP461">
        <v>-7.3494988530000001</v>
      </c>
      <c r="BQ461">
        <v>22.199598819999999</v>
      </c>
      <c r="BR461">
        <v>-37.49019835</v>
      </c>
      <c r="BS461">
        <v>3.11</v>
      </c>
      <c r="BT461">
        <v>1.52</v>
      </c>
      <c r="BU461">
        <v>277</v>
      </c>
      <c r="BV461">
        <v>88.8</v>
      </c>
      <c r="BW461">
        <v>40</v>
      </c>
      <c r="BX461">
        <v>79.599999999999994</v>
      </c>
      <c r="BY461">
        <v>2617</v>
      </c>
      <c r="BZ461">
        <v>6.6</v>
      </c>
      <c r="CA461">
        <v>813022</v>
      </c>
      <c r="CB461">
        <v>669257</v>
      </c>
      <c r="CC461">
        <v>669257</v>
      </c>
      <c r="CD461">
        <v>518692</v>
      </c>
      <c r="CE461">
        <v>669242</v>
      </c>
      <c r="CF461">
        <v>571970</v>
      </c>
      <c r="CG461">
        <v>605141</v>
      </c>
      <c r="CH461">
        <v>669743</v>
      </c>
      <c r="CI461">
        <v>571771</v>
      </c>
      <c r="CJ461">
        <v>606192</v>
      </c>
      <c r="CK461">
        <v>53.93</v>
      </c>
      <c r="CL461" t="s">
        <v>97</v>
      </c>
      <c r="CM461" t="s">
        <v>97</v>
      </c>
      <c r="CN461" t="s">
        <v>97</v>
      </c>
      <c r="CO461" t="s">
        <v>97</v>
      </c>
      <c r="CP461" t="s">
        <v>97</v>
      </c>
      <c r="CQ461" t="s">
        <v>97</v>
      </c>
      <c r="CR461" t="s">
        <v>97</v>
      </c>
      <c r="CS461">
        <v>1</v>
      </c>
      <c r="CT461">
        <v>3</v>
      </c>
      <c r="CU461">
        <v>3</v>
      </c>
      <c r="CV461">
        <v>1</v>
      </c>
      <c r="CW461">
        <v>3</v>
      </c>
      <c r="CX461">
        <v>1</v>
      </c>
      <c r="CY461">
        <v>3</v>
      </c>
      <c r="CZ461">
        <v>1</v>
      </c>
      <c r="DA461" t="s">
        <v>107</v>
      </c>
      <c r="DB461" t="s">
        <v>107</v>
      </c>
      <c r="DC461">
        <v>324</v>
      </c>
      <c r="DD461">
        <v>0</v>
      </c>
      <c r="DE461">
        <v>-3.9E-2</v>
      </c>
      <c r="DF461">
        <v>68.5</v>
      </c>
      <c r="DG461">
        <v>6.8</v>
      </c>
    </row>
    <row r="462" spans="1:111" x14ac:dyDescent="0.2">
      <c r="A462">
        <v>2025</v>
      </c>
      <c r="B462" s="1">
        <v>45959</v>
      </c>
      <c r="C462" t="s">
        <v>95</v>
      </c>
      <c r="D462">
        <v>605483</v>
      </c>
      <c r="E462">
        <v>676914</v>
      </c>
      <c r="F462">
        <v>0</v>
      </c>
      <c r="G462">
        <v>1</v>
      </c>
      <c r="H462">
        <v>5</v>
      </c>
      <c r="I462" t="s">
        <v>96</v>
      </c>
      <c r="J462">
        <v>35</v>
      </c>
      <c r="K462">
        <v>2</v>
      </c>
      <c r="L462" t="s">
        <v>97</v>
      </c>
      <c r="M462" t="s">
        <v>132</v>
      </c>
      <c r="N462" t="s">
        <v>133</v>
      </c>
      <c r="O462">
        <f t="shared" si="112"/>
        <v>0</v>
      </c>
      <c r="P462">
        <f t="shared" si="113"/>
        <v>0</v>
      </c>
      <c r="Q462">
        <f t="shared" si="114"/>
        <v>0</v>
      </c>
      <c r="R462">
        <f t="shared" si="115"/>
        <v>0</v>
      </c>
      <c r="S462">
        <f t="shared" si="116"/>
        <v>0</v>
      </c>
      <c r="T462">
        <f t="shared" si="117"/>
        <v>0</v>
      </c>
      <c r="U462">
        <f t="shared" si="118"/>
        <v>0</v>
      </c>
      <c r="V462">
        <f t="shared" si="119"/>
        <v>0</v>
      </c>
      <c r="W462">
        <f t="shared" si="120"/>
        <v>0</v>
      </c>
      <c r="X462">
        <f t="shared" si="121"/>
        <v>0</v>
      </c>
      <c r="Y462">
        <f t="shared" si="122"/>
        <v>0</v>
      </c>
      <c r="Z462">
        <f t="shared" si="123"/>
        <v>1</v>
      </c>
      <c r="AA462">
        <f t="shared" si="124"/>
        <v>0</v>
      </c>
      <c r="AB462">
        <f t="shared" si="125"/>
        <v>0</v>
      </c>
      <c r="AC462">
        <f t="shared" si="126"/>
        <v>0</v>
      </c>
      <c r="AD462">
        <f t="shared" si="127"/>
        <v>0</v>
      </c>
      <c r="AE462">
        <v>82.6</v>
      </c>
      <c r="AF462">
        <v>2.35</v>
      </c>
      <c r="AG462">
        <v>6.27</v>
      </c>
      <c r="AH462" t="s">
        <v>100</v>
      </c>
      <c r="AI462" t="s">
        <v>97</v>
      </c>
      <c r="AJ462" t="s">
        <v>97</v>
      </c>
      <c r="AK462" t="s">
        <v>97</v>
      </c>
      <c r="AL462" t="s">
        <v>97</v>
      </c>
      <c r="AM462">
        <v>14</v>
      </c>
      <c r="AN462" t="s">
        <v>101</v>
      </c>
      <c r="AO462" t="s">
        <v>213</v>
      </c>
      <c r="AP462" t="s">
        <v>122</v>
      </c>
      <c r="AQ462" t="s">
        <v>103</v>
      </c>
      <c r="AR462" t="s">
        <v>104</v>
      </c>
      <c r="AS462" t="s">
        <v>214</v>
      </c>
      <c r="AT462" t="s">
        <v>106</v>
      </c>
      <c r="AU462" t="s">
        <v>97</v>
      </c>
      <c r="AV462" t="s">
        <v>97</v>
      </c>
      <c r="AW462">
        <v>1.27</v>
      </c>
      <c r="AX462">
        <v>0.7</v>
      </c>
      <c r="AY462">
        <v>1.1100000000000001</v>
      </c>
      <c r="AZ462">
        <v>1.92</v>
      </c>
      <c r="BA462" t="s">
        <v>97</v>
      </c>
      <c r="BB462" t="s">
        <v>97</v>
      </c>
      <c r="BC462" t="s">
        <v>97</v>
      </c>
      <c r="BD462">
        <v>0</v>
      </c>
      <c r="BE462" t="s">
        <v>97</v>
      </c>
      <c r="BF462" t="s">
        <v>97</v>
      </c>
      <c r="BG462" t="s">
        <v>97</v>
      </c>
      <c r="BH462" t="s">
        <v>97</v>
      </c>
      <c r="BI462">
        <v>669257</v>
      </c>
      <c r="BJ462">
        <v>669257</v>
      </c>
      <c r="BK462" t="s">
        <v>97</v>
      </c>
      <c r="BL462" t="s">
        <v>97</v>
      </c>
      <c r="BM462">
        <v>-5.3553842100000004</v>
      </c>
      <c r="BN462">
        <v>-120.15028340000001</v>
      </c>
      <c r="BO462">
        <v>-4.7770379849999998</v>
      </c>
      <c r="BP462">
        <v>13.348821510000001</v>
      </c>
      <c r="BQ462">
        <v>24.008485390000001</v>
      </c>
      <c r="BR462">
        <v>-24.675002360000001</v>
      </c>
      <c r="BS462">
        <v>3.19</v>
      </c>
      <c r="BT462">
        <v>1.55</v>
      </c>
      <c r="BU462" t="s">
        <v>97</v>
      </c>
      <c r="BV462" t="s">
        <v>97</v>
      </c>
      <c r="BW462" t="s">
        <v>97</v>
      </c>
      <c r="BX462">
        <v>83.1</v>
      </c>
      <c r="BY462">
        <v>1810</v>
      </c>
      <c r="BZ462">
        <v>6.7</v>
      </c>
      <c r="CA462">
        <v>813022</v>
      </c>
      <c r="CB462">
        <v>669257</v>
      </c>
      <c r="CC462">
        <v>669257</v>
      </c>
      <c r="CD462">
        <v>518692</v>
      </c>
      <c r="CE462">
        <v>669242</v>
      </c>
      <c r="CF462">
        <v>571970</v>
      </c>
      <c r="CG462">
        <v>605141</v>
      </c>
      <c r="CH462">
        <v>669743</v>
      </c>
      <c r="CI462">
        <v>571771</v>
      </c>
      <c r="CJ462">
        <v>606192</v>
      </c>
      <c r="CK462">
        <v>53.79</v>
      </c>
      <c r="CL462" t="s">
        <v>97</v>
      </c>
      <c r="CM462" t="s">
        <v>97</v>
      </c>
      <c r="CN462" t="s">
        <v>97</v>
      </c>
      <c r="CO462" t="s">
        <v>97</v>
      </c>
      <c r="CP462" t="s">
        <v>97</v>
      </c>
      <c r="CQ462" t="s">
        <v>97</v>
      </c>
      <c r="CR462" t="s">
        <v>97</v>
      </c>
      <c r="CS462">
        <v>1</v>
      </c>
      <c r="CT462">
        <v>3</v>
      </c>
      <c r="CU462">
        <v>3</v>
      </c>
      <c r="CV462">
        <v>1</v>
      </c>
      <c r="CW462">
        <v>3</v>
      </c>
      <c r="CX462">
        <v>1</v>
      </c>
      <c r="CY462">
        <v>3</v>
      </c>
      <c r="CZ462">
        <v>1</v>
      </c>
      <c r="DA462" t="s">
        <v>107</v>
      </c>
      <c r="DB462" t="s">
        <v>107</v>
      </c>
      <c r="DC462">
        <v>129</v>
      </c>
      <c r="DD462">
        <v>0</v>
      </c>
      <c r="DE462">
        <v>3.1E-2</v>
      </c>
      <c r="DF462" t="s">
        <v>97</v>
      </c>
      <c r="DG462" t="s">
        <v>97</v>
      </c>
    </row>
    <row r="463" spans="1:111" x14ac:dyDescent="0.2">
      <c r="A463">
        <v>2025</v>
      </c>
      <c r="B463" s="1">
        <v>45959</v>
      </c>
      <c r="C463" t="s">
        <v>95</v>
      </c>
      <c r="D463">
        <v>605483</v>
      </c>
      <c r="E463">
        <v>676914</v>
      </c>
      <c r="F463">
        <v>1</v>
      </c>
      <c r="G463">
        <v>1</v>
      </c>
      <c r="H463">
        <v>5</v>
      </c>
      <c r="I463" t="s">
        <v>96</v>
      </c>
      <c r="J463">
        <v>35</v>
      </c>
      <c r="K463">
        <v>3</v>
      </c>
      <c r="L463" t="s">
        <v>97</v>
      </c>
      <c r="M463" t="s">
        <v>138</v>
      </c>
      <c r="N463" t="s">
        <v>139</v>
      </c>
      <c r="O463">
        <f t="shared" si="112"/>
        <v>0</v>
      </c>
      <c r="P463">
        <f t="shared" si="113"/>
        <v>0</v>
      </c>
      <c r="Q463">
        <f t="shared" si="114"/>
        <v>0</v>
      </c>
      <c r="R463">
        <f t="shared" si="115"/>
        <v>0</v>
      </c>
      <c r="S463">
        <f t="shared" si="116"/>
        <v>0</v>
      </c>
      <c r="T463">
        <f t="shared" si="117"/>
        <v>0</v>
      </c>
      <c r="U463">
        <f t="shared" si="118"/>
        <v>0</v>
      </c>
      <c r="V463">
        <f t="shared" si="119"/>
        <v>0</v>
      </c>
      <c r="W463">
        <f t="shared" si="120"/>
        <v>0</v>
      </c>
      <c r="X463">
        <f t="shared" si="121"/>
        <v>0</v>
      </c>
      <c r="Y463">
        <f t="shared" si="122"/>
        <v>0</v>
      </c>
      <c r="Z463">
        <f t="shared" si="123"/>
        <v>0</v>
      </c>
      <c r="AA463">
        <f t="shared" si="124"/>
        <v>0</v>
      </c>
      <c r="AB463">
        <f t="shared" si="125"/>
        <v>0</v>
      </c>
      <c r="AC463">
        <f t="shared" si="126"/>
        <v>1</v>
      </c>
      <c r="AD463">
        <f t="shared" si="127"/>
        <v>0</v>
      </c>
      <c r="AE463">
        <v>89.1</v>
      </c>
      <c r="AF463">
        <v>2.15</v>
      </c>
      <c r="AG463">
        <v>6.48</v>
      </c>
      <c r="AH463" t="s">
        <v>113</v>
      </c>
      <c r="AI463" t="s">
        <v>97</v>
      </c>
      <c r="AJ463" t="s">
        <v>97</v>
      </c>
      <c r="AK463" t="s">
        <v>97</v>
      </c>
      <c r="AL463" t="s">
        <v>97</v>
      </c>
      <c r="AM463">
        <v>2</v>
      </c>
      <c r="AN463" t="s">
        <v>114</v>
      </c>
      <c r="AO463" t="s">
        <v>213</v>
      </c>
      <c r="AP463" t="s">
        <v>122</v>
      </c>
      <c r="AQ463" t="s">
        <v>103</v>
      </c>
      <c r="AR463" t="s">
        <v>104</v>
      </c>
      <c r="AS463" t="s">
        <v>214</v>
      </c>
      <c r="AT463" t="s">
        <v>110</v>
      </c>
      <c r="AU463" t="s">
        <v>97</v>
      </c>
      <c r="AV463" t="s">
        <v>97</v>
      </c>
      <c r="AW463">
        <v>0.05</v>
      </c>
      <c r="AX463">
        <v>0.63</v>
      </c>
      <c r="AY463">
        <v>0.16</v>
      </c>
      <c r="AZ463">
        <v>3.07</v>
      </c>
      <c r="BA463" t="s">
        <v>97</v>
      </c>
      <c r="BB463" t="s">
        <v>97</v>
      </c>
      <c r="BC463" t="s">
        <v>97</v>
      </c>
      <c r="BD463">
        <v>0</v>
      </c>
      <c r="BE463" t="s">
        <v>97</v>
      </c>
      <c r="BF463" t="s">
        <v>97</v>
      </c>
      <c r="BG463" t="s">
        <v>97</v>
      </c>
      <c r="BH463" t="s">
        <v>97</v>
      </c>
      <c r="BI463">
        <v>669257</v>
      </c>
      <c r="BJ463">
        <v>669257</v>
      </c>
      <c r="BK463" t="s">
        <v>97</v>
      </c>
      <c r="BL463" t="s">
        <v>97</v>
      </c>
      <c r="BM463">
        <v>-5.0026849340000004</v>
      </c>
      <c r="BN463">
        <v>-129.70554820000001</v>
      </c>
      <c r="BO463">
        <v>-3.6564479460000001</v>
      </c>
      <c r="BP463">
        <v>1.6314774460000001</v>
      </c>
      <c r="BQ463">
        <v>28.465875050000001</v>
      </c>
      <c r="BR463">
        <v>-24.47621998</v>
      </c>
      <c r="BS463">
        <v>3.11</v>
      </c>
      <c r="BT463">
        <v>1.52</v>
      </c>
      <c r="BU463" t="s">
        <v>97</v>
      </c>
      <c r="BV463" t="s">
        <v>97</v>
      </c>
      <c r="BW463" t="s">
        <v>97</v>
      </c>
      <c r="BX463">
        <v>89.4</v>
      </c>
      <c r="BY463">
        <v>2378</v>
      </c>
      <c r="BZ463">
        <v>6.6</v>
      </c>
      <c r="CA463">
        <v>813022</v>
      </c>
      <c r="CB463">
        <v>669257</v>
      </c>
      <c r="CC463">
        <v>669257</v>
      </c>
      <c r="CD463">
        <v>518692</v>
      </c>
      <c r="CE463">
        <v>669242</v>
      </c>
      <c r="CF463">
        <v>571970</v>
      </c>
      <c r="CG463">
        <v>605141</v>
      </c>
      <c r="CH463">
        <v>669743</v>
      </c>
      <c r="CI463">
        <v>571771</v>
      </c>
      <c r="CJ463">
        <v>606192</v>
      </c>
      <c r="CK463">
        <v>53.93</v>
      </c>
      <c r="CL463" t="s">
        <v>97</v>
      </c>
      <c r="CM463" t="s">
        <v>97</v>
      </c>
      <c r="CN463" t="s">
        <v>97</v>
      </c>
      <c r="CO463" t="s">
        <v>97</v>
      </c>
      <c r="CP463" t="s">
        <v>97</v>
      </c>
      <c r="CQ463" t="s">
        <v>97</v>
      </c>
      <c r="CR463" t="s">
        <v>97</v>
      </c>
      <c r="CS463">
        <v>1</v>
      </c>
      <c r="CT463">
        <v>3</v>
      </c>
      <c r="CU463">
        <v>3</v>
      </c>
      <c r="CV463">
        <v>1</v>
      </c>
      <c r="CW463">
        <v>3</v>
      </c>
      <c r="CX463">
        <v>1</v>
      </c>
      <c r="CY463">
        <v>3</v>
      </c>
      <c r="CZ463">
        <v>1</v>
      </c>
      <c r="DA463" t="s">
        <v>107</v>
      </c>
      <c r="DB463" t="s">
        <v>107</v>
      </c>
      <c r="DC463">
        <v>179</v>
      </c>
      <c r="DD463">
        <v>0</v>
      </c>
      <c r="DE463">
        <v>-6.0999999999999999E-2</v>
      </c>
      <c r="DF463">
        <v>77.7</v>
      </c>
      <c r="DG463">
        <v>7.1</v>
      </c>
    </row>
    <row r="464" spans="1:111" x14ac:dyDescent="0.2">
      <c r="A464">
        <v>2025</v>
      </c>
      <c r="B464" s="1">
        <v>45959</v>
      </c>
      <c r="C464" t="s">
        <v>95</v>
      </c>
      <c r="D464">
        <v>605483</v>
      </c>
      <c r="E464">
        <v>676914</v>
      </c>
      <c r="F464">
        <v>1</v>
      </c>
      <c r="G464">
        <v>2</v>
      </c>
      <c r="H464">
        <v>5</v>
      </c>
      <c r="I464" t="s">
        <v>96</v>
      </c>
      <c r="J464">
        <v>35</v>
      </c>
      <c r="K464">
        <v>4</v>
      </c>
      <c r="L464" t="s">
        <v>97</v>
      </c>
      <c r="M464" t="s">
        <v>111</v>
      </c>
      <c r="N464" t="s">
        <v>112</v>
      </c>
      <c r="O464">
        <f t="shared" si="112"/>
        <v>0</v>
      </c>
      <c r="P464">
        <f t="shared" si="113"/>
        <v>0</v>
      </c>
      <c r="Q464">
        <f t="shared" si="114"/>
        <v>0</v>
      </c>
      <c r="R464">
        <f t="shared" si="115"/>
        <v>0</v>
      </c>
      <c r="S464">
        <f t="shared" si="116"/>
        <v>1</v>
      </c>
      <c r="T464">
        <f t="shared" si="117"/>
        <v>0</v>
      </c>
      <c r="U464">
        <f t="shared" si="118"/>
        <v>0</v>
      </c>
      <c r="V464">
        <f t="shared" si="119"/>
        <v>0</v>
      </c>
      <c r="W464">
        <f t="shared" si="120"/>
        <v>0</v>
      </c>
      <c r="X464">
        <f t="shared" si="121"/>
        <v>0</v>
      </c>
      <c r="Y464">
        <f t="shared" si="122"/>
        <v>0</v>
      </c>
      <c r="Z464">
        <f t="shared" si="123"/>
        <v>0</v>
      </c>
      <c r="AA464">
        <f t="shared" si="124"/>
        <v>0</v>
      </c>
      <c r="AB464">
        <f t="shared" si="125"/>
        <v>0</v>
      </c>
      <c r="AC464">
        <f t="shared" si="126"/>
        <v>0</v>
      </c>
      <c r="AD464">
        <f t="shared" si="127"/>
        <v>0</v>
      </c>
      <c r="AE464">
        <v>82.3</v>
      </c>
      <c r="AF464">
        <v>2.0299999999999998</v>
      </c>
      <c r="AG464">
        <v>6.48</v>
      </c>
      <c r="AH464" t="s">
        <v>100</v>
      </c>
      <c r="AI464" t="s">
        <v>97</v>
      </c>
      <c r="AJ464" t="s">
        <v>97</v>
      </c>
      <c r="AK464" t="s">
        <v>97</v>
      </c>
      <c r="AL464" t="s">
        <v>97</v>
      </c>
      <c r="AM464">
        <v>14</v>
      </c>
      <c r="AN464" t="s">
        <v>101</v>
      </c>
      <c r="AO464" t="s">
        <v>213</v>
      </c>
      <c r="AP464" t="s">
        <v>122</v>
      </c>
      <c r="AQ464" t="s">
        <v>103</v>
      </c>
      <c r="AR464" t="s">
        <v>104</v>
      </c>
      <c r="AS464" t="s">
        <v>214</v>
      </c>
      <c r="AT464" t="s">
        <v>106</v>
      </c>
      <c r="AU464" t="s">
        <v>97</v>
      </c>
      <c r="AV464" t="s">
        <v>97</v>
      </c>
      <c r="AW464">
        <v>-0.82</v>
      </c>
      <c r="AX464">
        <v>-0.67</v>
      </c>
      <c r="AY464">
        <v>0.56999999999999995</v>
      </c>
      <c r="AZ464">
        <v>1.01</v>
      </c>
      <c r="BA464" t="s">
        <v>97</v>
      </c>
      <c r="BB464" t="s">
        <v>97</v>
      </c>
      <c r="BC464" t="s">
        <v>97</v>
      </c>
      <c r="BD464">
        <v>0</v>
      </c>
      <c r="BE464" t="s">
        <v>97</v>
      </c>
      <c r="BF464" t="s">
        <v>97</v>
      </c>
      <c r="BG464" t="s">
        <v>97</v>
      </c>
      <c r="BH464" t="s">
        <v>97</v>
      </c>
      <c r="BI464">
        <v>669257</v>
      </c>
      <c r="BJ464">
        <v>669257</v>
      </c>
      <c r="BK464" t="s">
        <v>97</v>
      </c>
      <c r="BL464" t="s">
        <v>97</v>
      </c>
      <c r="BM464">
        <v>-1.74710191</v>
      </c>
      <c r="BN464">
        <v>-119.8486128</v>
      </c>
      <c r="BO464">
        <v>-4.5722377749999996</v>
      </c>
      <c r="BP464">
        <v>-7.489614982</v>
      </c>
      <c r="BQ464">
        <v>24.73970899</v>
      </c>
      <c r="BR464">
        <v>-37.913070349999998</v>
      </c>
      <c r="BS464">
        <v>3.14</v>
      </c>
      <c r="BT464">
        <v>1.55</v>
      </c>
      <c r="BU464" t="s">
        <v>97</v>
      </c>
      <c r="BV464" t="s">
        <v>97</v>
      </c>
      <c r="BW464" t="s">
        <v>97</v>
      </c>
      <c r="BX464">
        <v>82.8</v>
      </c>
      <c r="BY464">
        <v>2620</v>
      </c>
      <c r="BZ464">
        <v>6.7</v>
      </c>
      <c r="CA464">
        <v>813022</v>
      </c>
      <c r="CB464">
        <v>669257</v>
      </c>
      <c r="CC464">
        <v>669257</v>
      </c>
      <c r="CD464">
        <v>518692</v>
      </c>
      <c r="CE464">
        <v>669242</v>
      </c>
      <c r="CF464">
        <v>571970</v>
      </c>
      <c r="CG464">
        <v>605141</v>
      </c>
      <c r="CH464">
        <v>669743</v>
      </c>
      <c r="CI464">
        <v>571771</v>
      </c>
      <c r="CJ464">
        <v>606192</v>
      </c>
      <c r="CK464">
        <v>53.8</v>
      </c>
      <c r="CL464" t="s">
        <v>97</v>
      </c>
      <c r="CM464" t="s">
        <v>97</v>
      </c>
      <c r="CN464" t="s">
        <v>97</v>
      </c>
      <c r="CO464" t="s">
        <v>97</v>
      </c>
      <c r="CP464" t="s">
        <v>97</v>
      </c>
      <c r="CQ464" t="s">
        <v>97</v>
      </c>
      <c r="CR464" t="s">
        <v>97</v>
      </c>
      <c r="CS464">
        <v>1</v>
      </c>
      <c r="CT464">
        <v>3</v>
      </c>
      <c r="CU464">
        <v>3</v>
      </c>
      <c r="CV464">
        <v>1</v>
      </c>
      <c r="CW464">
        <v>3</v>
      </c>
      <c r="CX464">
        <v>1</v>
      </c>
      <c r="CY464">
        <v>3</v>
      </c>
      <c r="CZ464">
        <v>1</v>
      </c>
      <c r="DA464" t="s">
        <v>107</v>
      </c>
      <c r="DB464" t="s">
        <v>107</v>
      </c>
      <c r="DC464">
        <v>331</v>
      </c>
      <c r="DD464">
        <v>0</v>
      </c>
      <c r="DE464">
        <v>4.2999999999999997E-2</v>
      </c>
      <c r="DF464" t="s">
        <v>97</v>
      </c>
      <c r="DG464" t="s">
        <v>97</v>
      </c>
    </row>
    <row r="465" spans="1:111" x14ac:dyDescent="0.2">
      <c r="A465">
        <v>2025</v>
      </c>
      <c r="B465" s="1">
        <v>45959</v>
      </c>
      <c r="C465" t="s">
        <v>95</v>
      </c>
      <c r="D465">
        <v>605483</v>
      </c>
      <c r="E465">
        <v>676914</v>
      </c>
      <c r="F465">
        <v>2</v>
      </c>
      <c r="G465">
        <v>2</v>
      </c>
      <c r="H465">
        <v>5</v>
      </c>
      <c r="I465" t="s">
        <v>96</v>
      </c>
      <c r="J465">
        <v>35</v>
      </c>
      <c r="K465">
        <v>5</v>
      </c>
      <c r="L465" t="s">
        <v>97</v>
      </c>
      <c r="M465" t="s">
        <v>111</v>
      </c>
      <c r="N465" t="s">
        <v>112</v>
      </c>
      <c r="O465">
        <f t="shared" si="112"/>
        <v>0</v>
      </c>
      <c r="P465">
        <f t="shared" si="113"/>
        <v>0</v>
      </c>
      <c r="Q465">
        <f t="shared" si="114"/>
        <v>0</v>
      </c>
      <c r="R465">
        <f t="shared" si="115"/>
        <v>0</v>
      </c>
      <c r="S465">
        <f t="shared" si="116"/>
        <v>0</v>
      </c>
      <c r="T465">
        <f t="shared" si="117"/>
        <v>0</v>
      </c>
      <c r="U465">
        <f t="shared" si="118"/>
        <v>0</v>
      </c>
      <c r="V465">
        <f t="shared" si="119"/>
        <v>1</v>
      </c>
      <c r="W465">
        <f t="shared" si="120"/>
        <v>0</v>
      </c>
      <c r="X465">
        <f t="shared" si="121"/>
        <v>0</v>
      </c>
      <c r="Y465">
        <f t="shared" si="122"/>
        <v>0</v>
      </c>
      <c r="Z465">
        <f t="shared" si="123"/>
        <v>0</v>
      </c>
      <c r="AA465">
        <f t="shared" si="124"/>
        <v>0</v>
      </c>
      <c r="AB465">
        <f t="shared" si="125"/>
        <v>0</v>
      </c>
      <c r="AC465">
        <f t="shared" si="126"/>
        <v>0</v>
      </c>
      <c r="AD465">
        <f t="shared" si="127"/>
        <v>0</v>
      </c>
      <c r="AE465">
        <v>80.5</v>
      </c>
      <c r="AF465">
        <v>1.96</v>
      </c>
      <c r="AG465">
        <v>6.49</v>
      </c>
      <c r="AH465" t="s">
        <v>100</v>
      </c>
      <c r="AI465" t="s">
        <v>97</v>
      </c>
      <c r="AJ465" t="s">
        <v>97</v>
      </c>
      <c r="AK465" t="s">
        <v>97</v>
      </c>
      <c r="AL465" t="s">
        <v>97</v>
      </c>
      <c r="AM465">
        <v>14</v>
      </c>
      <c r="AN465" t="s">
        <v>101</v>
      </c>
      <c r="AO465" t="s">
        <v>213</v>
      </c>
      <c r="AP465" t="s">
        <v>122</v>
      </c>
      <c r="AQ465" t="s">
        <v>103</v>
      </c>
      <c r="AR465" t="s">
        <v>104</v>
      </c>
      <c r="AS465" t="s">
        <v>214</v>
      </c>
      <c r="AT465" t="s">
        <v>106</v>
      </c>
      <c r="AU465" t="s">
        <v>97</v>
      </c>
      <c r="AV465" t="s">
        <v>97</v>
      </c>
      <c r="AW465">
        <v>-1.04</v>
      </c>
      <c r="AX465">
        <v>-0.91</v>
      </c>
      <c r="AY465">
        <v>0.14000000000000001</v>
      </c>
      <c r="AZ465">
        <v>-0.5</v>
      </c>
      <c r="BA465" t="s">
        <v>97</v>
      </c>
      <c r="BB465" t="s">
        <v>97</v>
      </c>
      <c r="BC465" t="s">
        <v>97</v>
      </c>
      <c r="BD465">
        <v>0</v>
      </c>
      <c r="BE465" t="s">
        <v>97</v>
      </c>
      <c r="BF465" t="s">
        <v>97</v>
      </c>
      <c r="BG465" t="s">
        <v>97</v>
      </c>
      <c r="BH465" t="s">
        <v>97</v>
      </c>
      <c r="BI465">
        <v>669257</v>
      </c>
      <c r="BJ465">
        <v>669257</v>
      </c>
      <c r="BK465" t="s">
        <v>97</v>
      </c>
      <c r="BL465" t="s">
        <v>97</v>
      </c>
      <c r="BM465">
        <v>-2.0805896960000001</v>
      </c>
      <c r="BN465">
        <v>-117.0182671</v>
      </c>
      <c r="BO465">
        <v>-7.05289799</v>
      </c>
      <c r="BP465">
        <v>-9.0427863730000002</v>
      </c>
      <c r="BQ465">
        <v>24.350701969999999</v>
      </c>
      <c r="BR465">
        <v>-39.273590579999997</v>
      </c>
      <c r="BS465">
        <v>3.03</v>
      </c>
      <c r="BT465">
        <v>1.49</v>
      </c>
      <c r="BU465" t="s">
        <v>97</v>
      </c>
      <c r="BV465" t="s">
        <v>97</v>
      </c>
      <c r="BW465" t="s">
        <v>97</v>
      </c>
      <c r="BX465">
        <v>80.7</v>
      </c>
      <c r="BY465">
        <v>2455</v>
      </c>
      <c r="BZ465">
        <v>6.7</v>
      </c>
      <c r="CA465">
        <v>813022</v>
      </c>
      <c r="CB465">
        <v>669257</v>
      </c>
      <c r="CC465">
        <v>669257</v>
      </c>
      <c r="CD465">
        <v>518692</v>
      </c>
      <c r="CE465">
        <v>669242</v>
      </c>
      <c r="CF465">
        <v>571970</v>
      </c>
      <c r="CG465">
        <v>605141</v>
      </c>
      <c r="CH465">
        <v>669743</v>
      </c>
      <c r="CI465">
        <v>571771</v>
      </c>
      <c r="CJ465">
        <v>606192</v>
      </c>
      <c r="CK465">
        <v>53.75</v>
      </c>
      <c r="CL465" t="s">
        <v>97</v>
      </c>
      <c r="CM465" t="s">
        <v>97</v>
      </c>
      <c r="CN465" t="s">
        <v>97</v>
      </c>
      <c r="CO465" t="s">
        <v>97</v>
      </c>
      <c r="CP465" t="s">
        <v>97</v>
      </c>
      <c r="CQ465" t="s">
        <v>97</v>
      </c>
      <c r="CR465" t="s">
        <v>97</v>
      </c>
      <c r="CS465">
        <v>1</v>
      </c>
      <c r="CT465">
        <v>3</v>
      </c>
      <c r="CU465">
        <v>3</v>
      </c>
      <c r="CV465">
        <v>1</v>
      </c>
      <c r="CW465">
        <v>3</v>
      </c>
      <c r="CX465">
        <v>1</v>
      </c>
      <c r="CY465">
        <v>3</v>
      </c>
      <c r="CZ465">
        <v>1</v>
      </c>
      <c r="DA465" t="s">
        <v>107</v>
      </c>
      <c r="DB465" t="s">
        <v>107</v>
      </c>
      <c r="DC465">
        <v>331</v>
      </c>
      <c r="DD465">
        <v>0</v>
      </c>
      <c r="DE465">
        <v>0.112</v>
      </c>
      <c r="DF465" t="s">
        <v>97</v>
      </c>
      <c r="DG465" t="s">
        <v>97</v>
      </c>
    </row>
    <row r="466" spans="1:111" x14ac:dyDescent="0.2">
      <c r="A466">
        <v>2025</v>
      </c>
      <c r="B466" s="1">
        <v>45959</v>
      </c>
      <c r="C466" t="s">
        <v>95</v>
      </c>
      <c r="D466">
        <v>605483</v>
      </c>
      <c r="E466">
        <v>676914</v>
      </c>
      <c r="F466">
        <v>3</v>
      </c>
      <c r="G466">
        <v>2</v>
      </c>
      <c r="H466">
        <v>5</v>
      </c>
      <c r="I466" t="s">
        <v>96</v>
      </c>
      <c r="J466">
        <v>35</v>
      </c>
      <c r="K466">
        <v>6</v>
      </c>
      <c r="L466" t="s">
        <v>142</v>
      </c>
      <c r="M466" t="s">
        <v>138</v>
      </c>
      <c r="N466" t="s">
        <v>139</v>
      </c>
      <c r="O466">
        <f t="shared" si="112"/>
        <v>0</v>
      </c>
      <c r="P466">
        <f t="shared" si="113"/>
        <v>0</v>
      </c>
      <c r="Q466">
        <f t="shared" si="114"/>
        <v>0</v>
      </c>
      <c r="R466">
        <f t="shared" si="115"/>
        <v>0</v>
      </c>
      <c r="S466">
        <f t="shared" si="116"/>
        <v>0</v>
      </c>
      <c r="T466">
        <f t="shared" si="117"/>
        <v>0</v>
      </c>
      <c r="U466">
        <f t="shared" si="118"/>
        <v>0</v>
      </c>
      <c r="V466">
        <f t="shared" si="119"/>
        <v>0</v>
      </c>
      <c r="W466">
        <f t="shared" si="120"/>
        <v>0</v>
      </c>
      <c r="X466">
        <f t="shared" si="121"/>
        <v>0</v>
      </c>
      <c r="Y466">
        <f t="shared" si="122"/>
        <v>0</v>
      </c>
      <c r="Z466">
        <f t="shared" si="123"/>
        <v>0</v>
      </c>
      <c r="AA466">
        <f t="shared" si="124"/>
        <v>0</v>
      </c>
      <c r="AB466">
        <f t="shared" si="125"/>
        <v>0</v>
      </c>
      <c r="AC466">
        <f t="shared" si="126"/>
        <v>0</v>
      </c>
      <c r="AD466">
        <f t="shared" si="127"/>
        <v>1</v>
      </c>
      <c r="AE466">
        <v>89.7</v>
      </c>
      <c r="AF466">
        <v>2.0099999999999998</v>
      </c>
      <c r="AG466">
        <v>6.5</v>
      </c>
      <c r="AH466" t="s">
        <v>100</v>
      </c>
      <c r="AI466" t="s">
        <v>97</v>
      </c>
      <c r="AJ466" t="s">
        <v>97</v>
      </c>
      <c r="AK466" t="s">
        <v>97</v>
      </c>
      <c r="AL466" t="s">
        <v>97</v>
      </c>
      <c r="AM466">
        <v>13</v>
      </c>
      <c r="AN466" t="s">
        <v>263</v>
      </c>
      <c r="AO466" t="s">
        <v>213</v>
      </c>
      <c r="AP466" t="s">
        <v>122</v>
      </c>
      <c r="AQ466" t="s">
        <v>103</v>
      </c>
      <c r="AR466" t="s">
        <v>104</v>
      </c>
      <c r="AS466" t="s">
        <v>214</v>
      </c>
      <c r="AT466" t="s">
        <v>106</v>
      </c>
      <c r="AU466" t="s">
        <v>97</v>
      </c>
      <c r="AV466" t="s">
        <v>97</v>
      </c>
      <c r="AW466">
        <v>-0.24</v>
      </c>
      <c r="AX466">
        <v>0.56999999999999995</v>
      </c>
      <c r="AY466">
        <v>-0.69</v>
      </c>
      <c r="AZ466">
        <v>1.08</v>
      </c>
      <c r="BA466" t="s">
        <v>97</v>
      </c>
      <c r="BB466" t="s">
        <v>97</v>
      </c>
      <c r="BC466" t="s">
        <v>97</v>
      </c>
      <c r="BD466">
        <v>0</v>
      </c>
      <c r="BE466" t="s">
        <v>97</v>
      </c>
      <c r="BF466" t="s">
        <v>97</v>
      </c>
      <c r="BG466" t="s">
        <v>97</v>
      </c>
      <c r="BH466" t="s">
        <v>97</v>
      </c>
      <c r="BI466">
        <v>669257</v>
      </c>
      <c r="BJ466">
        <v>669257</v>
      </c>
      <c r="BK466" t="s">
        <v>97</v>
      </c>
      <c r="BL466" t="s">
        <v>97</v>
      </c>
      <c r="BM466">
        <v>-6.1983202080000002</v>
      </c>
      <c r="BN466">
        <v>-130.2505194</v>
      </c>
      <c r="BO466">
        <v>-8.6422952879999997</v>
      </c>
      <c r="BP466">
        <v>-1.47287079</v>
      </c>
      <c r="BQ466">
        <v>27.124775069999998</v>
      </c>
      <c r="BR466">
        <v>-24.10522667</v>
      </c>
      <c r="BS466">
        <v>3.08</v>
      </c>
      <c r="BT466">
        <v>1.49</v>
      </c>
      <c r="BU466" t="s">
        <v>97</v>
      </c>
      <c r="BV466" t="s">
        <v>97</v>
      </c>
      <c r="BW466" t="s">
        <v>97</v>
      </c>
      <c r="BX466">
        <v>90.3</v>
      </c>
      <c r="BY466">
        <v>2341</v>
      </c>
      <c r="BZ466">
        <v>6.7</v>
      </c>
      <c r="CA466">
        <v>813022</v>
      </c>
      <c r="CB466">
        <v>669257</v>
      </c>
      <c r="CC466">
        <v>669257</v>
      </c>
      <c r="CD466">
        <v>518692</v>
      </c>
      <c r="CE466">
        <v>669242</v>
      </c>
      <c r="CF466">
        <v>571970</v>
      </c>
      <c r="CG466">
        <v>605141</v>
      </c>
      <c r="CH466">
        <v>669743</v>
      </c>
      <c r="CI466">
        <v>571771</v>
      </c>
      <c r="CJ466">
        <v>606192</v>
      </c>
      <c r="CK466">
        <v>53.76</v>
      </c>
      <c r="CL466" t="s">
        <v>97</v>
      </c>
      <c r="CM466">
        <v>0.69149700000000003</v>
      </c>
      <c r="CN466">
        <v>0.7</v>
      </c>
      <c r="CO466">
        <v>1</v>
      </c>
      <c r="CP466">
        <v>0</v>
      </c>
      <c r="CQ466">
        <v>0</v>
      </c>
      <c r="CR466" t="s">
        <v>97</v>
      </c>
      <c r="CS466">
        <v>1</v>
      </c>
      <c r="CT466">
        <v>3</v>
      </c>
      <c r="CU466">
        <v>3</v>
      </c>
      <c r="CV466">
        <v>1</v>
      </c>
      <c r="CW466">
        <v>3</v>
      </c>
      <c r="CX466">
        <v>1</v>
      </c>
      <c r="CY466">
        <v>3</v>
      </c>
      <c r="CZ466">
        <v>1</v>
      </c>
      <c r="DA466" t="s">
        <v>107</v>
      </c>
      <c r="DB466" t="s">
        <v>107</v>
      </c>
      <c r="DC466">
        <v>163</v>
      </c>
      <c r="DD466">
        <v>-2.5999999999999999E-2</v>
      </c>
      <c r="DE466">
        <v>0.35599999999999998</v>
      </c>
      <c r="DF466" t="s">
        <v>97</v>
      </c>
      <c r="DG466" t="s">
        <v>97</v>
      </c>
    </row>
    <row r="467" spans="1:111" x14ac:dyDescent="0.2">
      <c r="A467">
        <v>2025</v>
      </c>
      <c r="B467" s="1">
        <v>45959</v>
      </c>
      <c r="C467" t="s">
        <v>95</v>
      </c>
      <c r="D467">
        <v>605483</v>
      </c>
      <c r="E467">
        <v>665489</v>
      </c>
      <c r="F467">
        <v>0</v>
      </c>
      <c r="G467">
        <v>0</v>
      </c>
      <c r="H467">
        <v>5</v>
      </c>
      <c r="I467" t="s">
        <v>96</v>
      </c>
      <c r="J467">
        <v>36</v>
      </c>
      <c r="K467">
        <v>1</v>
      </c>
      <c r="L467" t="s">
        <v>97</v>
      </c>
      <c r="M467" t="s">
        <v>132</v>
      </c>
      <c r="N467" t="s">
        <v>133</v>
      </c>
      <c r="O467">
        <f t="shared" si="112"/>
        <v>0</v>
      </c>
      <c r="P467">
        <f t="shared" si="113"/>
        <v>0</v>
      </c>
      <c r="Q467">
        <f t="shared" si="114"/>
        <v>0</v>
      </c>
      <c r="R467">
        <f t="shared" si="115"/>
        <v>0</v>
      </c>
      <c r="S467">
        <f t="shared" si="116"/>
        <v>0</v>
      </c>
      <c r="T467">
        <f t="shared" si="117"/>
        <v>0</v>
      </c>
      <c r="U467">
        <f t="shared" si="118"/>
        <v>0</v>
      </c>
      <c r="V467">
        <f t="shared" si="119"/>
        <v>0</v>
      </c>
      <c r="W467">
        <f t="shared" si="120"/>
        <v>0</v>
      </c>
      <c r="X467">
        <f t="shared" si="121"/>
        <v>0</v>
      </c>
      <c r="Y467">
        <f t="shared" si="122"/>
        <v>0</v>
      </c>
      <c r="Z467">
        <f t="shared" si="123"/>
        <v>1</v>
      </c>
      <c r="AA467">
        <f t="shared" si="124"/>
        <v>0</v>
      </c>
      <c r="AB467">
        <f t="shared" si="125"/>
        <v>0</v>
      </c>
      <c r="AC467">
        <f t="shared" si="126"/>
        <v>0</v>
      </c>
      <c r="AD467">
        <f t="shared" si="127"/>
        <v>0</v>
      </c>
      <c r="AE467">
        <v>85.9</v>
      </c>
      <c r="AF467">
        <v>2.1800000000000002</v>
      </c>
      <c r="AG467">
        <v>6.37</v>
      </c>
      <c r="AH467" t="s">
        <v>108</v>
      </c>
      <c r="AI467" t="s">
        <v>97</v>
      </c>
      <c r="AJ467" t="s">
        <v>97</v>
      </c>
      <c r="AK467" t="s">
        <v>97</v>
      </c>
      <c r="AL467" t="s">
        <v>97</v>
      </c>
      <c r="AM467">
        <v>6</v>
      </c>
      <c r="AN467" t="s">
        <v>109</v>
      </c>
      <c r="AO467" t="s">
        <v>213</v>
      </c>
      <c r="AP467" t="s">
        <v>122</v>
      </c>
      <c r="AQ467" t="s">
        <v>103</v>
      </c>
      <c r="AR467" t="s">
        <v>104</v>
      </c>
      <c r="AS467" t="s">
        <v>214</v>
      </c>
      <c r="AT467" t="s">
        <v>110</v>
      </c>
      <c r="AU467" t="s">
        <v>97</v>
      </c>
      <c r="AV467" t="s">
        <v>97</v>
      </c>
      <c r="AW467">
        <v>1.0900000000000001</v>
      </c>
      <c r="AX467">
        <v>0.78</v>
      </c>
      <c r="AY467">
        <v>0.76</v>
      </c>
      <c r="AZ467">
        <v>2.35</v>
      </c>
      <c r="BA467" t="s">
        <v>97</v>
      </c>
      <c r="BB467" t="s">
        <v>97</v>
      </c>
      <c r="BC467">
        <v>676914</v>
      </c>
      <c r="BD467">
        <v>0</v>
      </c>
      <c r="BE467" t="s">
        <v>97</v>
      </c>
      <c r="BF467" t="s">
        <v>97</v>
      </c>
      <c r="BG467" t="s">
        <v>97</v>
      </c>
      <c r="BH467" t="s">
        <v>97</v>
      </c>
      <c r="BI467">
        <v>669257</v>
      </c>
      <c r="BJ467">
        <v>669257</v>
      </c>
      <c r="BK467" t="s">
        <v>97</v>
      </c>
      <c r="BL467" t="s">
        <v>97</v>
      </c>
      <c r="BM467">
        <v>-5.6266683479999999</v>
      </c>
      <c r="BN467">
        <v>-124.98815639999999</v>
      </c>
      <c r="BO467">
        <v>-4.8588190109999996</v>
      </c>
      <c r="BP467">
        <v>12.60029986</v>
      </c>
      <c r="BQ467">
        <v>25.902950109999999</v>
      </c>
      <c r="BR467">
        <v>-23.189688969999999</v>
      </c>
      <c r="BS467">
        <v>3.74</v>
      </c>
      <c r="BT467">
        <v>1.6</v>
      </c>
      <c r="BU467" t="s">
        <v>97</v>
      </c>
      <c r="BV467" t="s">
        <v>97</v>
      </c>
      <c r="BW467" t="s">
        <v>97</v>
      </c>
      <c r="BX467">
        <v>86.3</v>
      </c>
      <c r="BY467">
        <v>1640</v>
      </c>
      <c r="BZ467">
        <v>6.6</v>
      </c>
      <c r="CA467">
        <v>813022</v>
      </c>
      <c r="CB467">
        <v>669257</v>
      </c>
      <c r="CC467">
        <v>669257</v>
      </c>
      <c r="CD467">
        <v>518692</v>
      </c>
      <c r="CE467">
        <v>669242</v>
      </c>
      <c r="CF467">
        <v>571970</v>
      </c>
      <c r="CG467">
        <v>605141</v>
      </c>
      <c r="CH467">
        <v>669743</v>
      </c>
      <c r="CI467">
        <v>571771</v>
      </c>
      <c r="CJ467">
        <v>606192</v>
      </c>
      <c r="CK467">
        <v>53.88</v>
      </c>
      <c r="CL467" t="s">
        <v>97</v>
      </c>
      <c r="CM467" t="s">
        <v>97</v>
      </c>
      <c r="CN467" t="s">
        <v>97</v>
      </c>
      <c r="CO467" t="s">
        <v>97</v>
      </c>
      <c r="CP467" t="s">
        <v>97</v>
      </c>
      <c r="CQ467" t="s">
        <v>97</v>
      </c>
      <c r="CR467" t="s">
        <v>97</v>
      </c>
      <c r="CS467">
        <v>1</v>
      </c>
      <c r="CT467">
        <v>3</v>
      </c>
      <c r="CU467">
        <v>3</v>
      </c>
      <c r="CV467">
        <v>1</v>
      </c>
      <c r="CW467">
        <v>3</v>
      </c>
      <c r="CX467">
        <v>1</v>
      </c>
      <c r="CY467">
        <v>3</v>
      </c>
      <c r="CZ467">
        <v>1</v>
      </c>
      <c r="DA467" t="s">
        <v>107</v>
      </c>
      <c r="DB467" t="s">
        <v>107</v>
      </c>
      <c r="DC467">
        <v>132</v>
      </c>
      <c r="DD467">
        <v>0</v>
      </c>
      <c r="DE467">
        <v>-4.2999999999999997E-2</v>
      </c>
      <c r="DF467" t="s">
        <v>97</v>
      </c>
      <c r="DG467" t="s">
        <v>97</v>
      </c>
    </row>
    <row r="468" spans="1:111" x14ac:dyDescent="0.2">
      <c r="A468">
        <v>2025</v>
      </c>
      <c r="B468" s="1">
        <v>45959</v>
      </c>
      <c r="C468" t="s">
        <v>95</v>
      </c>
      <c r="D468">
        <v>605483</v>
      </c>
      <c r="E468">
        <v>665489</v>
      </c>
      <c r="F468">
        <v>0</v>
      </c>
      <c r="G468">
        <v>1</v>
      </c>
      <c r="H468">
        <v>5</v>
      </c>
      <c r="I468" t="s">
        <v>96</v>
      </c>
      <c r="J468">
        <v>36</v>
      </c>
      <c r="K468">
        <v>2</v>
      </c>
      <c r="L468" t="s">
        <v>97</v>
      </c>
      <c r="M468" t="s">
        <v>138</v>
      </c>
      <c r="N468" t="s">
        <v>139</v>
      </c>
      <c r="O468">
        <f t="shared" si="112"/>
        <v>0</v>
      </c>
      <c r="P468">
        <f t="shared" si="113"/>
        <v>0</v>
      </c>
      <c r="Q468">
        <f t="shared" si="114"/>
        <v>0</v>
      </c>
      <c r="R468">
        <f t="shared" si="115"/>
        <v>0</v>
      </c>
      <c r="S468">
        <f t="shared" si="116"/>
        <v>0</v>
      </c>
      <c r="T468">
        <f t="shared" si="117"/>
        <v>0</v>
      </c>
      <c r="U468">
        <f t="shared" si="118"/>
        <v>0</v>
      </c>
      <c r="V468">
        <f t="shared" si="119"/>
        <v>0</v>
      </c>
      <c r="W468">
        <f t="shared" si="120"/>
        <v>0</v>
      </c>
      <c r="X468">
        <f t="shared" si="121"/>
        <v>0</v>
      </c>
      <c r="Y468">
        <f t="shared" si="122"/>
        <v>0</v>
      </c>
      <c r="Z468">
        <f t="shared" si="123"/>
        <v>0</v>
      </c>
      <c r="AA468">
        <f t="shared" si="124"/>
        <v>0</v>
      </c>
      <c r="AB468">
        <f t="shared" si="125"/>
        <v>1</v>
      </c>
      <c r="AC468">
        <f t="shared" si="126"/>
        <v>0</v>
      </c>
      <c r="AD468">
        <f t="shared" si="127"/>
        <v>0</v>
      </c>
      <c r="AE468">
        <v>90.2</v>
      </c>
      <c r="AF468">
        <v>2</v>
      </c>
      <c r="AG468">
        <v>6.46</v>
      </c>
      <c r="AH468" t="s">
        <v>129</v>
      </c>
      <c r="AI468" t="s">
        <v>97</v>
      </c>
      <c r="AJ468" t="s">
        <v>97</v>
      </c>
      <c r="AK468" t="s">
        <v>97</v>
      </c>
      <c r="AL468" t="s">
        <v>97</v>
      </c>
      <c r="AM468">
        <v>6</v>
      </c>
      <c r="AN468" t="s">
        <v>130</v>
      </c>
      <c r="AO468" t="s">
        <v>213</v>
      </c>
      <c r="AP468" t="s">
        <v>122</v>
      </c>
      <c r="AQ468" t="s">
        <v>103</v>
      </c>
      <c r="AR468" t="s">
        <v>104</v>
      </c>
      <c r="AS468" t="s">
        <v>214</v>
      </c>
      <c r="AT468" t="s">
        <v>110</v>
      </c>
      <c r="AU468" t="s">
        <v>97</v>
      </c>
      <c r="AV468" t="s">
        <v>97</v>
      </c>
      <c r="AW468">
        <v>0.04</v>
      </c>
      <c r="AX468">
        <v>0.61</v>
      </c>
      <c r="AY468">
        <v>0.51</v>
      </c>
      <c r="AZ468">
        <v>2.79</v>
      </c>
      <c r="BA468" t="s">
        <v>97</v>
      </c>
      <c r="BB468" t="s">
        <v>97</v>
      </c>
      <c r="BC468">
        <v>676914</v>
      </c>
      <c r="BD468">
        <v>0</v>
      </c>
      <c r="BE468" t="s">
        <v>97</v>
      </c>
      <c r="BF468" t="s">
        <v>97</v>
      </c>
      <c r="BG468" t="s">
        <v>97</v>
      </c>
      <c r="BH468" t="s">
        <v>97</v>
      </c>
      <c r="BI468">
        <v>669257</v>
      </c>
      <c r="BJ468">
        <v>669257</v>
      </c>
      <c r="BK468" t="s">
        <v>97</v>
      </c>
      <c r="BL468" t="s">
        <v>97</v>
      </c>
      <c r="BM468">
        <v>-3.8182729279999998</v>
      </c>
      <c r="BN468">
        <v>-131.3045803</v>
      </c>
      <c r="BO468">
        <v>-4.4439476119999997</v>
      </c>
      <c r="BP468">
        <v>1.320518297</v>
      </c>
      <c r="BQ468">
        <v>30.097863190000002</v>
      </c>
      <c r="BR468">
        <v>-24.375240869999999</v>
      </c>
      <c r="BS468">
        <v>3.66</v>
      </c>
      <c r="BT468">
        <v>1.6</v>
      </c>
      <c r="BU468">
        <v>184</v>
      </c>
      <c r="BV468">
        <v>70.900000000000006</v>
      </c>
      <c r="BW468">
        <v>32</v>
      </c>
      <c r="BX468">
        <v>90.4</v>
      </c>
      <c r="BY468">
        <v>2317</v>
      </c>
      <c r="BZ468">
        <v>6.6</v>
      </c>
      <c r="CA468">
        <v>813022</v>
      </c>
      <c r="CB468">
        <v>669257</v>
      </c>
      <c r="CC468">
        <v>669257</v>
      </c>
      <c r="CD468">
        <v>518692</v>
      </c>
      <c r="CE468">
        <v>669242</v>
      </c>
      <c r="CF468">
        <v>571970</v>
      </c>
      <c r="CG468">
        <v>605141</v>
      </c>
      <c r="CH468">
        <v>669743</v>
      </c>
      <c r="CI468">
        <v>571771</v>
      </c>
      <c r="CJ468">
        <v>606192</v>
      </c>
      <c r="CK468">
        <v>53.91</v>
      </c>
      <c r="CL468" t="s">
        <v>97</v>
      </c>
      <c r="CM468" t="s">
        <v>97</v>
      </c>
      <c r="CN468" t="s">
        <v>97</v>
      </c>
      <c r="CO468" t="s">
        <v>97</v>
      </c>
      <c r="CP468" t="s">
        <v>97</v>
      </c>
      <c r="CQ468" t="s">
        <v>97</v>
      </c>
      <c r="CR468" t="s">
        <v>97</v>
      </c>
      <c r="CS468">
        <v>1</v>
      </c>
      <c r="CT468">
        <v>3</v>
      </c>
      <c r="CU468">
        <v>3</v>
      </c>
      <c r="CV468">
        <v>1</v>
      </c>
      <c r="CW468">
        <v>3</v>
      </c>
      <c r="CX468">
        <v>1</v>
      </c>
      <c r="CY468">
        <v>3</v>
      </c>
      <c r="CZ468">
        <v>1</v>
      </c>
      <c r="DA468" t="s">
        <v>107</v>
      </c>
      <c r="DB468" t="s">
        <v>107</v>
      </c>
      <c r="DC468">
        <v>168</v>
      </c>
      <c r="DD468">
        <v>0</v>
      </c>
      <c r="DE468">
        <v>-5.2999999999999999E-2</v>
      </c>
      <c r="DF468">
        <v>72.900000000000006</v>
      </c>
      <c r="DG468">
        <v>6.4</v>
      </c>
    </row>
    <row r="469" spans="1:111" x14ac:dyDescent="0.2">
      <c r="A469">
        <v>2025</v>
      </c>
      <c r="B469" s="1">
        <v>45959</v>
      </c>
      <c r="C469" t="s">
        <v>95</v>
      </c>
      <c r="D469">
        <v>605483</v>
      </c>
      <c r="E469">
        <v>665489</v>
      </c>
      <c r="F469">
        <v>0</v>
      </c>
      <c r="G469">
        <v>2</v>
      </c>
      <c r="H469">
        <v>5</v>
      </c>
      <c r="I469" t="s">
        <v>96</v>
      </c>
      <c r="J469">
        <v>36</v>
      </c>
      <c r="K469">
        <v>3</v>
      </c>
      <c r="L469" t="s">
        <v>228</v>
      </c>
      <c r="M469" t="s">
        <v>98</v>
      </c>
      <c r="N469" t="s">
        <v>99</v>
      </c>
      <c r="O469">
        <f t="shared" si="112"/>
        <v>0</v>
      </c>
      <c r="P469">
        <f t="shared" si="113"/>
        <v>0</v>
      </c>
      <c r="Q469">
        <f t="shared" si="114"/>
        <v>1</v>
      </c>
      <c r="R469">
        <f t="shared" si="115"/>
        <v>0</v>
      </c>
      <c r="S469">
        <f t="shared" si="116"/>
        <v>0</v>
      </c>
      <c r="T469">
        <f t="shared" si="117"/>
        <v>0</v>
      </c>
      <c r="U469">
        <f t="shared" si="118"/>
        <v>0</v>
      </c>
      <c r="V469">
        <f t="shared" si="119"/>
        <v>0</v>
      </c>
      <c r="W469">
        <f t="shared" si="120"/>
        <v>0</v>
      </c>
      <c r="X469">
        <f t="shared" si="121"/>
        <v>0</v>
      </c>
      <c r="Y469">
        <f t="shared" si="122"/>
        <v>0</v>
      </c>
      <c r="Z469">
        <f t="shared" si="123"/>
        <v>0</v>
      </c>
      <c r="AA469">
        <f t="shared" si="124"/>
        <v>0</v>
      </c>
      <c r="AB469">
        <f t="shared" si="125"/>
        <v>0</v>
      </c>
      <c r="AC469">
        <f t="shared" si="126"/>
        <v>0</v>
      </c>
      <c r="AD469">
        <f t="shared" si="127"/>
        <v>0</v>
      </c>
      <c r="AE469">
        <v>95.9</v>
      </c>
      <c r="AF469">
        <v>1.71</v>
      </c>
      <c r="AG469">
        <v>6.48</v>
      </c>
      <c r="AH469" t="s">
        <v>120</v>
      </c>
      <c r="AI469" t="s">
        <v>97</v>
      </c>
      <c r="AJ469" t="s">
        <v>97</v>
      </c>
      <c r="AK469" t="s">
        <v>97</v>
      </c>
      <c r="AL469" t="s">
        <v>97</v>
      </c>
      <c r="AM469">
        <v>1</v>
      </c>
      <c r="AN469" t="s">
        <v>264</v>
      </c>
      <c r="AO469" t="s">
        <v>213</v>
      </c>
      <c r="AP469" t="s">
        <v>122</v>
      </c>
      <c r="AQ469" t="s">
        <v>103</v>
      </c>
      <c r="AR469" t="s">
        <v>104</v>
      </c>
      <c r="AS469" t="s">
        <v>214</v>
      </c>
      <c r="AT469" t="s">
        <v>123</v>
      </c>
      <c r="AU469">
        <v>1</v>
      </c>
      <c r="AV469" t="s">
        <v>127</v>
      </c>
      <c r="AW469">
        <v>0.18</v>
      </c>
      <c r="AX469">
        <v>1.44</v>
      </c>
      <c r="AY469">
        <v>-0.37</v>
      </c>
      <c r="AZ469">
        <v>3.32</v>
      </c>
      <c r="BA469" t="s">
        <v>97</v>
      </c>
      <c r="BB469" t="s">
        <v>97</v>
      </c>
      <c r="BC469">
        <v>676914</v>
      </c>
      <c r="BD469">
        <v>0</v>
      </c>
      <c r="BE469">
        <v>127.68</v>
      </c>
      <c r="BF469">
        <v>181.49</v>
      </c>
      <c r="BG469" t="s">
        <v>97</v>
      </c>
      <c r="BH469" t="s">
        <v>97</v>
      </c>
      <c r="BI469">
        <v>669257</v>
      </c>
      <c r="BJ469">
        <v>669257</v>
      </c>
      <c r="BK469" t="s">
        <v>97</v>
      </c>
      <c r="BL469" t="s">
        <v>97</v>
      </c>
      <c r="BM469">
        <v>-5.9524494240000001</v>
      </c>
      <c r="BN469">
        <v>-139.34972690000001</v>
      </c>
      <c r="BO469">
        <v>-5.9899228500000001</v>
      </c>
      <c r="BP469">
        <v>3.790204465</v>
      </c>
      <c r="BQ469">
        <v>33.514932969999997</v>
      </c>
      <c r="BR469">
        <v>-12.33297295</v>
      </c>
      <c r="BS469">
        <v>3.66</v>
      </c>
      <c r="BT469">
        <v>1.6</v>
      </c>
      <c r="BU469">
        <v>9</v>
      </c>
      <c r="BV469">
        <v>78.3</v>
      </c>
      <c r="BW469">
        <v>-18</v>
      </c>
      <c r="BX469">
        <v>96.3</v>
      </c>
      <c r="BY469">
        <v>2425</v>
      </c>
      <c r="BZ469">
        <v>6.8</v>
      </c>
      <c r="CA469">
        <v>813022</v>
      </c>
      <c r="CB469">
        <v>669257</v>
      </c>
      <c r="CC469">
        <v>669257</v>
      </c>
      <c r="CD469">
        <v>518692</v>
      </c>
      <c r="CE469">
        <v>669242</v>
      </c>
      <c r="CF469">
        <v>571970</v>
      </c>
      <c r="CG469">
        <v>605141</v>
      </c>
      <c r="CH469">
        <v>669743</v>
      </c>
      <c r="CI469">
        <v>571771</v>
      </c>
      <c r="CJ469">
        <v>606192</v>
      </c>
      <c r="CK469">
        <v>53.72</v>
      </c>
      <c r="CL469">
        <v>6.9000000000000006E-2</v>
      </c>
      <c r="CM469">
        <v>6.0999999999999999E-2</v>
      </c>
      <c r="CN469">
        <v>0</v>
      </c>
      <c r="CO469">
        <v>1</v>
      </c>
      <c r="CP469">
        <v>0</v>
      </c>
      <c r="CQ469">
        <v>0</v>
      </c>
      <c r="CR469">
        <v>2</v>
      </c>
      <c r="CS469">
        <v>1</v>
      </c>
      <c r="CT469">
        <v>3</v>
      </c>
      <c r="CU469">
        <v>3</v>
      </c>
      <c r="CV469">
        <v>1</v>
      </c>
      <c r="CW469">
        <v>3</v>
      </c>
      <c r="CX469">
        <v>1</v>
      </c>
      <c r="CY469">
        <v>3</v>
      </c>
      <c r="CZ469">
        <v>1</v>
      </c>
      <c r="DA469" t="s">
        <v>107</v>
      </c>
      <c r="DB469" t="s">
        <v>107</v>
      </c>
      <c r="DC469">
        <v>161</v>
      </c>
      <c r="DD469">
        <v>5.6000000000000001E-2</v>
      </c>
      <c r="DE469">
        <v>-0.24</v>
      </c>
      <c r="DF469">
        <v>67.3</v>
      </c>
      <c r="DG469">
        <v>5.9</v>
      </c>
    </row>
    <row r="470" spans="1:111" x14ac:dyDescent="0.2">
      <c r="A470">
        <v>2025</v>
      </c>
      <c r="B470" s="1">
        <v>45959</v>
      </c>
      <c r="C470" t="s">
        <v>95</v>
      </c>
      <c r="D470">
        <v>605483</v>
      </c>
      <c r="E470">
        <v>666182</v>
      </c>
      <c r="F470">
        <v>0</v>
      </c>
      <c r="G470">
        <v>0</v>
      </c>
      <c r="H470">
        <v>5</v>
      </c>
      <c r="I470" t="s">
        <v>96</v>
      </c>
      <c r="J470">
        <v>37</v>
      </c>
      <c r="K470">
        <v>1</v>
      </c>
      <c r="L470" t="s">
        <v>97</v>
      </c>
      <c r="M470" t="s">
        <v>132</v>
      </c>
      <c r="N470" t="s">
        <v>133</v>
      </c>
      <c r="O470">
        <f t="shared" si="112"/>
        <v>0</v>
      </c>
      <c r="P470">
        <f t="shared" si="113"/>
        <v>0</v>
      </c>
      <c r="Q470">
        <f t="shared" si="114"/>
        <v>0</v>
      </c>
      <c r="R470">
        <f t="shared" si="115"/>
        <v>0</v>
      </c>
      <c r="S470">
        <f t="shared" si="116"/>
        <v>0</v>
      </c>
      <c r="T470">
        <f t="shared" si="117"/>
        <v>0</v>
      </c>
      <c r="U470">
        <f t="shared" si="118"/>
        <v>0</v>
      </c>
      <c r="V470">
        <f t="shared" si="119"/>
        <v>0</v>
      </c>
      <c r="W470">
        <f t="shared" si="120"/>
        <v>1</v>
      </c>
      <c r="X470">
        <f t="shared" si="121"/>
        <v>0</v>
      </c>
      <c r="Y470">
        <f t="shared" si="122"/>
        <v>0</v>
      </c>
      <c r="Z470">
        <f t="shared" si="123"/>
        <v>0</v>
      </c>
      <c r="AA470">
        <f t="shared" si="124"/>
        <v>0</v>
      </c>
      <c r="AB470">
        <f t="shared" si="125"/>
        <v>0</v>
      </c>
      <c r="AC470">
        <f t="shared" si="126"/>
        <v>0</v>
      </c>
      <c r="AD470">
        <f t="shared" si="127"/>
        <v>0</v>
      </c>
      <c r="AE470">
        <v>85.4</v>
      </c>
      <c r="AF470">
        <v>2.25</v>
      </c>
      <c r="AG470">
        <v>6.3</v>
      </c>
      <c r="AH470" t="s">
        <v>100</v>
      </c>
      <c r="AI470" t="s">
        <v>97</v>
      </c>
      <c r="AJ470" t="s">
        <v>97</v>
      </c>
      <c r="AK470" t="s">
        <v>97</v>
      </c>
      <c r="AL470" t="s">
        <v>97</v>
      </c>
      <c r="AM470">
        <v>14</v>
      </c>
      <c r="AN470" t="s">
        <v>101</v>
      </c>
      <c r="AO470" t="s">
        <v>213</v>
      </c>
      <c r="AP470" t="s">
        <v>122</v>
      </c>
      <c r="AQ470" t="s">
        <v>103</v>
      </c>
      <c r="AR470" t="s">
        <v>104</v>
      </c>
      <c r="AS470" t="s">
        <v>214</v>
      </c>
      <c r="AT470" t="s">
        <v>106</v>
      </c>
      <c r="AU470" t="s">
        <v>97</v>
      </c>
      <c r="AV470" t="s">
        <v>97</v>
      </c>
      <c r="AW470">
        <v>1.21</v>
      </c>
      <c r="AX470">
        <v>0.51</v>
      </c>
      <c r="AY470">
        <v>0.65</v>
      </c>
      <c r="AZ470">
        <v>1.56</v>
      </c>
      <c r="BA470" t="s">
        <v>97</v>
      </c>
      <c r="BB470" t="s">
        <v>97</v>
      </c>
      <c r="BC470" t="s">
        <v>97</v>
      </c>
      <c r="BD470">
        <v>2</v>
      </c>
      <c r="BE470" t="s">
        <v>97</v>
      </c>
      <c r="BF470" t="s">
        <v>97</v>
      </c>
      <c r="BG470" t="s">
        <v>97</v>
      </c>
      <c r="BH470" t="s">
        <v>97</v>
      </c>
      <c r="BI470">
        <v>669257</v>
      </c>
      <c r="BJ470">
        <v>669257</v>
      </c>
      <c r="BK470" t="s">
        <v>97</v>
      </c>
      <c r="BL470" t="s">
        <v>97</v>
      </c>
      <c r="BM470">
        <v>-6.2774117519999999</v>
      </c>
      <c r="BN470">
        <v>-124.08198539999999</v>
      </c>
      <c r="BO470">
        <v>-5.936592901</v>
      </c>
      <c r="BP470">
        <v>13.75257657</v>
      </c>
      <c r="BQ470">
        <v>24.716453940000001</v>
      </c>
      <c r="BR470">
        <v>-25.924489080000001</v>
      </c>
      <c r="BS470">
        <v>3.88</v>
      </c>
      <c r="BT470">
        <v>1.89</v>
      </c>
      <c r="BU470" t="s">
        <v>97</v>
      </c>
      <c r="BV470" t="s">
        <v>97</v>
      </c>
      <c r="BW470" t="s">
        <v>97</v>
      </c>
      <c r="BX470">
        <v>86.3</v>
      </c>
      <c r="BY470">
        <v>1589</v>
      </c>
      <c r="BZ470">
        <v>6.9</v>
      </c>
      <c r="CA470">
        <v>813022</v>
      </c>
      <c r="CB470">
        <v>669257</v>
      </c>
      <c r="CC470">
        <v>669257</v>
      </c>
      <c r="CD470">
        <v>518692</v>
      </c>
      <c r="CE470">
        <v>669242</v>
      </c>
      <c r="CF470">
        <v>571970</v>
      </c>
      <c r="CG470">
        <v>605141</v>
      </c>
      <c r="CH470">
        <v>669743</v>
      </c>
      <c r="CI470">
        <v>571771</v>
      </c>
      <c r="CJ470">
        <v>606192</v>
      </c>
      <c r="CK470">
        <v>53.58</v>
      </c>
      <c r="CL470" t="s">
        <v>97</v>
      </c>
      <c r="CM470" t="s">
        <v>97</v>
      </c>
      <c r="CN470" t="s">
        <v>97</v>
      </c>
      <c r="CO470" t="s">
        <v>97</v>
      </c>
      <c r="CP470" t="s">
        <v>97</v>
      </c>
      <c r="CQ470" t="s">
        <v>97</v>
      </c>
      <c r="CR470" t="s">
        <v>97</v>
      </c>
      <c r="CS470">
        <v>1</v>
      </c>
      <c r="CT470">
        <v>3</v>
      </c>
      <c r="CU470">
        <v>3</v>
      </c>
      <c r="CV470">
        <v>1</v>
      </c>
      <c r="CW470">
        <v>3</v>
      </c>
      <c r="CX470">
        <v>1</v>
      </c>
      <c r="CY470">
        <v>3</v>
      </c>
      <c r="CZ470">
        <v>1</v>
      </c>
      <c r="DA470" t="s">
        <v>107</v>
      </c>
      <c r="DB470" t="s">
        <v>107</v>
      </c>
      <c r="DC470">
        <v>126</v>
      </c>
      <c r="DD470">
        <v>0</v>
      </c>
      <c r="DE470">
        <v>3.6999999999999998E-2</v>
      </c>
      <c r="DF470" t="s">
        <v>97</v>
      </c>
      <c r="DG470" t="s">
        <v>97</v>
      </c>
    </row>
    <row r="471" spans="1:111" x14ac:dyDescent="0.2">
      <c r="A471">
        <v>2025</v>
      </c>
      <c r="B471" s="1">
        <v>45959</v>
      </c>
      <c r="C471" t="s">
        <v>95</v>
      </c>
      <c r="D471">
        <v>605483</v>
      </c>
      <c r="E471">
        <v>666182</v>
      </c>
      <c r="F471">
        <v>1</v>
      </c>
      <c r="G471">
        <v>0</v>
      </c>
      <c r="H471">
        <v>5</v>
      </c>
      <c r="I471" t="s">
        <v>96</v>
      </c>
      <c r="J471">
        <v>37</v>
      </c>
      <c r="K471">
        <v>2</v>
      </c>
      <c r="L471" t="s">
        <v>97</v>
      </c>
      <c r="M471" t="s">
        <v>132</v>
      </c>
      <c r="N471" t="s">
        <v>133</v>
      </c>
      <c r="O471">
        <f t="shared" si="112"/>
        <v>0</v>
      </c>
      <c r="P471">
        <f t="shared" si="113"/>
        <v>0</v>
      </c>
      <c r="Q471">
        <f t="shared" si="114"/>
        <v>0</v>
      </c>
      <c r="R471">
        <f t="shared" si="115"/>
        <v>0</v>
      </c>
      <c r="S471">
        <f t="shared" si="116"/>
        <v>0</v>
      </c>
      <c r="T471">
        <f t="shared" si="117"/>
        <v>0</v>
      </c>
      <c r="U471">
        <f t="shared" si="118"/>
        <v>0</v>
      </c>
      <c r="V471">
        <f t="shared" si="119"/>
        <v>0</v>
      </c>
      <c r="W471">
        <f t="shared" si="120"/>
        <v>0</v>
      </c>
      <c r="X471">
        <f t="shared" si="121"/>
        <v>0</v>
      </c>
      <c r="Y471">
        <f t="shared" si="122"/>
        <v>1</v>
      </c>
      <c r="Z471">
        <f t="shared" si="123"/>
        <v>0</v>
      </c>
      <c r="AA471">
        <f t="shared" si="124"/>
        <v>0</v>
      </c>
      <c r="AB471">
        <f t="shared" si="125"/>
        <v>0</v>
      </c>
      <c r="AC471">
        <f t="shared" si="126"/>
        <v>0</v>
      </c>
      <c r="AD471">
        <f t="shared" si="127"/>
        <v>0</v>
      </c>
      <c r="AE471">
        <v>85.8</v>
      </c>
      <c r="AF471">
        <v>2.2999999999999998</v>
      </c>
      <c r="AG471">
        <v>6.26</v>
      </c>
      <c r="AH471" t="s">
        <v>108</v>
      </c>
      <c r="AI471" t="s">
        <v>97</v>
      </c>
      <c r="AJ471" t="s">
        <v>97</v>
      </c>
      <c r="AK471" t="s">
        <v>97</v>
      </c>
      <c r="AL471" t="s">
        <v>97</v>
      </c>
      <c r="AM471">
        <v>9</v>
      </c>
      <c r="AN471" t="s">
        <v>109</v>
      </c>
      <c r="AO471" t="s">
        <v>213</v>
      </c>
      <c r="AP471" t="s">
        <v>122</v>
      </c>
      <c r="AQ471" t="s">
        <v>103</v>
      </c>
      <c r="AR471" t="s">
        <v>104</v>
      </c>
      <c r="AS471" t="s">
        <v>214</v>
      </c>
      <c r="AT471" t="s">
        <v>110</v>
      </c>
      <c r="AU471" t="s">
        <v>97</v>
      </c>
      <c r="AV471" t="s">
        <v>97</v>
      </c>
      <c r="AW471">
        <v>1.24</v>
      </c>
      <c r="AX471">
        <v>0.46</v>
      </c>
      <c r="AY471">
        <v>0.56999999999999995</v>
      </c>
      <c r="AZ471">
        <v>1.67</v>
      </c>
      <c r="BA471" t="s">
        <v>97</v>
      </c>
      <c r="BB471" t="s">
        <v>97</v>
      </c>
      <c r="BC471" t="s">
        <v>97</v>
      </c>
      <c r="BD471">
        <v>2</v>
      </c>
      <c r="BE471" t="s">
        <v>97</v>
      </c>
      <c r="BF471" t="s">
        <v>97</v>
      </c>
      <c r="BG471" t="s">
        <v>97</v>
      </c>
      <c r="BH471" t="s">
        <v>97</v>
      </c>
      <c r="BI471">
        <v>669257</v>
      </c>
      <c r="BJ471">
        <v>669257</v>
      </c>
      <c r="BK471" t="s">
        <v>97</v>
      </c>
      <c r="BL471" t="s">
        <v>97</v>
      </c>
      <c r="BM471">
        <v>-6.6608771689999999</v>
      </c>
      <c r="BN471">
        <v>-124.6672758</v>
      </c>
      <c r="BO471">
        <v>-5.5292318639999998</v>
      </c>
      <c r="BP471">
        <v>14.248457070000001</v>
      </c>
      <c r="BQ471">
        <v>26.457804459999998</v>
      </c>
      <c r="BR471">
        <v>-26.419427630000001</v>
      </c>
      <c r="BS471">
        <v>3.86</v>
      </c>
      <c r="BT471">
        <v>1.76</v>
      </c>
      <c r="BU471" t="s">
        <v>97</v>
      </c>
      <c r="BV471" t="s">
        <v>97</v>
      </c>
      <c r="BW471" t="s">
        <v>97</v>
      </c>
      <c r="BX471">
        <v>86.3</v>
      </c>
      <c r="BY471">
        <v>1721</v>
      </c>
      <c r="BZ471">
        <v>6.8</v>
      </c>
      <c r="CA471">
        <v>813022</v>
      </c>
      <c r="CB471">
        <v>669257</v>
      </c>
      <c r="CC471">
        <v>669257</v>
      </c>
      <c r="CD471">
        <v>518692</v>
      </c>
      <c r="CE471">
        <v>669242</v>
      </c>
      <c r="CF471">
        <v>571970</v>
      </c>
      <c r="CG471">
        <v>605141</v>
      </c>
      <c r="CH471">
        <v>669743</v>
      </c>
      <c r="CI471">
        <v>571771</v>
      </c>
      <c r="CJ471">
        <v>606192</v>
      </c>
      <c r="CK471">
        <v>53.71</v>
      </c>
      <c r="CL471" t="s">
        <v>97</v>
      </c>
      <c r="CM471" t="s">
        <v>97</v>
      </c>
      <c r="CN471" t="s">
        <v>97</v>
      </c>
      <c r="CO471" t="s">
        <v>97</v>
      </c>
      <c r="CP471" t="s">
        <v>97</v>
      </c>
      <c r="CQ471" t="s">
        <v>97</v>
      </c>
      <c r="CR471" t="s">
        <v>97</v>
      </c>
      <c r="CS471">
        <v>1</v>
      </c>
      <c r="CT471">
        <v>3</v>
      </c>
      <c r="CU471">
        <v>3</v>
      </c>
      <c r="CV471">
        <v>1</v>
      </c>
      <c r="CW471">
        <v>3</v>
      </c>
      <c r="CX471">
        <v>1</v>
      </c>
      <c r="CY471">
        <v>3</v>
      </c>
      <c r="CZ471">
        <v>1</v>
      </c>
      <c r="DA471" t="s">
        <v>107</v>
      </c>
      <c r="DB471" t="s">
        <v>107</v>
      </c>
      <c r="DC471">
        <v>129</v>
      </c>
      <c r="DD471">
        <v>0</v>
      </c>
      <c r="DE471">
        <v>-5.2999999999999999E-2</v>
      </c>
      <c r="DF471" t="s">
        <v>97</v>
      </c>
      <c r="DG471" t="s">
        <v>97</v>
      </c>
    </row>
    <row r="472" spans="1:111" x14ac:dyDescent="0.2">
      <c r="A472">
        <v>2025</v>
      </c>
      <c r="B472" s="1">
        <v>45959</v>
      </c>
      <c r="C472" t="s">
        <v>95</v>
      </c>
      <c r="D472">
        <v>605483</v>
      </c>
      <c r="E472">
        <v>666182</v>
      </c>
      <c r="F472">
        <v>1</v>
      </c>
      <c r="G472">
        <v>1</v>
      </c>
      <c r="H472">
        <v>5</v>
      </c>
      <c r="I472" t="s">
        <v>96</v>
      </c>
      <c r="J472">
        <v>37</v>
      </c>
      <c r="K472">
        <v>3</v>
      </c>
      <c r="L472" t="s">
        <v>119</v>
      </c>
      <c r="M472" t="s">
        <v>111</v>
      </c>
      <c r="N472" t="s">
        <v>112</v>
      </c>
      <c r="O472">
        <f t="shared" si="112"/>
        <v>0</v>
      </c>
      <c r="P472">
        <f t="shared" si="113"/>
        <v>0</v>
      </c>
      <c r="Q472">
        <f t="shared" si="114"/>
        <v>0</v>
      </c>
      <c r="R472">
        <f t="shared" si="115"/>
        <v>0</v>
      </c>
      <c r="S472">
        <f t="shared" si="116"/>
        <v>0</v>
      </c>
      <c r="T472">
        <f t="shared" si="117"/>
        <v>1</v>
      </c>
      <c r="U472">
        <f t="shared" si="118"/>
        <v>0</v>
      </c>
      <c r="V472">
        <f t="shared" si="119"/>
        <v>0</v>
      </c>
      <c r="W472">
        <f t="shared" si="120"/>
        <v>0</v>
      </c>
      <c r="X472">
        <f t="shared" si="121"/>
        <v>0</v>
      </c>
      <c r="Y472">
        <f t="shared" si="122"/>
        <v>0</v>
      </c>
      <c r="Z472">
        <f t="shared" si="123"/>
        <v>0</v>
      </c>
      <c r="AA472">
        <f t="shared" si="124"/>
        <v>0</v>
      </c>
      <c r="AB472">
        <f t="shared" si="125"/>
        <v>0</v>
      </c>
      <c r="AC472">
        <f t="shared" si="126"/>
        <v>0</v>
      </c>
      <c r="AD472">
        <f t="shared" si="127"/>
        <v>0</v>
      </c>
      <c r="AE472">
        <v>81.900000000000006</v>
      </c>
      <c r="AF472">
        <v>1.97</v>
      </c>
      <c r="AG472">
        <v>6.46</v>
      </c>
      <c r="AH472" t="s">
        <v>120</v>
      </c>
      <c r="AI472" t="s">
        <v>97</v>
      </c>
      <c r="AJ472" t="s">
        <v>97</v>
      </c>
      <c r="AK472" t="s">
        <v>97</v>
      </c>
      <c r="AL472" t="s">
        <v>97</v>
      </c>
      <c r="AM472">
        <v>13</v>
      </c>
      <c r="AN472" t="s">
        <v>265</v>
      </c>
      <c r="AO472" t="s">
        <v>213</v>
      </c>
      <c r="AP472" t="s">
        <v>122</v>
      </c>
      <c r="AQ472" t="s">
        <v>103</v>
      </c>
      <c r="AR472" t="s">
        <v>104</v>
      </c>
      <c r="AS472" t="s">
        <v>214</v>
      </c>
      <c r="AT472" t="s">
        <v>123</v>
      </c>
      <c r="AU472">
        <v>7</v>
      </c>
      <c r="AV472" t="s">
        <v>158</v>
      </c>
      <c r="AW472">
        <v>-0.77</v>
      </c>
      <c r="AX472">
        <v>-0.52</v>
      </c>
      <c r="AY472">
        <v>-0.17</v>
      </c>
      <c r="AZ472">
        <v>1.1000000000000001</v>
      </c>
      <c r="BA472" t="s">
        <v>97</v>
      </c>
      <c r="BB472" t="s">
        <v>97</v>
      </c>
      <c r="BC472" t="s">
        <v>97</v>
      </c>
      <c r="BD472">
        <v>2</v>
      </c>
      <c r="BE472">
        <v>66.319999999999993</v>
      </c>
      <c r="BF472">
        <v>91.57</v>
      </c>
      <c r="BG472" t="s">
        <v>97</v>
      </c>
      <c r="BH472" t="s">
        <v>97</v>
      </c>
      <c r="BI472">
        <v>669257</v>
      </c>
      <c r="BJ472">
        <v>669257</v>
      </c>
      <c r="BK472" t="s">
        <v>97</v>
      </c>
      <c r="BL472" t="s">
        <v>97</v>
      </c>
      <c r="BM472">
        <v>-3.3642762899999998</v>
      </c>
      <c r="BN472">
        <v>-119.1799293</v>
      </c>
      <c r="BO472">
        <v>-4.5116564290000003</v>
      </c>
      <c r="BP472">
        <v>-6.5971428620000001</v>
      </c>
      <c r="BQ472">
        <v>25.088356990000001</v>
      </c>
      <c r="BR472">
        <v>-36.360854869999997</v>
      </c>
      <c r="BS472">
        <v>3.71</v>
      </c>
      <c r="BT472">
        <v>1.75</v>
      </c>
      <c r="BU472">
        <v>304</v>
      </c>
      <c r="BV472">
        <v>84.1</v>
      </c>
      <c r="BW472">
        <v>28</v>
      </c>
      <c r="BX472">
        <v>82.2</v>
      </c>
      <c r="BY472">
        <v>2583</v>
      </c>
      <c r="BZ472">
        <v>6.7</v>
      </c>
      <c r="CA472">
        <v>813022</v>
      </c>
      <c r="CB472">
        <v>669257</v>
      </c>
      <c r="CC472">
        <v>669257</v>
      </c>
      <c r="CD472">
        <v>518692</v>
      </c>
      <c r="CE472">
        <v>669242</v>
      </c>
      <c r="CF472">
        <v>571970</v>
      </c>
      <c r="CG472">
        <v>605141</v>
      </c>
      <c r="CH472">
        <v>669743</v>
      </c>
      <c r="CI472">
        <v>571771</v>
      </c>
      <c r="CJ472">
        <v>606192</v>
      </c>
      <c r="CK472">
        <v>53.8</v>
      </c>
      <c r="CL472">
        <v>8.3000000000000004E-2</v>
      </c>
      <c r="CM472">
        <v>9.1999999999999998E-2</v>
      </c>
      <c r="CN472">
        <v>0</v>
      </c>
      <c r="CO472">
        <v>1</v>
      </c>
      <c r="CP472">
        <v>0</v>
      </c>
      <c r="CQ472">
        <v>0</v>
      </c>
      <c r="CR472">
        <v>3</v>
      </c>
      <c r="CS472">
        <v>1</v>
      </c>
      <c r="CT472">
        <v>3</v>
      </c>
      <c r="CU472">
        <v>3</v>
      </c>
      <c r="CV472">
        <v>1</v>
      </c>
      <c r="CW472">
        <v>3</v>
      </c>
      <c r="CX472">
        <v>1</v>
      </c>
      <c r="CY472">
        <v>3</v>
      </c>
      <c r="CZ472">
        <v>1</v>
      </c>
      <c r="DA472" t="s">
        <v>107</v>
      </c>
      <c r="DB472" t="s">
        <v>107</v>
      </c>
      <c r="DC472">
        <v>328</v>
      </c>
      <c r="DD472">
        <v>8.0000000000000002E-3</v>
      </c>
      <c r="DE472">
        <v>-0.24399999999999999</v>
      </c>
      <c r="DF472">
        <v>73</v>
      </c>
      <c r="DG472">
        <v>8.4</v>
      </c>
    </row>
    <row r="473" spans="1:111" x14ac:dyDescent="0.2">
      <c r="A473">
        <v>2025</v>
      </c>
      <c r="B473" s="1">
        <v>45959</v>
      </c>
      <c r="C473" t="s">
        <v>95</v>
      </c>
      <c r="D473">
        <v>605483</v>
      </c>
      <c r="E473">
        <v>672386</v>
      </c>
      <c r="F473">
        <v>0</v>
      </c>
      <c r="G473">
        <v>0</v>
      </c>
      <c r="H473">
        <v>6</v>
      </c>
      <c r="I473" t="s">
        <v>96</v>
      </c>
      <c r="J473">
        <v>41</v>
      </c>
      <c r="K473">
        <v>1</v>
      </c>
      <c r="L473" t="s">
        <v>97</v>
      </c>
      <c r="M473" t="s">
        <v>98</v>
      </c>
      <c r="N473" t="s">
        <v>99</v>
      </c>
      <c r="O473">
        <f t="shared" si="112"/>
        <v>0</v>
      </c>
      <c r="P473">
        <f t="shared" si="113"/>
        <v>0</v>
      </c>
      <c r="Q473">
        <f t="shared" si="114"/>
        <v>1</v>
      </c>
      <c r="R473">
        <f t="shared" si="115"/>
        <v>0</v>
      </c>
      <c r="S473">
        <f t="shared" si="116"/>
        <v>0</v>
      </c>
      <c r="T473">
        <f t="shared" si="117"/>
        <v>0</v>
      </c>
      <c r="U473">
        <f t="shared" si="118"/>
        <v>0</v>
      </c>
      <c r="V473">
        <f t="shared" si="119"/>
        <v>0</v>
      </c>
      <c r="W473">
        <f t="shared" si="120"/>
        <v>0</v>
      </c>
      <c r="X473">
        <f t="shared" si="121"/>
        <v>0</v>
      </c>
      <c r="Y473">
        <f t="shared" si="122"/>
        <v>0</v>
      </c>
      <c r="Z473">
        <f t="shared" si="123"/>
        <v>0</v>
      </c>
      <c r="AA473">
        <f t="shared" si="124"/>
        <v>0</v>
      </c>
      <c r="AB473">
        <f t="shared" si="125"/>
        <v>0</v>
      </c>
      <c r="AC473">
        <f t="shared" si="126"/>
        <v>0</v>
      </c>
      <c r="AD473">
        <f t="shared" si="127"/>
        <v>0</v>
      </c>
      <c r="AE473">
        <v>95.6</v>
      </c>
      <c r="AF473">
        <v>1.87</v>
      </c>
      <c r="AG473">
        <v>6.49</v>
      </c>
      <c r="AH473" t="s">
        <v>100</v>
      </c>
      <c r="AI473" t="s">
        <v>97</v>
      </c>
      <c r="AJ473" t="s">
        <v>97</v>
      </c>
      <c r="AK473" t="s">
        <v>97</v>
      </c>
      <c r="AL473" t="s">
        <v>97</v>
      </c>
      <c r="AM473">
        <v>11</v>
      </c>
      <c r="AN473" t="s">
        <v>101</v>
      </c>
      <c r="AO473" t="s">
        <v>213</v>
      </c>
      <c r="AP473" t="s">
        <v>122</v>
      </c>
      <c r="AQ473" t="s">
        <v>103</v>
      </c>
      <c r="AR473" t="s">
        <v>104</v>
      </c>
      <c r="AS473" t="s">
        <v>214</v>
      </c>
      <c r="AT473" t="s">
        <v>106</v>
      </c>
      <c r="AU473" t="s">
        <v>97</v>
      </c>
      <c r="AV473" t="s">
        <v>97</v>
      </c>
      <c r="AW473">
        <v>0.59</v>
      </c>
      <c r="AX473">
        <v>1.76</v>
      </c>
      <c r="AY473">
        <v>-0.41</v>
      </c>
      <c r="AZ473">
        <v>3.32</v>
      </c>
      <c r="BA473" t="s">
        <v>97</v>
      </c>
      <c r="BB473" t="s">
        <v>97</v>
      </c>
      <c r="BC473" t="s">
        <v>97</v>
      </c>
      <c r="BD473">
        <v>0</v>
      </c>
      <c r="BE473" t="s">
        <v>97</v>
      </c>
      <c r="BF473" t="s">
        <v>97</v>
      </c>
      <c r="BG473" t="s">
        <v>97</v>
      </c>
      <c r="BH473" t="s">
        <v>97</v>
      </c>
      <c r="BI473">
        <v>669257</v>
      </c>
      <c r="BJ473">
        <v>669257</v>
      </c>
      <c r="BK473" t="s">
        <v>97</v>
      </c>
      <c r="BL473" t="s">
        <v>97</v>
      </c>
      <c r="BM473">
        <v>-7.4122319289999998</v>
      </c>
      <c r="BN473">
        <v>-138.88633590000001</v>
      </c>
      <c r="BO473">
        <v>-6.6987121810000003</v>
      </c>
      <c r="BP473">
        <v>9.399980115</v>
      </c>
      <c r="BQ473">
        <v>33.343677620000001</v>
      </c>
      <c r="BR473">
        <v>-8.0440723149999993</v>
      </c>
      <c r="BS473">
        <v>3.19</v>
      </c>
      <c r="BT473">
        <v>1.53</v>
      </c>
      <c r="BU473" t="s">
        <v>97</v>
      </c>
      <c r="BV473" t="s">
        <v>97</v>
      </c>
      <c r="BW473" t="s">
        <v>97</v>
      </c>
      <c r="BX473">
        <v>96.1</v>
      </c>
      <c r="BY473">
        <v>2532</v>
      </c>
      <c r="BZ473">
        <v>6.8</v>
      </c>
      <c r="CA473">
        <v>813022</v>
      </c>
      <c r="CB473">
        <v>669257</v>
      </c>
      <c r="CC473">
        <v>669257</v>
      </c>
      <c r="CD473">
        <v>518692</v>
      </c>
      <c r="CE473">
        <v>669242</v>
      </c>
      <c r="CF473">
        <v>571970</v>
      </c>
      <c r="CG473">
        <v>605141</v>
      </c>
      <c r="CH473">
        <v>669743</v>
      </c>
      <c r="CI473">
        <v>571771</v>
      </c>
      <c r="CJ473">
        <v>606192</v>
      </c>
      <c r="CK473">
        <v>53.65</v>
      </c>
      <c r="CL473" t="s">
        <v>97</v>
      </c>
      <c r="CM473" t="s">
        <v>97</v>
      </c>
      <c r="CN473" t="s">
        <v>97</v>
      </c>
      <c r="CO473" t="s">
        <v>97</v>
      </c>
      <c r="CP473" t="s">
        <v>97</v>
      </c>
      <c r="CQ473" t="s">
        <v>97</v>
      </c>
      <c r="CR473" t="s">
        <v>97</v>
      </c>
      <c r="CS473">
        <v>1</v>
      </c>
      <c r="CT473">
        <v>3</v>
      </c>
      <c r="CU473">
        <v>3</v>
      </c>
      <c r="CV473">
        <v>1</v>
      </c>
      <c r="CW473">
        <v>3</v>
      </c>
      <c r="CX473">
        <v>1</v>
      </c>
      <c r="CY473">
        <v>3</v>
      </c>
      <c r="CZ473">
        <v>1</v>
      </c>
      <c r="DA473" t="s">
        <v>107</v>
      </c>
      <c r="DB473" t="s">
        <v>107</v>
      </c>
      <c r="DC473">
        <v>156</v>
      </c>
      <c r="DD473">
        <v>0</v>
      </c>
      <c r="DE473">
        <v>4.1000000000000002E-2</v>
      </c>
      <c r="DF473" t="s">
        <v>97</v>
      </c>
      <c r="DG473" t="s">
        <v>97</v>
      </c>
    </row>
    <row r="474" spans="1:111" x14ac:dyDescent="0.2">
      <c r="A474">
        <v>2025</v>
      </c>
      <c r="B474" s="1">
        <v>45959</v>
      </c>
      <c r="C474" t="s">
        <v>95</v>
      </c>
      <c r="D474">
        <v>605483</v>
      </c>
      <c r="E474">
        <v>672386</v>
      </c>
      <c r="F474">
        <v>1</v>
      </c>
      <c r="G474">
        <v>0</v>
      </c>
      <c r="H474">
        <v>6</v>
      </c>
      <c r="I474" t="s">
        <v>96</v>
      </c>
      <c r="J474">
        <v>41</v>
      </c>
      <c r="K474">
        <v>2</v>
      </c>
      <c r="L474" t="s">
        <v>97</v>
      </c>
      <c r="M474" t="s">
        <v>132</v>
      </c>
      <c r="N474" t="s">
        <v>133</v>
      </c>
      <c r="O474">
        <f t="shared" si="112"/>
        <v>0</v>
      </c>
      <c r="P474">
        <f t="shared" si="113"/>
        <v>0</v>
      </c>
      <c r="Q474">
        <f t="shared" si="114"/>
        <v>0</v>
      </c>
      <c r="R474">
        <f t="shared" si="115"/>
        <v>0</v>
      </c>
      <c r="S474">
        <f t="shared" si="116"/>
        <v>0</v>
      </c>
      <c r="T474">
        <f t="shared" si="117"/>
        <v>0</v>
      </c>
      <c r="U474">
        <f t="shared" si="118"/>
        <v>0</v>
      </c>
      <c r="V474">
        <f t="shared" si="119"/>
        <v>0</v>
      </c>
      <c r="W474">
        <f t="shared" si="120"/>
        <v>0</v>
      </c>
      <c r="X474">
        <f t="shared" si="121"/>
        <v>1</v>
      </c>
      <c r="Y474">
        <f t="shared" si="122"/>
        <v>0</v>
      </c>
      <c r="Z474">
        <f t="shared" si="123"/>
        <v>0</v>
      </c>
      <c r="AA474">
        <f t="shared" si="124"/>
        <v>0</v>
      </c>
      <c r="AB474">
        <f t="shared" si="125"/>
        <v>0</v>
      </c>
      <c r="AC474">
        <f t="shared" si="126"/>
        <v>0</v>
      </c>
      <c r="AD474">
        <f t="shared" si="127"/>
        <v>0</v>
      </c>
      <c r="AE474">
        <v>83.1</v>
      </c>
      <c r="AF474">
        <v>2.2799999999999998</v>
      </c>
      <c r="AG474">
        <v>6.17</v>
      </c>
      <c r="AH474" t="s">
        <v>100</v>
      </c>
      <c r="AI474" t="s">
        <v>97</v>
      </c>
      <c r="AJ474" t="s">
        <v>97</v>
      </c>
      <c r="AK474" t="s">
        <v>97</v>
      </c>
      <c r="AL474" t="s">
        <v>97</v>
      </c>
      <c r="AM474">
        <v>14</v>
      </c>
      <c r="AN474" t="s">
        <v>101</v>
      </c>
      <c r="AO474" t="s">
        <v>213</v>
      </c>
      <c r="AP474" t="s">
        <v>122</v>
      </c>
      <c r="AQ474" t="s">
        <v>103</v>
      </c>
      <c r="AR474" t="s">
        <v>104</v>
      </c>
      <c r="AS474" t="s">
        <v>214</v>
      </c>
      <c r="AT474" t="s">
        <v>106</v>
      </c>
      <c r="AU474" t="s">
        <v>97</v>
      </c>
      <c r="AV474" t="s">
        <v>97</v>
      </c>
      <c r="AW474">
        <v>1.45</v>
      </c>
      <c r="AX474">
        <v>0.78</v>
      </c>
      <c r="AY474">
        <v>0.14000000000000001</v>
      </c>
      <c r="AZ474">
        <v>0.69</v>
      </c>
      <c r="BA474" t="s">
        <v>97</v>
      </c>
      <c r="BB474" t="s">
        <v>97</v>
      </c>
      <c r="BC474" t="s">
        <v>97</v>
      </c>
      <c r="BD474">
        <v>0</v>
      </c>
      <c r="BE474" t="s">
        <v>97</v>
      </c>
      <c r="BF474" t="s">
        <v>97</v>
      </c>
      <c r="BG474" t="s">
        <v>97</v>
      </c>
      <c r="BH474" t="s">
        <v>97</v>
      </c>
      <c r="BI474">
        <v>669257</v>
      </c>
      <c r="BJ474">
        <v>669257</v>
      </c>
      <c r="BK474" t="s">
        <v>97</v>
      </c>
      <c r="BL474" t="s">
        <v>97</v>
      </c>
      <c r="BM474">
        <v>-7.8355110029999997</v>
      </c>
      <c r="BN474">
        <v>-120.59747729999999</v>
      </c>
      <c r="BO474">
        <v>-7.643286035</v>
      </c>
      <c r="BP474">
        <v>15.6977419</v>
      </c>
      <c r="BQ474">
        <v>24.353025460000001</v>
      </c>
      <c r="BR474">
        <v>-23.158119660000001</v>
      </c>
      <c r="BS474">
        <v>3.13</v>
      </c>
      <c r="BT474">
        <v>1.5</v>
      </c>
      <c r="BU474" t="s">
        <v>97</v>
      </c>
      <c r="BV474" t="s">
        <v>97</v>
      </c>
      <c r="BW474" t="s">
        <v>97</v>
      </c>
      <c r="BX474">
        <v>83.8</v>
      </c>
      <c r="BY474">
        <v>1969</v>
      </c>
      <c r="BZ474">
        <v>7</v>
      </c>
      <c r="CA474">
        <v>813022</v>
      </c>
      <c r="CB474">
        <v>669257</v>
      </c>
      <c r="CC474">
        <v>669257</v>
      </c>
      <c r="CD474">
        <v>518692</v>
      </c>
      <c r="CE474">
        <v>669242</v>
      </c>
      <c r="CF474">
        <v>571970</v>
      </c>
      <c r="CG474">
        <v>605141</v>
      </c>
      <c r="CH474">
        <v>669743</v>
      </c>
      <c r="CI474">
        <v>571771</v>
      </c>
      <c r="CJ474">
        <v>606192</v>
      </c>
      <c r="CK474">
        <v>53.51</v>
      </c>
      <c r="CL474" t="s">
        <v>97</v>
      </c>
      <c r="CM474" t="s">
        <v>97</v>
      </c>
      <c r="CN474" t="s">
        <v>97</v>
      </c>
      <c r="CO474" t="s">
        <v>97</v>
      </c>
      <c r="CP474" t="s">
        <v>97</v>
      </c>
      <c r="CQ474" t="s">
        <v>97</v>
      </c>
      <c r="CR474" t="s">
        <v>97</v>
      </c>
      <c r="CS474">
        <v>1</v>
      </c>
      <c r="CT474">
        <v>3</v>
      </c>
      <c r="CU474">
        <v>3</v>
      </c>
      <c r="CV474">
        <v>1</v>
      </c>
      <c r="CW474">
        <v>3</v>
      </c>
      <c r="CX474">
        <v>1</v>
      </c>
      <c r="CY474">
        <v>3</v>
      </c>
      <c r="CZ474">
        <v>1</v>
      </c>
      <c r="DA474" t="s">
        <v>107</v>
      </c>
      <c r="DB474" t="s">
        <v>107</v>
      </c>
      <c r="DC474">
        <v>129</v>
      </c>
      <c r="DD474">
        <v>0</v>
      </c>
      <c r="DE474">
        <v>7.6999999999999999E-2</v>
      </c>
      <c r="DF474" t="s">
        <v>97</v>
      </c>
      <c r="DG474" t="s">
        <v>97</v>
      </c>
    </row>
    <row r="475" spans="1:111" x14ac:dyDescent="0.2">
      <c r="A475">
        <v>2025</v>
      </c>
      <c r="B475" s="1">
        <v>45959</v>
      </c>
      <c r="C475" t="s">
        <v>95</v>
      </c>
      <c r="D475">
        <v>605483</v>
      </c>
      <c r="E475">
        <v>672386</v>
      </c>
      <c r="F475">
        <v>2</v>
      </c>
      <c r="G475">
        <v>0</v>
      </c>
      <c r="H475">
        <v>6</v>
      </c>
      <c r="I475" t="s">
        <v>96</v>
      </c>
      <c r="J475">
        <v>41</v>
      </c>
      <c r="K475">
        <v>3</v>
      </c>
      <c r="L475" t="s">
        <v>97</v>
      </c>
      <c r="M475" t="s">
        <v>98</v>
      </c>
      <c r="N475" t="s">
        <v>99</v>
      </c>
      <c r="O475">
        <f t="shared" si="112"/>
        <v>0</v>
      </c>
      <c r="P475">
        <f t="shared" si="113"/>
        <v>0</v>
      </c>
      <c r="Q475">
        <f t="shared" si="114"/>
        <v>0</v>
      </c>
      <c r="R475">
        <f t="shared" si="115"/>
        <v>1</v>
      </c>
      <c r="S475">
        <f t="shared" si="116"/>
        <v>0</v>
      </c>
      <c r="T475">
        <f t="shared" si="117"/>
        <v>0</v>
      </c>
      <c r="U475">
        <f t="shared" si="118"/>
        <v>0</v>
      </c>
      <c r="V475">
        <f t="shared" si="119"/>
        <v>0</v>
      </c>
      <c r="W475">
        <f t="shared" si="120"/>
        <v>0</v>
      </c>
      <c r="X475">
        <f t="shared" si="121"/>
        <v>0</v>
      </c>
      <c r="Y475">
        <f t="shared" si="122"/>
        <v>0</v>
      </c>
      <c r="Z475">
        <f t="shared" si="123"/>
        <v>0</v>
      </c>
      <c r="AA475">
        <f t="shared" si="124"/>
        <v>0</v>
      </c>
      <c r="AB475">
        <f t="shared" si="125"/>
        <v>0</v>
      </c>
      <c r="AC475">
        <f t="shared" si="126"/>
        <v>0</v>
      </c>
      <c r="AD475">
        <f t="shared" si="127"/>
        <v>0</v>
      </c>
      <c r="AE475">
        <v>94.9</v>
      </c>
      <c r="AF475">
        <v>1.92</v>
      </c>
      <c r="AG475">
        <v>6.48</v>
      </c>
      <c r="AH475" t="s">
        <v>108</v>
      </c>
      <c r="AI475" t="s">
        <v>97</v>
      </c>
      <c r="AJ475" t="s">
        <v>97</v>
      </c>
      <c r="AK475" t="s">
        <v>97</v>
      </c>
      <c r="AL475" t="s">
        <v>97</v>
      </c>
      <c r="AM475">
        <v>1</v>
      </c>
      <c r="AN475" t="s">
        <v>109</v>
      </c>
      <c r="AO475" t="s">
        <v>213</v>
      </c>
      <c r="AP475" t="s">
        <v>122</v>
      </c>
      <c r="AQ475" t="s">
        <v>103</v>
      </c>
      <c r="AR475" t="s">
        <v>104</v>
      </c>
      <c r="AS475" t="s">
        <v>214</v>
      </c>
      <c r="AT475" t="s">
        <v>110</v>
      </c>
      <c r="AU475" t="s">
        <v>97</v>
      </c>
      <c r="AV475" t="s">
        <v>97</v>
      </c>
      <c r="AW475">
        <v>0.18</v>
      </c>
      <c r="AX475">
        <v>1.69</v>
      </c>
      <c r="AY475">
        <v>-0.48</v>
      </c>
      <c r="AZ475">
        <v>3.19</v>
      </c>
      <c r="BA475" t="s">
        <v>97</v>
      </c>
      <c r="BB475" t="s">
        <v>97</v>
      </c>
      <c r="BC475" t="s">
        <v>97</v>
      </c>
      <c r="BD475">
        <v>0</v>
      </c>
      <c r="BE475" t="s">
        <v>97</v>
      </c>
      <c r="BF475" t="s">
        <v>97</v>
      </c>
      <c r="BG475" t="s">
        <v>97</v>
      </c>
      <c r="BH475" t="s">
        <v>97</v>
      </c>
      <c r="BI475">
        <v>669257</v>
      </c>
      <c r="BJ475">
        <v>669257</v>
      </c>
      <c r="BK475" t="s">
        <v>97</v>
      </c>
      <c r="BL475" t="s">
        <v>97</v>
      </c>
      <c r="BM475">
        <v>-6.7385019269999997</v>
      </c>
      <c r="BN475">
        <v>-137.79901129999999</v>
      </c>
      <c r="BO475">
        <v>-6.7408291150000004</v>
      </c>
      <c r="BP475">
        <v>3.9248307269999998</v>
      </c>
      <c r="BQ475">
        <v>33.815528630000003</v>
      </c>
      <c r="BR475">
        <v>-9.3146313749999994</v>
      </c>
      <c r="BS475">
        <v>3.22</v>
      </c>
      <c r="BT475">
        <v>1.49</v>
      </c>
      <c r="BU475" t="s">
        <v>97</v>
      </c>
      <c r="BV475" t="s">
        <v>97</v>
      </c>
      <c r="BW475" t="s">
        <v>97</v>
      </c>
      <c r="BX475">
        <v>95.3</v>
      </c>
      <c r="BY475">
        <v>2442</v>
      </c>
      <c r="BZ475">
        <v>6.9</v>
      </c>
      <c r="CA475">
        <v>813022</v>
      </c>
      <c r="CB475">
        <v>669257</v>
      </c>
      <c r="CC475">
        <v>669257</v>
      </c>
      <c r="CD475">
        <v>518692</v>
      </c>
      <c r="CE475">
        <v>669242</v>
      </c>
      <c r="CF475">
        <v>571970</v>
      </c>
      <c r="CG475">
        <v>605141</v>
      </c>
      <c r="CH475">
        <v>669743</v>
      </c>
      <c r="CI475">
        <v>571771</v>
      </c>
      <c r="CJ475">
        <v>606192</v>
      </c>
      <c r="CK475">
        <v>53.61</v>
      </c>
      <c r="CL475" t="s">
        <v>97</v>
      </c>
      <c r="CM475" t="s">
        <v>97</v>
      </c>
      <c r="CN475" t="s">
        <v>97</v>
      </c>
      <c r="CO475" t="s">
        <v>97</v>
      </c>
      <c r="CP475" t="s">
        <v>97</v>
      </c>
      <c r="CQ475" t="s">
        <v>97</v>
      </c>
      <c r="CR475" t="s">
        <v>97</v>
      </c>
      <c r="CS475">
        <v>1</v>
      </c>
      <c r="CT475">
        <v>3</v>
      </c>
      <c r="CU475">
        <v>3</v>
      </c>
      <c r="CV475">
        <v>1</v>
      </c>
      <c r="CW475">
        <v>3</v>
      </c>
      <c r="CX475">
        <v>1</v>
      </c>
      <c r="CY475">
        <v>3</v>
      </c>
      <c r="CZ475">
        <v>1</v>
      </c>
      <c r="DA475" t="s">
        <v>107</v>
      </c>
      <c r="DB475" t="s">
        <v>107</v>
      </c>
      <c r="DC475">
        <v>157</v>
      </c>
      <c r="DD475">
        <v>0</v>
      </c>
      <c r="DE475">
        <v>-7.2999999999999995E-2</v>
      </c>
      <c r="DF475" t="s">
        <v>97</v>
      </c>
      <c r="DG475" t="s">
        <v>97</v>
      </c>
    </row>
    <row r="476" spans="1:111" x14ac:dyDescent="0.2">
      <c r="A476">
        <v>2025</v>
      </c>
      <c r="B476" s="1">
        <v>45959</v>
      </c>
      <c r="C476" t="s">
        <v>95</v>
      </c>
      <c r="D476">
        <v>605483</v>
      </c>
      <c r="E476">
        <v>672386</v>
      </c>
      <c r="F476">
        <v>2</v>
      </c>
      <c r="G476">
        <v>1</v>
      </c>
      <c r="H476">
        <v>6</v>
      </c>
      <c r="I476" t="s">
        <v>96</v>
      </c>
      <c r="J476">
        <v>41</v>
      </c>
      <c r="K476">
        <v>4</v>
      </c>
      <c r="L476" t="s">
        <v>97</v>
      </c>
      <c r="M476" t="s">
        <v>138</v>
      </c>
      <c r="N476" t="s">
        <v>139</v>
      </c>
      <c r="O476">
        <f t="shared" si="112"/>
        <v>0</v>
      </c>
      <c r="P476">
        <f t="shared" si="113"/>
        <v>0</v>
      </c>
      <c r="Q476">
        <f t="shared" si="114"/>
        <v>0</v>
      </c>
      <c r="R476">
        <f t="shared" si="115"/>
        <v>0</v>
      </c>
      <c r="S476">
        <f t="shared" si="116"/>
        <v>0</v>
      </c>
      <c r="T476">
        <f t="shared" si="117"/>
        <v>0</v>
      </c>
      <c r="U476">
        <f t="shared" si="118"/>
        <v>0</v>
      </c>
      <c r="V476">
        <f t="shared" si="119"/>
        <v>0</v>
      </c>
      <c r="W476">
        <f t="shared" si="120"/>
        <v>0</v>
      </c>
      <c r="X476">
        <f t="shared" si="121"/>
        <v>0</v>
      </c>
      <c r="Y476">
        <f t="shared" si="122"/>
        <v>0</v>
      </c>
      <c r="Z476">
        <f t="shared" si="123"/>
        <v>0</v>
      </c>
      <c r="AA476">
        <f t="shared" si="124"/>
        <v>0</v>
      </c>
      <c r="AB476">
        <f t="shared" si="125"/>
        <v>1</v>
      </c>
      <c r="AC476">
        <f t="shared" si="126"/>
        <v>0</v>
      </c>
      <c r="AD476">
        <f t="shared" si="127"/>
        <v>0</v>
      </c>
      <c r="AE476">
        <v>88.2</v>
      </c>
      <c r="AF476">
        <v>2.04</v>
      </c>
      <c r="AG476">
        <v>6.51</v>
      </c>
      <c r="AH476" t="s">
        <v>113</v>
      </c>
      <c r="AI476" t="s">
        <v>97</v>
      </c>
      <c r="AJ476" t="s">
        <v>97</v>
      </c>
      <c r="AK476" t="s">
        <v>97</v>
      </c>
      <c r="AL476" t="s">
        <v>97</v>
      </c>
      <c r="AM476">
        <v>11</v>
      </c>
      <c r="AN476" t="s">
        <v>114</v>
      </c>
      <c r="AO476" t="s">
        <v>213</v>
      </c>
      <c r="AP476" t="s">
        <v>122</v>
      </c>
      <c r="AQ476" t="s">
        <v>103</v>
      </c>
      <c r="AR476" t="s">
        <v>104</v>
      </c>
      <c r="AS476" t="s">
        <v>214</v>
      </c>
      <c r="AT476" t="s">
        <v>110</v>
      </c>
      <c r="AU476" t="s">
        <v>97</v>
      </c>
      <c r="AV476" t="s">
        <v>97</v>
      </c>
      <c r="AW476">
        <v>-0.17</v>
      </c>
      <c r="AX476">
        <v>0.53</v>
      </c>
      <c r="AY476">
        <v>-0.4</v>
      </c>
      <c r="AZ476">
        <v>3.37</v>
      </c>
      <c r="BA476" t="s">
        <v>97</v>
      </c>
      <c r="BB476" t="s">
        <v>97</v>
      </c>
      <c r="BC476" t="s">
        <v>97</v>
      </c>
      <c r="BD476">
        <v>0</v>
      </c>
      <c r="BE476" t="s">
        <v>97</v>
      </c>
      <c r="BF476" t="s">
        <v>97</v>
      </c>
      <c r="BG476" t="s">
        <v>97</v>
      </c>
      <c r="BH476" t="s">
        <v>97</v>
      </c>
      <c r="BI476">
        <v>669257</v>
      </c>
      <c r="BJ476">
        <v>669257</v>
      </c>
      <c r="BK476" t="s">
        <v>97</v>
      </c>
      <c r="BL476" t="s">
        <v>97</v>
      </c>
      <c r="BM476">
        <v>-5.5790932209999999</v>
      </c>
      <c r="BN476">
        <v>-128.2851541</v>
      </c>
      <c r="BO476">
        <v>-2.6058478049999998</v>
      </c>
      <c r="BP476">
        <v>-0.58275391899999995</v>
      </c>
      <c r="BQ476">
        <v>29.177767379999999</v>
      </c>
      <c r="BR476">
        <v>-25.953654230000001</v>
      </c>
      <c r="BS476">
        <v>3.13</v>
      </c>
      <c r="BT476">
        <v>1.5</v>
      </c>
      <c r="BU476" t="s">
        <v>97</v>
      </c>
      <c r="BV476" t="s">
        <v>97</v>
      </c>
      <c r="BW476" t="s">
        <v>97</v>
      </c>
      <c r="BX476">
        <v>88</v>
      </c>
      <c r="BY476">
        <v>2362</v>
      </c>
      <c r="BZ476">
        <v>6.4</v>
      </c>
      <c r="CA476">
        <v>813022</v>
      </c>
      <c r="CB476">
        <v>669257</v>
      </c>
      <c r="CC476">
        <v>669257</v>
      </c>
      <c r="CD476">
        <v>518692</v>
      </c>
      <c r="CE476">
        <v>669242</v>
      </c>
      <c r="CF476">
        <v>571970</v>
      </c>
      <c r="CG476">
        <v>605141</v>
      </c>
      <c r="CH476">
        <v>669743</v>
      </c>
      <c r="CI476">
        <v>571771</v>
      </c>
      <c r="CJ476">
        <v>606192</v>
      </c>
      <c r="CK476">
        <v>54.08</v>
      </c>
      <c r="CL476" t="s">
        <v>97</v>
      </c>
      <c r="CM476" t="s">
        <v>97</v>
      </c>
      <c r="CN476" t="s">
        <v>97</v>
      </c>
      <c r="CO476" t="s">
        <v>97</v>
      </c>
      <c r="CP476" t="s">
        <v>97</v>
      </c>
      <c r="CQ476" t="s">
        <v>97</v>
      </c>
      <c r="CR476" t="s">
        <v>97</v>
      </c>
      <c r="CS476">
        <v>1</v>
      </c>
      <c r="CT476">
        <v>3</v>
      </c>
      <c r="CU476">
        <v>3</v>
      </c>
      <c r="CV476">
        <v>1</v>
      </c>
      <c r="CW476">
        <v>3</v>
      </c>
      <c r="CX476">
        <v>1</v>
      </c>
      <c r="CY476">
        <v>3</v>
      </c>
      <c r="CZ476">
        <v>1</v>
      </c>
      <c r="DA476" t="s">
        <v>107</v>
      </c>
      <c r="DB476" t="s">
        <v>107</v>
      </c>
      <c r="DC476">
        <v>181</v>
      </c>
      <c r="DD476">
        <v>0</v>
      </c>
      <c r="DE476">
        <v>-7.2999999999999995E-2</v>
      </c>
      <c r="DF476">
        <v>65.7</v>
      </c>
      <c r="DG476">
        <v>5.6</v>
      </c>
    </row>
    <row r="477" spans="1:111" x14ac:dyDescent="0.2">
      <c r="A477">
        <v>2025</v>
      </c>
      <c r="B477" s="1">
        <v>45959</v>
      </c>
      <c r="C477" t="s">
        <v>95</v>
      </c>
      <c r="D477">
        <v>605483</v>
      </c>
      <c r="E477">
        <v>672386</v>
      </c>
      <c r="F477">
        <v>2</v>
      </c>
      <c r="G477">
        <v>2</v>
      </c>
      <c r="H477">
        <v>6</v>
      </c>
      <c r="I477" t="s">
        <v>96</v>
      </c>
      <c r="J477">
        <v>41</v>
      </c>
      <c r="K477">
        <v>5</v>
      </c>
      <c r="L477" t="s">
        <v>97</v>
      </c>
      <c r="M477" t="s">
        <v>98</v>
      </c>
      <c r="N477" t="s">
        <v>99</v>
      </c>
      <c r="O477">
        <f t="shared" si="112"/>
        <v>0</v>
      </c>
      <c r="P477">
        <f t="shared" si="113"/>
        <v>0</v>
      </c>
      <c r="Q477">
        <f t="shared" si="114"/>
        <v>1</v>
      </c>
      <c r="R477">
        <f t="shared" si="115"/>
        <v>0</v>
      </c>
      <c r="S477">
        <f t="shared" si="116"/>
        <v>0</v>
      </c>
      <c r="T477">
        <f t="shared" si="117"/>
        <v>0</v>
      </c>
      <c r="U477">
        <f t="shared" si="118"/>
        <v>0</v>
      </c>
      <c r="V477">
        <f t="shared" si="119"/>
        <v>0</v>
      </c>
      <c r="W477">
        <f t="shared" si="120"/>
        <v>0</v>
      </c>
      <c r="X477">
        <f t="shared" si="121"/>
        <v>0</v>
      </c>
      <c r="Y477">
        <f t="shared" si="122"/>
        <v>0</v>
      </c>
      <c r="Z477">
        <f t="shared" si="123"/>
        <v>0</v>
      </c>
      <c r="AA477">
        <f t="shared" si="124"/>
        <v>0</v>
      </c>
      <c r="AB477">
        <f t="shared" si="125"/>
        <v>0</v>
      </c>
      <c r="AC477">
        <f t="shared" si="126"/>
        <v>0</v>
      </c>
      <c r="AD477">
        <f t="shared" si="127"/>
        <v>0</v>
      </c>
      <c r="AE477">
        <v>97.1</v>
      </c>
      <c r="AF477">
        <v>1.88</v>
      </c>
      <c r="AG477">
        <v>6.43</v>
      </c>
      <c r="AH477" t="s">
        <v>100</v>
      </c>
      <c r="AI477" t="s">
        <v>97</v>
      </c>
      <c r="AJ477" t="s">
        <v>97</v>
      </c>
      <c r="AK477" t="s">
        <v>97</v>
      </c>
      <c r="AL477" t="s">
        <v>97</v>
      </c>
      <c r="AM477">
        <v>13</v>
      </c>
      <c r="AN477" t="s">
        <v>101</v>
      </c>
      <c r="AO477" t="s">
        <v>213</v>
      </c>
      <c r="AP477" t="s">
        <v>122</v>
      </c>
      <c r="AQ477" t="s">
        <v>103</v>
      </c>
      <c r="AR477" t="s">
        <v>104</v>
      </c>
      <c r="AS477" t="s">
        <v>214</v>
      </c>
      <c r="AT477" t="s">
        <v>106</v>
      </c>
      <c r="AU477" t="s">
        <v>97</v>
      </c>
      <c r="AV477" t="s">
        <v>97</v>
      </c>
      <c r="AW477">
        <v>0.12</v>
      </c>
      <c r="AX477">
        <v>1.62</v>
      </c>
      <c r="AY477">
        <v>-1.22</v>
      </c>
      <c r="AZ477">
        <v>2.11</v>
      </c>
      <c r="BA477" t="s">
        <v>97</v>
      </c>
      <c r="BB477" t="s">
        <v>97</v>
      </c>
      <c r="BC477" t="s">
        <v>97</v>
      </c>
      <c r="BD477">
        <v>0</v>
      </c>
      <c r="BE477" t="s">
        <v>97</v>
      </c>
      <c r="BF477" t="s">
        <v>97</v>
      </c>
      <c r="BG477" t="s">
        <v>97</v>
      </c>
      <c r="BH477" t="s">
        <v>97</v>
      </c>
      <c r="BI477">
        <v>669257</v>
      </c>
      <c r="BJ477">
        <v>669257</v>
      </c>
      <c r="BK477" t="s">
        <v>97</v>
      </c>
      <c r="BL477" t="s">
        <v>97</v>
      </c>
      <c r="BM477">
        <v>-8.6648997199999993</v>
      </c>
      <c r="BN477">
        <v>-140.8940556</v>
      </c>
      <c r="BO477">
        <v>-9.8279826910000008</v>
      </c>
      <c r="BP477">
        <v>3.6044342579999999</v>
      </c>
      <c r="BQ477">
        <v>33.361266389999997</v>
      </c>
      <c r="BR477">
        <v>-8.4501436030000008</v>
      </c>
      <c r="BS477">
        <v>3.12</v>
      </c>
      <c r="BT477">
        <v>1.5</v>
      </c>
      <c r="BU477" t="s">
        <v>97</v>
      </c>
      <c r="BV477" t="s">
        <v>97</v>
      </c>
      <c r="BW477" t="s">
        <v>97</v>
      </c>
      <c r="BX477">
        <v>97.9</v>
      </c>
      <c r="BY477">
        <v>2602</v>
      </c>
      <c r="BZ477">
        <v>7</v>
      </c>
      <c r="CA477">
        <v>813022</v>
      </c>
      <c r="CB477">
        <v>669257</v>
      </c>
      <c r="CC477">
        <v>669257</v>
      </c>
      <c r="CD477">
        <v>518692</v>
      </c>
      <c r="CE477">
        <v>669242</v>
      </c>
      <c r="CF477">
        <v>571970</v>
      </c>
      <c r="CG477">
        <v>605141</v>
      </c>
      <c r="CH477">
        <v>669743</v>
      </c>
      <c r="CI477">
        <v>571771</v>
      </c>
      <c r="CJ477">
        <v>606192</v>
      </c>
      <c r="CK477">
        <v>53.48</v>
      </c>
      <c r="CL477" t="s">
        <v>97</v>
      </c>
      <c r="CM477" t="s">
        <v>97</v>
      </c>
      <c r="CN477" t="s">
        <v>97</v>
      </c>
      <c r="CO477" t="s">
        <v>97</v>
      </c>
      <c r="CP477" t="s">
        <v>97</v>
      </c>
      <c r="CQ477" t="s">
        <v>97</v>
      </c>
      <c r="CR477" t="s">
        <v>97</v>
      </c>
      <c r="CS477">
        <v>1</v>
      </c>
      <c r="CT477">
        <v>3</v>
      </c>
      <c r="CU477">
        <v>3</v>
      </c>
      <c r="CV477">
        <v>1</v>
      </c>
      <c r="CW477">
        <v>3</v>
      </c>
      <c r="CX477">
        <v>1</v>
      </c>
      <c r="CY477">
        <v>3</v>
      </c>
      <c r="CZ477">
        <v>1</v>
      </c>
      <c r="DA477" t="s">
        <v>107</v>
      </c>
      <c r="DB477" t="s">
        <v>107</v>
      </c>
      <c r="DC477">
        <v>157</v>
      </c>
      <c r="DD477">
        <v>0</v>
      </c>
      <c r="DE477">
        <v>0.112</v>
      </c>
      <c r="DF477" t="s">
        <v>97</v>
      </c>
      <c r="DG477" t="s">
        <v>97</v>
      </c>
    </row>
    <row r="478" spans="1:111" x14ac:dyDescent="0.2">
      <c r="A478">
        <v>2025</v>
      </c>
      <c r="B478" s="1">
        <v>45959</v>
      </c>
      <c r="C478" t="s">
        <v>95</v>
      </c>
      <c r="D478">
        <v>605483</v>
      </c>
      <c r="E478">
        <v>672386</v>
      </c>
      <c r="F478">
        <v>3</v>
      </c>
      <c r="G478">
        <v>2</v>
      </c>
      <c r="H478">
        <v>6</v>
      </c>
      <c r="I478" t="s">
        <v>96</v>
      </c>
      <c r="J478">
        <v>41</v>
      </c>
      <c r="K478">
        <v>6</v>
      </c>
      <c r="L478" t="s">
        <v>119</v>
      </c>
      <c r="M478" t="s">
        <v>132</v>
      </c>
      <c r="N478" t="s">
        <v>133</v>
      </c>
      <c r="O478">
        <f t="shared" si="112"/>
        <v>0</v>
      </c>
      <c r="P478">
        <f t="shared" si="113"/>
        <v>0</v>
      </c>
      <c r="Q478">
        <f t="shared" si="114"/>
        <v>0</v>
      </c>
      <c r="R478">
        <f t="shared" si="115"/>
        <v>0</v>
      </c>
      <c r="S478">
        <f t="shared" si="116"/>
        <v>0</v>
      </c>
      <c r="T478">
        <f t="shared" si="117"/>
        <v>0</v>
      </c>
      <c r="U478">
        <f t="shared" si="118"/>
        <v>0</v>
      </c>
      <c r="V478">
        <f t="shared" si="119"/>
        <v>0</v>
      </c>
      <c r="W478">
        <f t="shared" si="120"/>
        <v>0</v>
      </c>
      <c r="X478">
        <f t="shared" si="121"/>
        <v>1</v>
      </c>
      <c r="Y478">
        <f t="shared" si="122"/>
        <v>0</v>
      </c>
      <c r="Z478">
        <f t="shared" si="123"/>
        <v>0</v>
      </c>
      <c r="AA478">
        <f t="shared" si="124"/>
        <v>0</v>
      </c>
      <c r="AB478">
        <f t="shared" si="125"/>
        <v>0</v>
      </c>
      <c r="AC478">
        <f t="shared" si="126"/>
        <v>0</v>
      </c>
      <c r="AD478">
        <f t="shared" si="127"/>
        <v>0</v>
      </c>
      <c r="AE478">
        <v>83.9</v>
      </c>
      <c r="AF478">
        <v>2.2599999999999998</v>
      </c>
      <c r="AG478">
        <v>6.21</v>
      </c>
      <c r="AH478" t="s">
        <v>120</v>
      </c>
      <c r="AI478" t="s">
        <v>97</v>
      </c>
      <c r="AJ478" t="s">
        <v>97</v>
      </c>
      <c r="AK478" t="s">
        <v>97</v>
      </c>
      <c r="AL478" t="s">
        <v>97</v>
      </c>
      <c r="AM478">
        <v>4</v>
      </c>
      <c r="AN478" t="s">
        <v>266</v>
      </c>
      <c r="AO478" t="s">
        <v>213</v>
      </c>
      <c r="AP478" t="s">
        <v>122</v>
      </c>
      <c r="AQ478" t="s">
        <v>103</v>
      </c>
      <c r="AR478" t="s">
        <v>104</v>
      </c>
      <c r="AS478" t="s">
        <v>214</v>
      </c>
      <c r="AT478" t="s">
        <v>123</v>
      </c>
      <c r="AU478">
        <v>5</v>
      </c>
      <c r="AV478" t="s">
        <v>127</v>
      </c>
      <c r="AW478">
        <v>1.21</v>
      </c>
      <c r="AX478">
        <v>0.48</v>
      </c>
      <c r="AY478">
        <v>-0.31</v>
      </c>
      <c r="AZ478">
        <v>2.06</v>
      </c>
      <c r="BA478" t="s">
        <v>97</v>
      </c>
      <c r="BB478" t="s">
        <v>97</v>
      </c>
      <c r="BC478" t="s">
        <v>97</v>
      </c>
      <c r="BD478">
        <v>0</v>
      </c>
      <c r="BE478">
        <v>94.73</v>
      </c>
      <c r="BF478">
        <v>166.28</v>
      </c>
      <c r="BG478" t="s">
        <v>97</v>
      </c>
      <c r="BH478" t="s">
        <v>97</v>
      </c>
      <c r="BI478">
        <v>669257</v>
      </c>
      <c r="BJ478">
        <v>669257</v>
      </c>
      <c r="BK478" t="s">
        <v>97</v>
      </c>
      <c r="BL478" t="s">
        <v>97</v>
      </c>
      <c r="BM478">
        <v>-8.4249860569999999</v>
      </c>
      <c r="BN478">
        <v>-121.79469640000001</v>
      </c>
      <c r="BO478">
        <v>-4.1323034129999998</v>
      </c>
      <c r="BP478">
        <v>13.707769559999999</v>
      </c>
      <c r="BQ478">
        <v>24.454778990000001</v>
      </c>
      <c r="BR478">
        <v>-26.78543823</v>
      </c>
      <c r="BS478">
        <v>3.13</v>
      </c>
      <c r="BT478">
        <v>1.5</v>
      </c>
      <c r="BU478">
        <v>41</v>
      </c>
      <c r="BV478">
        <v>108</v>
      </c>
      <c r="BW478">
        <v>-1</v>
      </c>
      <c r="BX478">
        <v>84.6</v>
      </c>
      <c r="BY478">
        <v>1763</v>
      </c>
      <c r="BZ478">
        <v>7</v>
      </c>
      <c r="CA478">
        <v>813022</v>
      </c>
      <c r="CB478">
        <v>669257</v>
      </c>
      <c r="CC478">
        <v>669257</v>
      </c>
      <c r="CD478">
        <v>518692</v>
      </c>
      <c r="CE478">
        <v>669242</v>
      </c>
      <c r="CF478">
        <v>571970</v>
      </c>
      <c r="CG478">
        <v>605141</v>
      </c>
      <c r="CH478">
        <v>669743</v>
      </c>
      <c r="CI478">
        <v>571771</v>
      </c>
      <c r="CJ478">
        <v>606192</v>
      </c>
      <c r="CK478">
        <v>53.55</v>
      </c>
      <c r="CL478">
        <v>0.52600000000000002</v>
      </c>
      <c r="CM478">
        <v>0.498</v>
      </c>
      <c r="CN478">
        <v>0</v>
      </c>
      <c r="CO478">
        <v>1</v>
      </c>
      <c r="CP478">
        <v>0</v>
      </c>
      <c r="CQ478">
        <v>0</v>
      </c>
      <c r="CR478">
        <v>4</v>
      </c>
      <c r="CS478">
        <v>1</v>
      </c>
      <c r="CT478">
        <v>3</v>
      </c>
      <c r="CU478">
        <v>3</v>
      </c>
      <c r="CV478">
        <v>1</v>
      </c>
      <c r="CW478">
        <v>3</v>
      </c>
      <c r="CX478">
        <v>1</v>
      </c>
      <c r="CY478">
        <v>3</v>
      </c>
      <c r="CZ478">
        <v>1</v>
      </c>
      <c r="DA478" t="s">
        <v>107</v>
      </c>
      <c r="DB478" t="s">
        <v>107</v>
      </c>
      <c r="DC478">
        <v>125</v>
      </c>
      <c r="DD478">
        <v>1.7000000000000001E-2</v>
      </c>
      <c r="DE478">
        <v>-0.34499999999999997</v>
      </c>
      <c r="DF478">
        <v>78.099999999999994</v>
      </c>
      <c r="DG478">
        <v>7.6</v>
      </c>
    </row>
    <row r="479" spans="1:111" x14ac:dyDescent="0.2">
      <c r="A479">
        <v>2025</v>
      </c>
      <c r="B479" s="1">
        <v>45959</v>
      </c>
      <c r="C479" t="s">
        <v>95</v>
      </c>
      <c r="D479">
        <v>605483</v>
      </c>
      <c r="E479">
        <v>662139</v>
      </c>
      <c r="F479">
        <v>0</v>
      </c>
      <c r="G479">
        <v>0</v>
      </c>
      <c r="H479">
        <v>6</v>
      </c>
      <c r="I479" t="s">
        <v>96</v>
      </c>
      <c r="J479">
        <v>42</v>
      </c>
      <c r="K479">
        <v>1</v>
      </c>
      <c r="L479" t="s">
        <v>97</v>
      </c>
      <c r="M479" t="s">
        <v>98</v>
      </c>
      <c r="N479" t="s">
        <v>99</v>
      </c>
      <c r="O479">
        <f t="shared" si="112"/>
        <v>0</v>
      </c>
      <c r="P479">
        <f t="shared" si="113"/>
        <v>0</v>
      </c>
      <c r="Q479">
        <f t="shared" si="114"/>
        <v>0</v>
      </c>
      <c r="R479">
        <f t="shared" si="115"/>
        <v>1</v>
      </c>
      <c r="S479">
        <f t="shared" si="116"/>
        <v>0</v>
      </c>
      <c r="T479">
        <f t="shared" si="117"/>
        <v>0</v>
      </c>
      <c r="U479">
        <f t="shared" si="118"/>
        <v>0</v>
      </c>
      <c r="V479">
        <f t="shared" si="119"/>
        <v>0</v>
      </c>
      <c r="W479">
        <f t="shared" si="120"/>
        <v>0</v>
      </c>
      <c r="X479">
        <f t="shared" si="121"/>
        <v>0</v>
      </c>
      <c r="Y479">
        <f t="shared" si="122"/>
        <v>0</v>
      </c>
      <c r="Z479">
        <f t="shared" si="123"/>
        <v>0</v>
      </c>
      <c r="AA479">
        <f t="shared" si="124"/>
        <v>0</v>
      </c>
      <c r="AB479">
        <f t="shared" si="125"/>
        <v>0</v>
      </c>
      <c r="AC479">
        <f t="shared" si="126"/>
        <v>0</v>
      </c>
      <c r="AD479">
        <f t="shared" si="127"/>
        <v>0</v>
      </c>
      <c r="AE479">
        <v>97.3</v>
      </c>
      <c r="AF479">
        <v>2.0299999999999998</v>
      </c>
      <c r="AG479">
        <v>6.36</v>
      </c>
      <c r="AH479" t="s">
        <v>100</v>
      </c>
      <c r="AI479" t="s">
        <v>97</v>
      </c>
      <c r="AJ479" t="s">
        <v>97</v>
      </c>
      <c r="AK479" t="s">
        <v>97</v>
      </c>
      <c r="AL479" t="s">
        <v>97</v>
      </c>
      <c r="AM479">
        <v>14</v>
      </c>
      <c r="AN479" t="s">
        <v>101</v>
      </c>
      <c r="AO479" t="s">
        <v>213</v>
      </c>
      <c r="AP479" t="s">
        <v>103</v>
      </c>
      <c r="AQ479" t="s">
        <v>103</v>
      </c>
      <c r="AR479" t="s">
        <v>104</v>
      </c>
      <c r="AS479" t="s">
        <v>214</v>
      </c>
      <c r="AT479" t="s">
        <v>106</v>
      </c>
      <c r="AU479" t="s">
        <v>97</v>
      </c>
      <c r="AV479" t="s">
        <v>97</v>
      </c>
      <c r="AW479">
        <v>0.45</v>
      </c>
      <c r="AX479">
        <v>1.53</v>
      </c>
      <c r="AY479">
        <v>1.25</v>
      </c>
      <c r="AZ479">
        <v>2.16</v>
      </c>
      <c r="BA479" t="s">
        <v>97</v>
      </c>
      <c r="BB479" t="s">
        <v>97</v>
      </c>
      <c r="BC479" t="s">
        <v>97</v>
      </c>
      <c r="BD479">
        <v>1</v>
      </c>
      <c r="BE479" t="s">
        <v>97</v>
      </c>
      <c r="BF479" t="s">
        <v>97</v>
      </c>
      <c r="BG479" t="s">
        <v>97</v>
      </c>
      <c r="BH479" t="s">
        <v>97</v>
      </c>
      <c r="BI479">
        <v>669257</v>
      </c>
      <c r="BJ479">
        <v>669257</v>
      </c>
      <c r="BK479" t="s">
        <v>97</v>
      </c>
      <c r="BL479" t="s">
        <v>97</v>
      </c>
      <c r="BM479">
        <v>-3.1586643169999999</v>
      </c>
      <c r="BN479">
        <v>-141.39860419999999</v>
      </c>
      <c r="BO479">
        <v>-9.2928346309999998</v>
      </c>
      <c r="BP479">
        <v>6.7616274860000001</v>
      </c>
      <c r="BQ479">
        <v>33.850811710000002</v>
      </c>
      <c r="BR479">
        <v>-9.7500376850000006</v>
      </c>
      <c r="BS479">
        <v>3.44</v>
      </c>
      <c r="BT479">
        <v>1.61</v>
      </c>
      <c r="BU479" t="s">
        <v>97</v>
      </c>
      <c r="BV479" t="s">
        <v>97</v>
      </c>
      <c r="BW479" t="s">
        <v>97</v>
      </c>
      <c r="BX479">
        <v>98.1</v>
      </c>
      <c r="BY479">
        <v>2471</v>
      </c>
      <c r="BZ479">
        <v>6.9</v>
      </c>
      <c r="CA479">
        <v>813022</v>
      </c>
      <c r="CB479">
        <v>669257</v>
      </c>
      <c r="CC479">
        <v>669257</v>
      </c>
      <c r="CD479">
        <v>518692</v>
      </c>
      <c r="CE479">
        <v>669242</v>
      </c>
      <c r="CF479">
        <v>571970</v>
      </c>
      <c r="CG479">
        <v>605141</v>
      </c>
      <c r="CH479">
        <v>669743</v>
      </c>
      <c r="CI479">
        <v>571771</v>
      </c>
      <c r="CJ479">
        <v>606192</v>
      </c>
      <c r="CK479">
        <v>53.58</v>
      </c>
      <c r="CL479" t="s">
        <v>97</v>
      </c>
      <c r="CM479" t="s">
        <v>97</v>
      </c>
      <c r="CN479" t="s">
        <v>97</v>
      </c>
      <c r="CO479" t="s">
        <v>97</v>
      </c>
      <c r="CP479" t="s">
        <v>97</v>
      </c>
      <c r="CQ479" t="s">
        <v>97</v>
      </c>
      <c r="CR479" t="s">
        <v>97</v>
      </c>
      <c r="CS479">
        <v>1</v>
      </c>
      <c r="CT479">
        <v>3</v>
      </c>
      <c r="CU479">
        <v>3</v>
      </c>
      <c r="CV479">
        <v>1</v>
      </c>
      <c r="CW479">
        <v>3</v>
      </c>
      <c r="CX479">
        <v>1</v>
      </c>
      <c r="CY479">
        <v>3</v>
      </c>
      <c r="CZ479">
        <v>1</v>
      </c>
      <c r="DA479" t="s">
        <v>107</v>
      </c>
      <c r="DB479" t="s">
        <v>107</v>
      </c>
      <c r="DC479">
        <v>158</v>
      </c>
      <c r="DD479">
        <v>0</v>
      </c>
      <c r="DE479">
        <v>3.9E-2</v>
      </c>
      <c r="DF479" t="s">
        <v>97</v>
      </c>
      <c r="DG479" t="s">
        <v>97</v>
      </c>
    </row>
    <row r="480" spans="1:111" x14ac:dyDescent="0.2">
      <c r="A480">
        <v>2025</v>
      </c>
      <c r="B480" s="1">
        <v>45959</v>
      </c>
      <c r="C480" t="s">
        <v>95</v>
      </c>
      <c r="D480">
        <v>605483</v>
      </c>
      <c r="E480">
        <v>662139</v>
      </c>
      <c r="F480">
        <v>1</v>
      </c>
      <c r="G480">
        <v>0</v>
      </c>
      <c r="H480">
        <v>6</v>
      </c>
      <c r="I480" t="s">
        <v>96</v>
      </c>
      <c r="J480">
        <v>42</v>
      </c>
      <c r="K480">
        <v>2</v>
      </c>
      <c r="L480" t="s">
        <v>97</v>
      </c>
      <c r="M480" t="s">
        <v>138</v>
      </c>
      <c r="N480" t="s">
        <v>139</v>
      </c>
      <c r="O480">
        <f t="shared" si="112"/>
        <v>0</v>
      </c>
      <c r="P480">
        <f t="shared" si="113"/>
        <v>0</v>
      </c>
      <c r="Q480">
        <f t="shared" si="114"/>
        <v>0</v>
      </c>
      <c r="R480">
        <f t="shared" si="115"/>
        <v>0</v>
      </c>
      <c r="S480">
        <f t="shared" si="116"/>
        <v>0</v>
      </c>
      <c r="T480">
        <f t="shared" si="117"/>
        <v>0</v>
      </c>
      <c r="U480">
        <f t="shared" si="118"/>
        <v>0</v>
      </c>
      <c r="V480">
        <f t="shared" si="119"/>
        <v>0</v>
      </c>
      <c r="W480">
        <f t="shared" si="120"/>
        <v>0</v>
      </c>
      <c r="X480">
        <f t="shared" si="121"/>
        <v>0</v>
      </c>
      <c r="Y480">
        <f t="shared" si="122"/>
        <v>0</v>
      </c>
      <c r="Z480">
        <f t="shared" si="123"/>
        <v>0</v>
      </c>
      <c r="AA480">
        <f t="shared" si="124"/>
        <v>0</v>
      </c>
      <c r="AB480">
        <f t="shared" si="125"/>
        <v>1</v>
      </c>
      <c r="AC480">
        <f t="shared" si="126"/>
        <v>0</v>
      </c>
      <c r="AD480">
        <f t="shared" si="127"/>
        <v>0</v>
      </c>
      <c r="AE480">
        <v>89.2</v>
      </c>
      <c r="AF480">
        <v>2.08</v>
      </c>
      <c r="AG480">
        <v>6.4</v>
      </c>
      <c r="AH480" t="s">
        <v>113</v>
      </c>
      <c r="AI480" t="s">
        <v>97</v>
      </c>
      <c r="AJ480" t="s">
        <v>97</v>
      </c>
      <c r="AK480" t="s">
        <v>97</v>
      </c>
      <c r="AL480" t="s">
        <v>97</v>
      </c>
      <c r="AM480">
        <v>13</v>
      </c>
      <c r="AN480" t="s">
        <v>114</v>
      </c>
      <c r="AO480" t="s">
        <v>213</v>
      </c>
      <c r="AP480" t="s">
        <v>103</v>
      </c>
      <c r="AQ480" t="s">
        <v>103</v>
      </c>
      <c r="AR480" t="s">
        <v>104</v>
      </c>
      <c r="AS480" t="s">
        <v>214</v>
      </c>
      <c r="AT480" t="s">
        <v>110</v>
      </c>
      <c r="AU480" t="s">
        <v>97</v>
      </c>
      <c r="AV480" t="s">
        <v>97</v>
      </c>
      <c r="AW480">
        <v>-0.15</v>
      </c>
      <c r="AX480">
        <v>0.71</v>
      </c>
      <c r="AY480">
        <v>-0.46</v>
      </c>
      <c r="AZ480">
        <v>1.26</v>
      </c>
      <c r="BA480" t="s">
        <v>97</v>
      </c>
      <c r="BB480" t="s">
        <v>97</v>
      </c>
      <c r="BC480" t="s">
        <v>97</v>
      </c>
      <c r="BD480">
        <v>1</v>
      </c>
      <c r="BE480" t="s">
        <v>97</v>
      </c>
      <c r="BF480" t="s">
        <v>97</v>
      </c>
      <c r="BG480" t="s">
        <v>97</v>
      </c>
      <c r="BH480" t="s">
        <v>97</v>
      </c>
      <c r="BI480">
        <v>669257</v>
      </c>
      <c r="BJ480">
        <v>669257</v>
      </c>
      <c r="BK480" t="s">
        <v>97</v>
      </c>
      <c r="BL480" t="s">
        <v>97</v>
      </c>
      <c r="BM480">
        <v>-5.952544574</v>
      </c>
      <c r="BN480">
        <v>-129.57967930000001</v>
      </c>
      <c r="BO480">
        <v>-8.1315667119999997</v>
      </c>
      <c r="BP480">
        <v>-0.44517162700000001</v>
      </c>
      <c r="BQ480">
        <v>28.00105211</v>
      </c>
      <c r="BR480">
        <v>-22.649925549999999</v>
      </c>
      <c r="BS480">
        <v>3.4</v>
      </c>
      <c r="BT480">
        <v>1.58</v>
      </c>
      <c r="BU480" t="s">
        <v>97</v>
      </c>
      <c r="BV480" t="s">
        <v>97</v>
      </c>
      <c r="BW480" t="s">
        <v>97</v>
      </c>
      <c r="BX480">
        <v>89.7</v>
      </c>
      <c r="BY480">
        <v>2404</v>
      </c>
      <c r="BZ480">
        <v>6.8</v>
      </c>
      <c r="CA480">
        <v>813022</v>
      </c>
      <c r="CB480">
        <v>669257</v>
      </c>
      <c r="CC480">
        <v>669257</v>
      </c>
      <c r="CD480">
        <v>518692</v>
      </c>
      <c r="CE480">
        <v>669242</v>
      </c>
      <c r="CF480">
        <v>571970</v>
      </c>
      <c r="CG480">
        <v>605141</v>
      </c>
      <c r="CH480">
        <v>669743</v>
      </c>
      <c r="CI480">
        <v>571771</v>
      </c>
      <c r="CJ480">
        <v>606192</v>
      </c>
      <c r="CK480">
        <v>53.71</v>
      </c>
      <c r="CL480" t="s">
        <v>97</v>
      </c>
      <c r="CM480" t="s">
        <v>97</v>
      </c>
      <c r="CN480" t="s">
        <v>97</v>
      </c>
      <c r="CO480" t="s">
        <v>97</v>
      </c>
      <c r="CP480" t="s">
        <v>97</v>
      </c>
      <c r="CQ480" t="s">
        <v>97</v>
      </c>
      <c r="CR480" t="s">
        <v>97</v>
      </c>
      <c r="CS480">
        <v>1</v>
      </c>
      <c r="CT480">
        <v>3</v>
      </c>
      <c r="CU480">
        <v>3</v>
      </c>
      <c r="CV480">
        <v>1</v>
      </c>
      <c r="CW480">
        <v>3</v>
      </c>
      <c r="CX480">
        <v>1</v>
      </c>
      <c r="CY480">
        <v>3</v>
      </c>
      <c r="CZ480">
        <v>1</v>
      </c>
      <c r="DA480" t="s">
        <v>107</v>
      </c>
      <c r="DB480" t="s">
        <v>107</v>
      </c>
      <c r="DC480">
        <v>162</v>
      </c>
      <c r="DD480">
        <v>0</v>
      </c>
      <c r="DE480">
        <v>-0.05</v>
      </c>
      <c r="DF480">
        <v>84.3</v>
      </c>
      <c r="DG480">
        <v>9.1999999999999993</v>
      </c>
    </row>
    <row r="481" spans="1:111" x14ac:dyDescent="0.2">
      <c r="A481">
        <v>2025</v>
      </c>
      <c r="B481" s="1">
        <v>45959</v>
      </c>
      <c r="C481" t="s">
        <v>95</v>
      </c>
      <c r="D481">
        <v>605483</v>
      </c>
      <c r="E481">
        <v>662139</v>
      </c>
      <c r="F481">
        <v>1</v>
      </c>
      <c r="G481">
        <v>1</v>
      </c>
      <c r="H481">
        <v>6</v>
      </c>
      <c r="I481" t="s">
        <v>96</v>
      </c>
      <c r="J481">
        <v>42</v>
      </c>
      <c r="K481">
        <v>3</v>
      </c>
      <c r="L481" t="s">
        <v>97</v>
      </c>
      <c r="M481" t="s">
        <v>98</v>
      </c>
      <c r="N481" t="s">
        <v>99</v>
      </c>
      <c r="O481">
        <f t="shared" si="112"/>
        <v>0</v>
      </c>
      <c r="P481">
        <f t="shared" si="113"/>
        <v>0</v>
      </c>
      <c r="Q481">
        <f t="shared" si="114"/>
        <v>1</v>
      </c>
      <c r="R481">
        <f t="shared" si="115"/>
        <v>0</v>
      </c>
      <c r="S481">
        <f t="shared" si="116"/>
        <v>0</v>
      </c>
      <c r="T481">
        <f t="shared" si="117"/>
        <v>0</v>
      </c>
      <c r="U481">
        <f t="shared" si="118"/>
        <v>0</v>
      </c>
      <c r="V481">
        <f t="shared" si="119"/>
        <v>0</v>
      </c>
      <c r="W481">
        <f t="shared" si="120"/>
        <v>0</v>
      </c>
      <c r="X481">
        <f t="shared" si="121"/>
        <v>0</v>
      </c>
      <c r="Y481">
        <f t="shared" si="122"/>
        <v>0</v>
      </c>
      <c r="Z481">
        <f t="shared" si="123"/>
        <v>0</v>
      </c>
      <c r="AA481">
        <f t="shared" si="124"/>
        <v>0</v>
      </c>
      <c r="AB481">
        <f t="shared" si="125"/>
        <v>0</v>
      </c>
      <c r="AC481">
        <f t="shared" si="126"/>
        <v>0</v>
      </c>
      <c r="AD481">
        <f t="shared" si="127"/>
        <v>0</v>
      </c>
      <c r="AE481">
        <v>96.7</v>
      </c>
      <c r="AF481">
        <v>2.1</v>
      </c>
      <c r="AG481">
        <v>6.4</v>
      </c>
      <c r="AH481" t="s">
        <v>100</v>
      </c>
      <c r="AI481" t="s">
        <v>97</v>
      </c>
      <c r="AJ481" t="s">
        <v>97</v>
      </c>
      <c r="AK481" t="s">
        <v>97</v>
      </c>
      <c r="AL481" t="s">
        <v>97</v>
      </c>
      <c r="AM481">
        <v>14</v>
      </c>
      <c r="AN481" t="s">
        <v>101</v>
      </c>
      <c r="AO481" t="s">
        <v>213</v>
      </c>
      <c r="AP481" t="s">
        <v>103</v>
      </c>
      <c r="AQ481" t="s">
        <v>103</v>
      </c>
      <c r="AR481" t="s">
        <v>104</v>
      </c>
      <c r="AS481" t="s">
        <v>214</v>
      </c>
      <c r="AT481" t="s">
        <v>106</v>
      </c>
      <c r="AU481" t="s">
        <v>97</v>
      </c>
      <c r="AV481" t="s">
        <v>97</v>
      </c>
      <c r="AW481">
        <v>0.49</v>
      </c>
      <c r="AX481">
        <v>1.57</v>
      </c>
      <c r="AY481">
        <v>1.52</v>
      </c>
      <c r="AZ481">
        <v>2.06</v>
      </c>
      <c r="BA481" t="s">
        <v>97</v>
      </c>
      <c r="BB481" t="s">
        <v>97</v>
      </c>
      <c r="BC481" t="s">
        <v>97</v>
      </c>
      <c r="BD481">
        <v>1</v>
      </c>
      <c r="BE481" t="s">
        <v>97</v>
      </c>
      <c r="BF481" t="s">
        <v>97</v>
      </c>
      <c r="BG481" t="s">
        <v>97</v>
      </c>
      <c r="BH481" t="s">
        <v>97</v>
      </c>
      <c r="BI481">
        <v>669257</v>
      </c>
      <c r="BJ481">
        <v>669257</v>
      </c>
      <c r="BK481" t="s">
        <v>97</v>
      </c>
      <c r="BL481" t="s">
        <v>97</v>
      </c>
      <c r="BM481">
        <v>-2.6766391779999998</v>
      </c>
      <c r="BN481">
        <v>-140.49304789999999</v>
      </c>
      <c r="BO481">
        <v>-9.6549668450000006</v>
      </c>
      <c r="BP481">
        <v>7.0511655690000001</v>
      </c>
      <c r="BQ481">
        <v>33.511308880000001</v>
      </c>
      <c r="BR481">
        <v>-9.3147533439999997</v>
      </c>
      <c r="BS481">
        <v>3.39</v>
      </c>
      <c r="BT481">
        <v>1.59</v>
      </c>
      <c r="BU481" t="s">
        <v>97</v>
      </c>
      <c r="BV481" t="s">
        <v>97</v>
      </c>
      <c r="BW481" t="s">
        <v>97</v>
      </c>
      <c r="BX481">
        <v>97.4</v>
      </c>
      <c r="BY481">
        <v>2534</v>
      </c>
      <c r="BZ481">
        <v>6.9</v>
      </c>
      <c r="CA481">
        <v>813022</v>
      </c>
      <c r="CB481">
        <v>669257</v>
      </c>
      <c r="CC481">
        <v>669257</v>
      </c>
      <c r="CD481">
        <v>518692</v>
      </c>
      <c r="CE481">
        <v>669242</v>
      </c>
      <c r="CF481">
        <v>571970</v>
      </c>
      <c r="CG481">
        <v>605141</v>
      </c>
      <c r="CH481">
        <v>669743</v>
      </c>
      <c r="CI481">
        <v>571771</v>
      </c>
      <c r="CJ481">
        <v>606192</v>
      </c>
      <c r="CK481">
        <v>53.61</v>
      </c>
      <c r="CL481" t="s">
        <v>97</v>
      </c>
      <c r="CM481" t="s">
        <v>97</v>
      </c>
      <c r="CN481" t="s">
        <v>97</v>
      </c>
      <c r="CO481" t="s">
        <v>97</v>
      </c>
      <c r="CP481" t="s">
        <v>97</v>
      </c>
      <c r="CQ481" t="s">
        <v>97</v>
      </c>
      <c r="CR481" t="s">
        <v>97</v>
      </c>
      <c r="CS481">
        <v>1</v>
      </c>
      <c r="CT481">
        <v>3</v>
      </c>
      <c r="CU481">
        <v>3</v>
      </c>
      <c r="CV481">
        <v>1</v>
      </c>
      <c r="CW481">
        <v>3</v>
      </c>
      <c r="CX481">
        <v>1</v>
      </c>
      <c r="CY481">
        <v>3</v>
      </c>
      <c r="CZ481">
        <v>1</v>
      </c>
      <c r="DA481" t="s">
        <v>107</v>
      </c>
      <c r="DB481" t="s">
        <v>107</v>
      </c>
      <c r="DC481">
        <v>157</v>
      </c>
      <c r="DD481">
        <v>0</v>
      </c>
      <c r="DE481">
        <v>5.5E-2</v>
      </c>
      <c r="DF481" t="s">
        <v>97</v>
      </c>
      <c r="DG481" t="s">
        <v>97</v>
      </c>
    </row>
    <row r="482" spans="1:111" x14ac:dyDescent="0.2">
      <c r="A482">
        <v>2025</v>
      </c>
      <c r="B482" s="1">
        <v>45959</v>
      </c>
      <c r="C482" t="s">
        <v>95</v>
      </c>
      <c r="D482">
        <v>605483</v>
      </c>
      <c r="E482">
        <v>662139</v>
      </c>
      <c r="F482">
        <v>2</v>
      </c>
      <c r="G482">
        <v>1</v>
      </c>
      <c r="H482">
        <v>6</v>
      </c>
      <c r="I482" t="s">
        <v>96</v>
      </c>
      <c r="J482">
        <v>42</v>
      </c>
      <c r="K482">
        <v>4</v>
      </c>
      <c r="L482" t="s">
        <v>97</v>
      </c>
      <c r="M482" t="s">
        <v>132</v>
      </c>
      <c r="N482" t="s">
        <v>133</v>
      </c>
      <c r="O482">
        <f t="shared" si="112"/>
        <v>0</v>
      </c>
      <c r="P482">
        <f t="shared" si="113"/>
        <v>0</v>
      </c>
      <c r="Q482">
        <f t="shared" si="114"/>
        <v>0</v>
      </c>
      <c r="R482">
        <f t="shared" si="115"/>
        <v>0</v>
      </c>
      <c r="S482">
        <f t="shared" si="116"/>
        <v>0</v>
      </c>
      <c r="T482">
        <f t="shared" si="117"/>
        <v>0</v>
      </c>
      <c r="U482">
        <f t="shared" si="118"/>
        <v>0</v>
      </c>
      <c r="V482">
        <f t="shared" si="119"/>
        <v>0</v>
      </c>
      <c r="W482">
        <f t="shared" si="120"/>
        <v>0</v>
      </c>
      <c r="X482">
        <f t="shared" si="121"/>
        <v>0</v>
      </c>
      <c r="Y482">
        <f t="shared" si="122"/>
        <v>0</v>
      </c>
      <c r="Z482">
        <f t="shared" si="123"/>
        <v>1</v>
      </c>
      <c r="AA482">
        <f t="shared" si="124"/>
        <v>0</v>
      </c>
      <c r="AB482">
        <f t="shared" si="125"/>
        <v>0</v>
      </c>
      <c r="AC482">
        <f t="shared" si="126"/>
        <v>0</v>
      </c>
      <c r="AD482">
        <f t="shared" si="127"/>
        <v>0</v>
      </c>
      <c r="AE482">
        <v>87.6</v>
      </c>
      <c r="AF482">
        <v>2.2000000000000002</v>
      </c>
      <c r="AG482">
        <v>6.23</v>
      </c>
      <c r="AH482" t="s">
        <v>100</v>
      </c>
      <c r="AI482" t="s">
        <v>97</v>
      </c>
      <c r="AJ482" t="s">
        <v>97</v>
      </c>
      <c r="AK482" t="s">
        <v>97</v>
      </c>
      <c r="AL482" t="s">
        <v>97</v>
      </c>
      <c r="AM482">
        <v>14</v>
      </c>
      <c r="AN482" t="s">
        <v>101</v>
      </c>
      <c r="AO482" t="s">
        <v>213</v>
      </c>
      <c r="AP482" t="s">
        <v>103</v>
      </c>
      <c r="AQ482" t="s">
        <v>103</v>
      </c>
      <c r="AR482" t="s">
        <v>104</v>
      </c>
      <c r="AS482" t="s">
        <v>214</v>
      </c>
      <c r="AT482" t="s">
        <v>106</v>
      </c>
      <c r="AU482" t="s">
        <v>97</v>
      </c>
      <c r="AV482" t="s">
        <v>97</v>
      </c>
      <c r="AW482">
        <v>1.21</v>
      </c>
      <c r="AX482">
        <v>1.0900000000000001</v>
      </c>
      <c r="AY482">
        <v>1.1299999999999999</v>
      </c>
      <c r="AZ482">
        <v>1.86</v>
      </c>
      <c r="BA482" t="s">
        <v>97</v>
      </c>
      <c r="BB482" t="s">
        <v>97</v>
      </c>
      <c r="BC482" t="s">
        <v>97</v>
      </c>
      <c r="BD482">
        <v>1</v>
      </c>
      <c r="BE482" t="s">
        <v>97</v>
      </c>
      <c r="BF482" t="s">
        <v>97</v>
      </c>
      <c r="BG482" t="s">
        <v>97</v>
      </c>
      <c r="BH482" t="s">
        <v>97</v>
      </c>
      <c r="BI482">
        <v>669257</v>
      </c>
      <c r="BJ482">
        <v>669257</v>
      </c>
      <c r="BK482" t="s">
        <v>97</v>
      </c>
      <c r="BL482" t="s">
        <v>97</v>
      </c>
      <c r="BM482">
        <v>-5.1252624779999998</v>
      </c>
      <c r="BN482">
        <v>-127.3463522</v>
      </c>
      <c r="BO482">
        <v>-6.7197669979999999</v>
      </c>
      <c r="BP482">
        <v>14.18593705</v>
      </c>
      <c r="BQ482">
        <v>26.417104949999999</v>
      </c>
      <c r="BR482">
        <v>-19.101992450000001</v>
      </c>
      <c r="BS482">
        <v>3.39</v>
      </c>
      <c r="BT482">
        <v>1.59</v>
      </c>
      <c r="BU482" t="s">
        <v>97</v>
      </c>
      <c r="BV482" t="s">
        <v>97</v>
      </c>
      <c r="BW482" t="s">
        <v>97</v>
      </c>
      <c r="BX482">
        <v>88.5</v>
      </c>
      <c r="BY482">
        <v>2052</v>
      </c>
      <c r="BZ482">
        <v>6.9</v>
      </c>
      <c r="CA482">
        <v>813022</v>
      </c>
      <c r="CB482">
        <v>669257</v>
      </c>
      <c r="CC482">
        <v>669257</v>
      </c>
      <c r="CD482">
        <v>518692</v>
      </c>
      <c r="CE482">
        <v>669242</v>
      </c>
      <c r="CF482">
        <v>571970</v>
      </c>
      <c r="CG482">
        <v>605141</v>
      </c>
      <c r="CH482">
        <v>669743</v>
      </c>
      <c r="CI482">
        <v>571771</v>
      </c>
      <c r="CJ482">
        <v>606192</v>
      </c>
      <c r="CK482">
        <v>53.59</v>
      </c>
      <c r="CL482" t="s">
        <v>97</v>
      </c>
      <c r="CM482" t="s">
        <v>97</v>
      </c>
      <c r="CN482" t="s">
        <v>97</v>
      </c>
      <c r="CO482" t="s">
        <v>97</v>
      </c>
      <c r="CP482" t="s">
        <v>97</v>
      </c>
      <c r="CQ482" t="s">
        <v>97</v>
      </c>
      <c r="CR482" t="s">
        <v>97</v>
      </c>
      <c r="CS482">
        <v>1</v>
      </c>
      <c r="CT482">
        <v>3</v>
      </c>
      <c r="CU482">
        <v>3</v>
      </c>
      <c r="CV482">
        <v>1</v>
      </c>
      <c r="CW482">
        <v>3</v>
      </c>
      <c r="CX482">
        <v>1</v>
      </c>
      <c r="CY482">
        <v>3</v>
      </c>
      <c r="CZ482">
        <v>1</v>
      </c>
      <c r="DA482" t="s">
        <v>107</v>
      </c>
      <c r="DB482" t="s">
        <v>107</v>
      </c>
      <c r="DC482">
        <v>132</v>
      </c>
      <c r="DD482">
        <v>0</v>
      </c>
      <c r="DE482">
        <v>0.121</v>
      </c>
      <c r="DF482" t="s">
        <v>97</v>
      </c>
      <c r="DG482" t="s">
        <v>97</v>
      </c>
    </row>
    <row r="483" spans="1:111" x14ac:dyDescent="0.2">
      <c r="A483">
        <v>2025</v>
      </c>
      <c r="B483" s="1">
        <v>45959</v>
      </c>
      <c r="C483" t="s">
        <v>95</v>
      </c>
      <c r="D483">
        <v>605483</v>
      </c>
      <c r="E483">
        <v>662139</v>
      </c>
      <c r="F483">
        <v>3</v>
      </c>
      <c r="G483">
        <v>1</v>
      </c>
      <c r="H483">
        <v>6</v>
      </c>
      <c r="I483" t="s">
        <v>96</v>
      </c>
      <c r="J483">
        <v>42</v>
      </c>
      <c r="K483">
        <v>5</v>
      </c>
      <c r="L483" t="s">
        <v>97</v>
      </c>
      <c r="M483" t="s">
        <v>138</v>
      </c>
      <c r="N483" t="s">
        <v>139</v>
      </c>
      <c r="O483">
        <f t="shared" si="112"/>
        <v>0</v>
      </c>
      <c r="P483">
        <f t="shared" si="113"/>
        <v>0</v>
      </c>
      <c r="Q483">
        <f t="shared" si="114"/>
        <v>0</v>
      </c>
      <c r="R483">
        <f t="shared" si="115"/>
        <v>0</v>
      </c>
      <c r="S483">
        <f t="shared" si="116"/>
        <v>0</v>
      </c>
      <c r="T483">
        <f t="shared" si="117"/>
        <v>0</v>
      </c>
      <c r="U483">
        <f t="shared" si="118"/>
        <v>0</v>
      </c>
      <c r="V483">
        <f t="shared" si="119"/>
        <v>0</v>
      </c>
      <c r="W483">
        <f t="shared" si="120"/>
        <v>0</v>
      </c>
      <c r="X483">
        <f t="shared" si="121"/>
        <v>0</v>
      </c>
      <c r="Y483">
        <f t="shared" si="122"/>
        <v>0</v>
      </c>
      <c r="Z483">
        <f t="shared" si="123"/>
        <v>0</v>
      </c>
      <c r="AA483">
        <f t="shared" si="124"/>
        <v>0</v>
      </c>
      <c r="AB483">
        <f t="shared" si="125"/>
        <v>0</v>
      </c>
      <c r="AC483">
        <f t="shared" si="126"/>
        <v>1</v>
      </c>
      <c r="AD483">
        <f t="shared" si="127"/>
        <v>0</v>
      </c>
      <c r="AE483">
        <v>90.1</v>
      </c>
      <c r="AF483">
        <v>1.89</v>
      </c>
      <c r="AG483">
        <v>6.47</v>
      </c>
      <c r="AH483" t="s">
        <v>108</v>
      </c>
      <c r="AI483" t="s">
        <v>97</v>
      </c>
      <c r="AJ483" t="s">
        <v>97</v>
      </c>
      <c r="AK483" t="s">
        <v>97</v>
      </c>
      <c r="AL483" t="s">
        <v>97</v>
      </c>
      <c r="AM483">
        <v>7</v>
      </c>
      <c r="AN483" t="s">
        <v>109</v>
      </c>
      <c r="AO483" t="s">
        <v>213</v>
      </c>
      <c r="AP483" t="s">
        <v>103</v>
      </c>
      <c r="AQ483" t="s">
        <v>103</v>
      </c>
      <c r="AR483" t="s">
        <v>104</v>
      </c>
      <c r="AS483" t="s">
        <v>214</v>
      </c>
      <c r="AT483" t="s">
        <v>110</v>
      </c>
      <c r="AU483" t="s">
        <v>97</v>
      </c>
      <c r="AV483" t="s">
        <v>97</v>
      </c>
      <c r="AW483">
        <v>-0.26</v>
      </c>
      <c r="AX483">
        <v>0.76</v>
      </c>
      <c r="AY483">
        <v>-0.6</v>
      </c>
      <c r="AZ483">
        <v>1.75</v>
      </c>
      <c r="BA483" t="s">
        <v>97</v>
      </c>
      <c r="BB483" t="s">
        <v>97</v>
      </c>
      <c r="BC483" t="s">
        <v>97</v>
      </c>
      <c r="BD483">
        <v>1</v>
      </c>
      <c r="BE483" t="s">
        <v>97</v>
      </c>
      <c r="BF483" t="s">
        <v>97</v>
      </c>
      <c r="BG483" t="s">
        <v>97</v>
      </c>
      <c r="BH483" t="s">
        <v>97</v>
      </c>
      <c r="BI483">
        <v>669257</v>
      </c>
      <c r="BJ483">
        <v>669257</v>
      </c>
      <c r="BK483" t="s">
        <v>97</v>
      </c>
      <c r="BL483" t="s">
        <v>97</v>
      </c>
      <c r="BM483">
        <v>-5.6689111690000002</v>
      </c>
      <c r="BN483">
        <v>-131.02424139999999</v>
      </c>
      <c r="BO483">
        <v>-7.4076320559999997</v>
      </c>
      <c r="BP483">
        <v>-1.814125736</v>
      </c>
      <c r="BQ483">
        <v>28.137230880000001</v>
      </c>
      <c r="BR483">
        <v>-22.008761</v>
      </c>
      <c r="BS483">
        <v>3.36</v>
      </c>
      <c r="BT483">
        <v>1.59</v>
      </c>
      <c r="BU483" t="s">
        <v>97</v>
      </c>
      <c r="BV483" t="s">
        <v>97</v>
      </c>
      <c r="BW483" t="s">
        <v>97</v>
      </c>
      <c r="BX483">
        <v>90.7</v>
      </c>
      <c r="BY483">
        <v>2450</v>
      </c>
      <c r="BZ483">
        <v>6.7</v>
      </c>
      <c r="CA483">
        <v>813022</v>
      </c>
      <c r="CB483">
        <v>669257</v>
      </c>
      <c r="CC483">
        <v>669257</v>
      </c>
      <c r="CD483">
        <v>518692</v>
      </c>
      <c r="CE483">
        <v>669242</v>
      </c>
      <c r="CF483">
        <v>571970</v>
      </c>
      <c r="CG483">
        <v>605141</v>
      </c>
      <c r="CH483">
        <v>669743</v>
      </c>
      <c r="CI483">
        <v>571771</v>
      </c>
      <c r="CJ483">
        <v>606192</v>
      </c>
      <c r="CK483">
        <v>53.76</v>
      </c>
      <c r="CL483" t="s">
        <v>97</v>
      </c>
      <c r="CM483" t="s">
        <v>97</v>
      </c>
      <c r="CN483" t="s">
        <v>97</v>
      </c>
      <c r="CO483" t="s">
        <v>97</v>
      </c>
      <c r="CP483" t="s">
        <v>97</v>
      </c>
      <c r="CQ483" t="s">
        <v>97</v>
      </c>
      <c r="CR483" t="s">
        <v>97</v>
      </c>
      <c r="CS483">
        <v>1</v>
      </c>
      <c r="CT483">
        <v>3</v>
      </c>
      <c r="CU483">
        <v>3</v>
      </c>
      <c r="CV483">
        <v>1</v>
      </c>
      <c r="CW483">
        <v>3</v>
      </c>
      <c r="CX483">
        <v>1</v>
      </c>
      <c r="CY483">
        <v>3</v>
      </c>
      <c r="CZ483">
        <v>1</v>
      </c>
      <c r="DA483" t="s">
        <v>107</v>
      </c>
      <c r="DB483" t="s">
        <v>107</v>
      </c>
      <c r="DC483">
        <v>171</v>
      </c>
      <c r="DD483">
        <v>0</v>
      </c>
      <c r="DE483">
        <v>-8.6999999999999994E-2</v>
      </c>
      <c r="DF483" t="s">
        <v>97</v>
      </c>
      <c r="DG483" t="s">
        <v>97</v>
      </c>
    </row>
    <row r="484" spans="1:111" x14ac:dyDescent="0.2">
      <c r="A484">
        <v>2025</v>
      </c>
      <c r="B484" s="1">
        <v>45959</v>
      </c>
      <c r="C484" t="s">
        <v>95</v>
      </c>
      <c r="D484">
        <v>605483</v>
      </c>
      <c r="E484">
        <v>662139</v>
      </c>
      <c r="F484">
        <v>3</v>
      </c>
      <c r="G484">
        <v>2</v>
      </c>
      <c r="H484">
        <v>6</v>
      </c>
      <c r="I484" t="s">
        <v>96</v>
      </c>
      <c r="J484">
        <v>42</v>
      </c>
      <c r="K484">
        <v>6</v>
      </c>
      <c r="L484" t="s">
        <v>119</v>
      </c>
      <c r="M484" t="s">
        <v>111</v>
      </c>
      <c r="N484" t="s">
        <v>112</v>
      </c>
      <c r="O484">
        <f t="shared" si="112"/>
        <v>0</v>
      </c>
      <c r="P484">
        <f t="shared" si="113"/>
        <v>0</v>
      </c>
      <c r="Q484">
        <f t="shared" si="114"/>
        <v>0</v>
      </c>
      <c r="R484">
        <f t="shared" si="115"/>
        <v>0</v>
      </c>
      <c r="S484">
        <f t="shared" si="116"/>
        <v>0</v>
      </c>
      <c r="T484">
        <f t="shared" si="117"/>
        <v>0</v>
      </c>
      <c r="U484">
        <f t="shared" si="118"/>
        <v>1</v>
      </c>
      <c r="V484">
        <f t="shared" si="119"/>
        <v>0</v>
      </c>
      <c r="W484">
        <f t="shared" si="120"/>
        <v>0</v>
      </c>
      <c r="X484">
        <f t="shared" si="121"/>
        <v>0</v>
      </c>
      <c r="Y484">
        <f t="shared" si="122"/>
        <v>0</v>
      </c>
      <c r="Z484">
        <f t="shared" si="123"/>
        <v>0</v>
      </c>
      <c r="AA484">
        <f t="shared" si="124"/>
        <v>0</v>
      </c>
      <c r="AB484">
        <f t="shared" si="125"/>
        <v>0</v>
      </c>
      <c r="AC484">
        <f t="shared" si="126"/>
        <v>0</v>
      </c>
      <c r="AD484">
        <f t="shared" si="127"/>
        <v>0</v>
      </c>
      <c r="AE484">
        <v>80</v>
      </c>
      <c r="AF484">
        <v>1.84</v>
      </c>
      <c r="AG484">
        <v>6.51</v>
      </c>
      <c r="AH484" t="s">
        <v>120</v>
      </c>
      <c r="AI484" t="s">
        <v>97</v>
      </c>
      <c r="AJ484" t="s">
        <v>97</v>
      </c>
      <c r="AK484" t="s">
        <v>97</v>
      </c>
      <c r="AL484" t="s">
        <v>97</v>
      </c>
      <c r="AM484">
        <v>8</v>
      </c>
      <c r="AN484" t="s">
        <v>267</v>
      </c>
      <c r="AO484" t="s">
        <v>213</v>
      </c>
      <c r="AP484" t="s">
        <v>103</v>
      </c>
      <c r="AQ484" t="s">
        <v>103</v>
      </c>
      <c r="AR484" t="s">
        <v>104</v>
      </c>
      <c r="AS484" t="s">
        <v>214</v>
      </c>
      <c r="AT484" t="s">
        <v>123</v>
      </c>
      <c r="AU484">
        <v>9</v>
      </c>
      <c r="AV484" t="s">
        <v>158</v>
      </c>
      <c r="AW484">
        <v>-1.1399999999999999</v>
      </c>
      <c r="AX484">
        <v>-0.83</v>
      </c>
      <c r="AY484">
        <v>-0.02</v>
      </c>
      <c r="AZ484">
        <v>1.61</v>
      </c>
      <c r="BA484" t="s">
        <v>97</v>
      </c>
      <c r="BB484" t="s">
        <v>97</v>
      </c>
      <c r="BC484" t="s">
        <v>97</v>
      </c>
      <c r="BD484">
        <v>1</v>
      </c>
      <c r="BE484">
        <v>189.53</v>
      </c>
      <c r="BF484">
        <v>98.56</v>
      </c>
      <c r="BG484" t="s">
        <v>97</v>
      </c>
      <c r="BH484" t="s">
        <v>97</v>
      </c>
      <c r="BI484">
        <v>669257</v>
      </c>
      <c r="BJ484">
        <v>669257</v>
      </c>
      <c r="BK484" t="s">
        <v>97</v>
      </c>
      <c r="BL484" t="s">
        <v>97</v>
      </c>
      <c r="BM484">
        <v>-1.968201224</v>
      </c>
      <c r="BN484">
        <v>-116.4315067</v>
      </c>
      <c r="BO484">
        <v>-2.4378740379999999</v>
      </c>
      <c r="BP484">
        <v>-9.8225989889999994</v>
      </c>
      <c r="BQ484">
        <v>25.113739729999999</v>
      </c>
      <c r="BR484">
        <v>-39.361329210000001</v>
      </c>
      <c r="BS484">
        <v>3.4</v>
      </c>
      <c r="BT484">
        <v>1.58</v>
      </c>
      <c r="BU484">
        <v>293</v>
      </c>
      <c r="BV484">
        <v>80.8</v>
      </c>
      <c r="BW484">
        <v>29</v>
      </c>
      <c r="BX484">
        <v>80.2</v>
      </c>
      <c r="BY484">
        <v>2769</v>
      </c>
      <c r="BZ484">
        <v>6.8</v>
      </c>
      <c r="CA484">
        <v>813022</v>
      </c>
      <c r="CB484">
        <v>669257</v>
      </c>
      <c r="CC484">
        <v>669257</v>
      </c>
      <c r="CD484">
        <v>518692</v>
      </c>
      <c r="CE484">
        <v>669242</v>
      </c>
      <c r="CF484">
        <v>571970</v>
      </c>
      <c r="CG484">
        <v>605141</v>
      </c>
      <c r="CH484">
        <v>669743</v>
      </c>
      <c r="CI484">
        <v>571771</v>
      </c>
      <c r="CJ484">
        <v>606192</v>
      </c>
      <c r="CK484">
        <v>53.71</v>
      </c>
      <c r="CL484">
        <v>0.10299999999999999</v>
      </c>
      <c r="CM484">
        <v>0.105</v>
      </c>
      <c r="CN484">
        <v>0</v>
      </c>
      <c r="CO484">
        <v>1</v>
      </c>
      <c r="CP484">
        <v>0</v>
      </c>
      <c r="CQ484">
        <v>0</v>
      </c>
      <c r="CR484">
        <v>3</v>
      </c>
      <c r="CS484">
        <v>1</v>
      </c>
      <c r="CT484">
        <v>3</v>
      </c>
      <c r="CU484">
        <v>3</v>
      </c>
      <c r="CV484">
        <v>1</v>
      </c>
      <c r="CW484">
        <v>3</v>
      </c>
      <c r="CX484">
        <v>1</v>
      </c>
      <c r="CY484">
        <v>3</v>
      </c>
      <c r="CZ484">
        <v>1</v>
      </c>
      <c r="DA484" t="s">
        <v>115</v>
      </c>
      <c r="DB484" t="s">
        <v>107</v>
      </c>
      <c r="DC484">
        <v>331</v>
      </c>
      <c r="DD484">
        <v>1.2E-2</v>
      </c>
      <c r="DE484">
        <v>-0.33200000000000002</v>
      </c>
      <c r="DF484">
        <v>73.7</v>
      </c>
      <c r="DG484">
        <v>8.6</v>
      </c>
    </row>
    <row r="485" spans="1:111" x14ac:dyDescent="0.2">
      <c r="A485">
        <v>2025</v>
      </c>
      <c r="B485" s="1">
        <v>45959</v>
      </c>
      <c r="C485" t="s">
        <v>95</v>
      </c>
      <c r="D485">
        <v>605483</v>
      </c>
      <c r="E485">
        <v>676391</v>
      </c>
      <c r="F485">
        <v>0</v>
      </c>
      <c r="G485">
        <v>0</v>
      </c>
      <c r="H485">
        <v>6</v>
      </c>
      <c r="I485" t="s">
        <v>96</v>
      </c>
      <c r="J485">
        <v>43</v>
      </c>
      <c r="K485">
        <v>1</v>
      </c>
      <c r="L485" t="s">
        <v>97</v>
      </c>
      <c r="M485" t="s">
        <v>132</v>
      </c>
      <c r="N485" t="s">
        <v>133</v>
      </c>
      <c r="O485">
        <f t="shared" si="112"/>
        <v>0</v>
      </c>
      <c r="P485">
        <f t="shared" si="113"/>
        <v>0</v>
      </c>
      <c r="Q485">
        <f t="shared" si="114"/>
        <v>0</v>
      </c>
      <c r="R485">
        <f t="shared" si="115"/>
        <v>0</v>
      </c>
      <c r="S485">
        <f t="shared" si="116"/>
        <v>0</v>
      </c>
      <c r="T485">
        <f t="shared" si="117"/>
        <v>0</v>
      </c>
      <c r="U485">
        <f t="shared" si="118"/>
        <v>0</v>
      </c>
      <c r="V485">
        <f t="shared" si="119"/>
        <v>0</v>
      </c>
      <c r="W485">
        <f t="shared" si="120"/>
        <v>0</v>
      </c>
      <c r="X485">
        <f t="shared" si="121"/>
        <v>1</v>
      </c>
      <c r="Y485">
        <f t="shared" si="122"/>
        <v>0</v>
      </c>
      <c r="Z485">
        <f t="shared" si="123"/>
        <v>0</v>
      </c>
      <c r="AA485">
        <f t="shared" si="124"/>
        <v>0</v>
      </c>
      <c r="AB485">
        <f t="shared" si="125"/>
        <v>0</v>
      </c>
      <c r="AC485">
        <f t="shared" si="126"/>
        <v>0</v>
      </c>
      <c r="AD485">
        <f t="shared" si="127"/>
        <v>0</v>
      </c>
      <c r="AE485">
        <v>84.2</v>
      </c>
      <c r="AF485">
        <v>2.2200000000000002</v>
      </c>
      <c r="AG485">
        <v>6.24</v>
      </c>
      <c r="AH485" t="s">
        <v>113</v>
      </c>
      <c r="AI485" t="s">
        <v>97</v>
      </c>
      <c r="AJ485" t="s">
        <v>97</v>
      </c>
      <c r="AK485" t="s">
        <v>97</v>
      </c>
      <c r="AL485" t="s">
        <v>97</v>
      </c>
      <c r="AM485">
        <v>9</v>
      </c>
      <c r="AN485" t="s">
        <v>114</v>
      </c>
      <c r="AO485" t="s">
        <v>213</v>
      </c>
      <c r="AP485" t="s">
        <v>122</v>
      </c>
      <c r="AQ485" t="s">
        <v>103</v>
      </c>
      <c r="AR485" t="s">
        <v>104</v>
      </c>
      <c r="AS485" t="s">
        <v>214</v>
      </c>
      <c r="AT485" t="s">
        <v>110</v>
      </c>
      <c r="AU485" t="s">
        <v>97</v>
      </c>
      <c r="AV485" t="s">
        <v>97</v>
      </c>
      <c r="AW485">
        <v>1.32</v>
      </c>
      <c r="AX485">
        <v>0.4</v>
      </c>
      <c r="AY485">
        <v>0.56999999999999995</v>
      </c>
      <c r="AZ485">
        <v>1.87</v>
      </c>
      <c r="BA485" t="s">
        <v>97</v>
      </c>
      <c r="BB485" t="s">
        <v>97</v>
      </c>
      <c r="BC485" t="s">
        <v>97</v>
      </c>
      <c r="BD485">
        <v>2</v>
      </c>
      <c r="BE485" t="s">
        <v>97</v>
      </c>
      <c r="BF485" t="s">
        <v>97</v>
      </c>
      <c r="BG485" t="s">
        <v>97</v>
      </c>
      <c r="BH485" t="s">
        <v>97</v>
      </c>
      <c r="BI485">
        <v>669257</v>
      </c>
      <c r="BJ485">
        <v>669257</v>
      </c>
      <c r="BK485" t="s">
        <v>97</v>
      </c>
      <c r="BL485" t="s">
        <v>97</v>
      </c>
      <c r="BM485">
        <v>-6.5040513349999998</v>
      </c>
      <c r="BN485">
        <v>-122.4654488</v>
      </c>
      <c r="BO485">
        <v>-4.5737692000000001</v>
      </c>
      <c r="BP485">
        <v>14.526480129999999</v>
      </c>
      <c r="BQ485">
        <v>24.44968652</v>
      </c>
      <c r="BR485">
        <v>-27.4384145</v>
      </c>
      <c r="BS485">
        <v>3.35</v>
      </c>
      <c r="BT485">
        <v>1.55</v>
      </c>
      <c r="BU485" t="s">
        <v>97</v>
      </c>
      <c r="BV485" t="s">
        <v>97</v>
      </c>
      <c r="BW485" t="s">
        <v>97</v>
      </c>
      <c r="BX485">
        <v>84.9</v>
      </c>
      <c r="BY485">
        <v>1647</v>
      </c>
      <c r="BZ485">
        <v>6.8</v>
      </c>
      <c r="CA485">
        <v>813022</v>
      </c>
      <c r="CB485">
        <v>669257</v>
      </c>
      <c r="CC485">
        <v>669257</v>
      </c>
      <c r="CD485">
        <v>518692</v>
      </c>
      <c r="CE485">
        <v>669242</v>
      </c>
      <c r="CF485">
        <v>571970</v>
      </c>
      <c r="CG485">
        <v>605141</v>
      </c>
      <c r="CH485">
        <v>669743</v>
      </c>
      <c r="CI485">
        <v>571771</v>
      </c>
      <c r="CJ485">
        <v>606192</v>
      </c>
      <c r="CK485">
        <v>53.7</v>
      </c>
      <c r="CL485" t="s">
        <v>97</v>
      </c>
      <c r="CM485" t="s">
        <v>97</v>
      </c>
      <c r="CN485" t="s">
        <v>97</v>
      </c>
      <c r="CO485" t="s">
        <v>97</v>
      </c>
      <c r="CP485" t="s">
        <v>97</v>
      </c>
      <c r="CQ485" t="s">
        <v>97</v>
      </c>
      <c r="CR485" t="s">
        <v>97</v>
      </c>
      <c r="CS485">
        <v>1</v>
      </c>
      <c r="CT485">
        <v>3</v>
      </c>
      <c r="CU485">
        <v>3</v>
      </c>
      <c r="CV485">
        <v>1</v>
      </c>
      <c r="CW485">
        <v>3</v>
      </c>
      <c r="CX485">
        <v>1</v>
      </c>
      <c r="CY485">
        <v>3</v>
      </c>
      <c r="CZ485">
        <v>1</v>
      </c>
      <c r="DA485" t="s">
        <v>107</v>
      </c>
      <c r="DB485" t="s">
        <v>107</v>
      </c>
      <c r="DC485">
        <v>131</v>
      </c>
      <c r="DD485">
        <v>0</v>
      </c>
      <c r="DE485">
        <v>-4.2999999999999997E-2</v>
      </c>
      <c r="DF485">
        <v>66.900000000000006</v>
      </c>
      <c r="DG485">
        <v>8.1</v>
      </c>
    </row>
    <row r="486" spans="1:111" x14ac:dyDescent="0.2">
      <c r="A486">
        <v>2025</v>
      </c>
      <c r="B486" s="1">
        <v>45959</v>
      </c>
      <c r="C486" t="s">
        <v>95</v>
      </c>
      <c r="D486">
        <v>605483</v>
      </c>
      <c r="E486">
        <v>676391</v>
      </c>
      <c r="F486">
        <v>0</v>
      </c>
      <c r="G486">
        <v>1</v>
      </c>
      <c r="H486">
        <v>6</v>
      </c>
      <c r="I486" t="s">
        <v>96</v>
      </c>
      <c r="J486">
        <v>43</v>
      </c>
      <c r="K486">
        <v>2</v>
      </c>
      <c r="L486" t="s">
        <v>119</v>
      </c>
      <c r="M486" t="s">
        <v>98</v>
      </c>
      <c r="N486" t="s">
        <v>99</v>
      </c>
      <c r="O486">
        <f t="shared" si="112"/>
        <v>1</v>
      </c>
      <c r="P486">
        <f t="shared" si="113"/>
        <v>0</v>
      </c>
      <c r="Q486">
        <f t="shared" si="114"/>
        <v>0</v>
      </c>
      <c r="R486">
        <f t="shared" si="115"/>
        <v>0</v>
      </c>
      <c r="S486">
        <f t="shared" si="116"/>
        <v>0</v>
      </c>
      <c r="T486">
        <f t="shared" si="117"/>
        <v>0</v>
      </c>
      <c r="U486">
        <f t="shared" si="118"/>
        <v>0</v>
      </c>
      <c r="V486">
        <f t="shared" si="119"/>
        <v>0</v>
      </c>
      <c r="W486">
        <f t="shared" si="120"/>
        <v>0</v>
      </c>
      <c r="X486">
        <f t="shared" si="121"/>
        <v>0</v>
      </c>
      <c r="Y486">
        <f t="shared" si="122"/>
        <v>0</v>
      </c>
      <c r="Z486">
        <f t="shared" si="123"/>
        <v>0</v>
      </c>
      <c r="AA486">
        <f t="shared" si="124"/>
        <v>0</v>
      </c>
      <c r="AB486">
        <f t="shared" si="125"/>
        <v>0</v>
      </c>
      <c r="AC486">
        <f t="shared" si="126"/>
        <v>0</v>
      </c>
      <c r="AD486">
        <f t="shared" si="127"/>
        <v>0</v>
      </c>
      <c r="AE486">
        <v>97.3</v>
      </c>
      <c r="AF486">
        <v>2.0299999999999998</v>
      </c>
      <c r="AG486">
        <v>6.39</v>
      </c>
      <c r="AH486" t="s">
        <v>120</v>
      </c>
      <c r="AI486" t="s">
        <v>97</v>
      </c>
      <c r="AJ486" t="s">
        <v>97</v>
      </c>
      <c r="AK486" t="s">
        <v>97</v>
      </c>
      <c r="AL486" t="s">
        <v>97</v>
      </c>
      <c r="AM486">
        <v>3</v>
      </c>
      <c r="AN486" t="s">
        <v>268</v>
      </c>
      <c r="AO486" t="s">
        <v>213</v>
      </c>
      <c r="AP486" t="s">
        <v>122</v>
      </c>
      <c r="AQ486" t="s">
        <v>103</v>
      </c>
      <c r="AR486" t="s">
        <v>104</v>
      </c>
      <c r="AS486" t="s">
        <v>214</v>
      </c>
      <c r="AT486" t="s">
        <v>123</v>
      </c>
      <c r="AU486">
        <v>3</v>
      </c>
      <c r="AV486" t="s">
        <v>127</v>
      </c>
      <c r="AW486">
        <v>0.51</v>
      </c>
      <c r="AX486">
        <v>1.41</v>
      </c>
      <c r="AY486">
        <v>0.28999999999999998</v>
      </c>
      <c r="AZ486">
        <v>3</v>
      </c>
      <c r="BA486" t="s">
        <v>97</v>
      </c>
      <c r="BB486" t="s">
        <v>97</v>
      </c>
      <c r="BC486" t="s">
        <v>97</v>
      </c>
      <c r="BD486">
        <v>2</v>
      </c>
      <c r="BE486">
        <v>161.13999999999999</v>
      </c>
      <c r="BF486">
        <v>166.28</v>
      </c>
      <c r="BG486" t="s">
        <v>97</v>
      </c>
      <c r="BH486" t="s">
        <v>97</v>
      </c>
      <c r="BI486">
        <v>669257</v>
      </c>
      <c r="BJ486">
        <v>669257</v>
      </c>
      <c r="BK486" t="s">
        <v>97</v>
      </c>
      <c r="BL486" t="s">
        <v>97</v>
      </c>
      <c r="BM486">
        <v>-5.8853576920000004</v>
      </c>
      <c r="BN486">
        <v>-141.51973810000001</v>
      </c>
      <c r="BO486">
        <v>-6.8666973000000002</v>
      </c>
      <c r="BP486">
        <v>8.1469060649999996</v>
      </c>
      <c r="BQ486">
        <v>32.39739299</v>
      </c>
      <c r="BR486">
        <v>-11.86001372</v>
      </c>
      <c r="BS486">
        <v>3.35</v>
      </c>
      <c r="BT486">
        <v>1.55</v>
      </c>
      <c r="BU486">
        <v>8</v>
      </c>
      <c r="BV486">
        <v>97.6</v>
      </c>
      <c r="BW486">
        <v>-21</v>
      </c>
      <c r="BX486">
        <v>98.1</v>
      </c>
      <c r="BY486">
        <v>2481</v>
      </c>
      <c r="BZ486">
        <v>6.8</v>
      </c>
      <c r="CA486">
        <v>813022</v>
      </c>
      <c r="CB486">
        <v>669257</v>
      </c>
      <c r="CC486">
        <v>669257</v>
      </c>
      <c r="CD486">
        <v>518692</v>
      </c>
      <c r="CE486">
        <v>669242</v>
      </c>
      <c r="CF486">
        <v>571970</v>
      </c>
      <c r="CG486">
        <v>605141</v>
      </c>
      <c r="CH486">
        <v>669743</v>
      </c>
      <c r="CI486">
        <v>571771</v>
      </c>
      <c r="CJ486">
        <v>606192</v>
      </c>
      <c r="CK486">
        <v>53.71</v>
      </c>
      <c r="CL486">
        <v>0.13400000000000001</v>
      </c>
      <c r="CM486">
        <v>0.14199999999999999</v>
      </c>
      <c r="CN486">
        <v>0</v>
      </c>
      <c r="CO486">
        <v>1</v>
      </c>
      <c r="CP486">
        <v>0</v>
      </c>
      <c r="CQ486">
        <v>0</v>
      </c>
      <c r="CR486">
        <v>2</v>
      </c>
      <c r="CS486">
        <v>1</v>
      </c>
      <c r="CT486">
        <v>3</v>
      </c>
      <c r="CU486">
        <v>3</v>
      </c>
      <c r="CV486">
        <v>1</v>
      </c>
      <c r="CW486">
        <v>3</v>
      </c>
      <c r="CX486">
        <v>1</v>
      </c>
      <c r="CY486">
        <v>3</v>
      </c>
      <c r="CZ486">
        <v>1</v>
      </c>
      <c r="DA486" t="s">
        <v>107</v>
      </c>
      <c r="DB486" t="s">
        <v>107</v>
      </c>
      <c r="DC486">
        <v>153</v>
      </c>
      <c r="DD486">
        <v>8.0000000000000002E-3</v>
      </c>
      <c r="DE486">
        <v>-0.217</v>
      </c>
      <c r="DF486">
        <v>62.6</v>
      </c>
      <c r="DG486">
        <v>5.4</v>
      </c>
    </row>
    <row r="487" spans="1:111" x14ac:dyDescent="0.2">
      <c r="A487">
        <v>2025</v>
      </c>
      <c r="B487" s="1">
        <v>45959</v>
      </c>
      <c r="C487" t="s">
        <v>95</v>
      </c>
      <c r="D487">
        <v>605483</v>
      </c>
      <c r="E487">
        <v>680718</v>
      </c>
      <c r="F487">
        <v>0</v>
      </c>
      <c r="G487">
        <v>0</v>
      </c>
      <c r="H487">
        <v>7</v>
      </c>
      <c r="I487" t="s">
        <v>96</v>
      </c>
      <c r="J487">
        <v>47</v>
      </c>
      <c r="K487">
        <v>1</v>
      </c>
      <c r="L487" t="s">
        <v>97</v>
      </c>
      <c r="M487" t="s">
        <v>98</v>
      </c>
      <c r="N487" t="s">
        <v>99</v>
      </c>
      <c r="O487">
        <f t="shared" si="112"/>
        <v>0</v>
      </c>
      <c r="P487">
        <f t="shared" si="113"/>
        <v>0</v>
      </c>
      <c r="Q487">
        <f t="shared" si="114"/>
        <v>0</v>
      </c>
      <c r="R487">
        <f t="shared" si="115"/>
        <v>1</v>
      </c>
      <c r="S487">
        <f t="shared" si="116"/>
        <v>0</v>
      </c>
      <c r="T487">
        <f t="shared" si="117"/>
        <v>0</v>
      </c>
      <c r="U487">
        <f t="shared" si="118"/>
        <v>0</v>
      </c>
      <c r="V487">
        <f t="shared" si="119"/>
        <v>0</v>
      </c>
      <c r="W487">
        <f t="shared" si="120"/>
        <v>0</v>
      </c>
      <c r="X487">
        <f t="shared" si="121"/>
        <v>0</v>
      </c>
      <c r="Y487">
        <f t="shared" si="122"/>
        <v>0</v>
      </c>
      <c r="Z487">
        <f t="shared" si="123"/>
        <v>0</v>
      </c>
      <c r="AA487">
        <f t="shared" si="124"/>
        <v>0</v>
      </c>
      <c r="AB487">
        <f t="shared" si="125"/>
        <v>0</v>
      </c>
      <c r="AC487">
        <f t="shared" si="126"/>
        <v>0</v>
      </c>
      <c r="AD487">
        <f t="shared" si="127"/>
        <v>0</v>
      </c>
      <c r="AE487">
        <v>94.8</v>
      </c>
      <c r="AF487">
        <v>2.11</v>
      </c>
      <c r="AG487">
        <v>6.37</v>
      </c>
      <c r="AH487" t="s">
        <v>100</v>
      </c>
      <c r="AI487" t="s">
        <v>97</v>
      </c>
      <c r="AJ487" t="s">
        <v>97</v>
      </c>
      <c r="AK487" t="s">
        <v>97</v>
      </c>
      <c r="AL487" t="s">
        <v>97</v>
      </c>
      <c r="AM487">
        <v>14</v>
      </c>
      <c r="AN487" t="s">
        <v>101</v>
      </c>
      <c r="AO487" t="s">
        <v>213</v>
      </c>
      <c r="AP487" t="s">
        <v>103</v>
      </c>
      <c r="AQ487" t="s">
        <v>103</v>
      </c>
      <c r="AR487" t="s">
        <v>104</v>
      </c>
      <c r="AS487" t="s">
        <v>214</v>
      </c>
      <c r="AT487" t="s">
        <v>106</v>
      </c>
      <c r="AU487" t="s">
        <v>97</v>
      </c>
      <c r="AV487" t="s">
        <v>97</v>
      </c>
      <c r="AW487">
        <v>0.4</v>
      </c>
      <c r="AX487">
        <v>1.52</v>
      </c>
      <c r="AY487">
        <v>1.05</v>
      </c>
      <c r="AZ487">
        <v>1.66</v>
      </c>
      <c r="BA487" t="s">
        <v>97</v>
      </c>
      <c r="BB487" t="s">
        <v>97</v>
      </c>
      <c r="BC487" t="s">
        <v>97</v>
      </c>
      <c r="BD487">
        <v>0</v>
      </c>
      <c r="BE487" t="s">
        <v>97</v>
      </c>
      <c r="BF487" t="s">
        <v>97</v>
      </c>
      <c r="BG487" t="s">
        <v>97</v>
      </c>
      <c r="BH487" t="s">
        <v>97</v>
      </c>
      <c r="BI487">
        <v>669257</v>
      </c>
      <c r="BJ487">
        <v>669257</v>
      </c>
      <c r="BK487" t="s">
        <v>97</v>
      </c>
      <c r="BL487" t="s">
        <v>97</v>
      </c>
      <c r="BM487">
        <v>-3.7137754489999999</v>
      </c>
      <c r="BN487">
        <v>-137.60087139999999</v>
      </c>
      <c r="BO487">
        <v>-10.08133404</v>
      </c>
      <c r="BP487">
        <v>5.9561708270000002</v>
      </c>
      <c r="BQ487">
        <v>32.748898930000003</v>
      </c>
      <c r="BR487">
        <v>-10.8177798</v>
      </c>
      <c r="BS487">
        <v>3.69</v>
      </c>
      <c r="BT487">
        <v>1.74</v>
      </c>
      <c r="BU487" t="s">
        <v>97</v>
      </c>
      <c r="BV487" t="s">
        <v>97</v>
      </c>
      <c r="BW487" t="s">
        <v>97</v>
      </c>
      <c r="BX487">
        <v>95.6</v>
      </c>
      <c r="BY487">
        <v>2346</v>
      </c>
      <c r="BZ487">
        <v>7</v>
      </c>
      <c r="CA487">
        <v>813022</v>
      </c>
      <c r="CB487">
        <v>669257</v>
      </c>
      <c r="CC487">
        <v>669257</v>
      </c>
      <c r="CD487">
        <v>518692</v>
      </c>
      <c r="CE487">
        <v>669242</v>
      </c>
      <c r="CF487">
        <v>571970</v>
      </c>
      <c r="CG487">
        <v>605141</v>
      </c>
      <c r="CH487">
        <v>669743</v>
      </c>
      <c r="CI487">
        <v>571771</v>
      </c>
      <c r="CJ487">
        <v>606192</v>
      </c>
      <c r="CK487">
        <v>53.46</v>
      </c>
      <c r="CL487" t="s">
        <v>97</v>
      </c>
      <c r="CM487" t="s">
        <v>97</v>
      </c>
      <c r="CN487" t="s">
        <v>97</v>
      </c>
      <c r="CO487" t="s">
        <v>97</v>
      </c>
      <c r="CP487" t="s">
        <v>97</v>
      </c>
      <c r="CQ487" t="s">
        <v>97</v>
      </c>
      <c r="CR487" t="s">
        <v>97</v>
      </c>
      <c r="CS487">
        <v>1</v>
      </c>
      <c r="CT487">
        <v>3</v>
      </c>
      <c r="CU487">
        <v>3</v>
      </c>
      <c r="CV487">
        <v>1</v>
      </c>
      <c r="CW487">
        <v>3</v>
      </c>
      <c r="CX487">
        <v>1</v>
      </c>
      <c r="CY487">
        <v>3</v>
      </c>
      <c r="CZ487">
        <v>1</v>
      </c>
      <c r="DA487" t="s">
        <v>107</v>
      </c>
      <c r="DB487" t="s">
        <v>107</v>
      </c>
      <c r="DC487">
        <v>152</v>
      </c>
      <c r="DD487">
        <v>0</v>
      </c>
      <c r="DE487">
        <v>4.1000000000000002E-2</v>
      </c>
      <c r="DF487" t="s">
        <v>97</v>
      </c>
      <c r="DG487" t="s">
        <v>97</v>
      </c>
    </row>
    <row r="488" spans="1:111" x14ac:dyDescent="0.2">
      <c r="A488">
        <v>2025</v>
      </c>
      <c r="B488" s="1">
        <v>45959</v>
      </c>
      <c r="C488" t="s">
        <v>95</v>
      </c>
      <c r="D488">
        <v>605483</v>
      </c>
      <c r="E488">
        <v>680718</v>
      </c>
      <c r="F488">
        <v>1</v>
      </c>
      <c r="G488">
        <v>0</v>
      </c>
      <c r="H488">
        <v>7</v>
      </c>
      <c r="I488" t="s">
        <v>96</v>
      </c>
      <c r="J488">
        <v>47</v>
      </c>
      <c r="K488">
        <v>2</v>
      </c>
      <c r="L488" t="s">
        <v>97</v>
      </c>
      <c r="M488" t="s">
        <v>138</v>
      </c>
      <c r="N488" t="s">
        <v>139</v>
      </c>
      <c r="O488">
        <f t="shared" si="112"/>
        <v>0</v>
      </c>
      <c r="P488">
        <f t="shared" si="113"/>
        <v>0</v>
      </c>
      <c r="Q488">
        <f t="shared" si="114"/>
        <v>0</v>
      </c>
      <c r="R488">
        <f t="shared" si="115"/>
        <v>0</v>
      </c>
      <c r="S488">
        <f t="shared" si="116"/>
        <v>0</v>
      </c>
      <c r="T488">
        <f t="shared" si="117"/>
        <v>0</v>
      </c>
      <c r="U488">
        <f t="shared" si="118"/>
        <v>0</v>
      </c>
      <c r="V488">
        <f t="shared" si="119"/>
        <v>0</v>
      </c>
      <c r="W488">
        <f t="shared" si="120"/>
        <v>0</v>
      </c>
      <c r="X488">
        <f t="shared" si="121"/>
        <v>0</v>
      </c>
      <c r="Y488">
        <f t="shared" si="122"/>
        <v>0</v>
      </c>
      <c r="Z488">
        <f t="shared" si="123"/>
        <v>0</v>
      </c>
      <c r="AA488">
        <f t="shared" si="124"/>
        <v>1</v>
      </c>
      <c r="AB488">
        <f t="shared" si="125"/>
        <v>0</v>
      </c>
      <c r="AC488">
        <f t="shared" si="126"/>
        <v>0</v>
      </c>
      <c r="AD488">
        <f t="shared" si="127"/>
        <v>0</v>
      </c>
      <c r="AE488">
        <v>88.6</v>
      </c>
      <c r="AF488">
        <v>2.0299999999999998</v>
      </c>
      <c r="AG488">
        <v>6.49</v>
      </c>
      <c r="AH488" t="s">
        <v>108</v>
      </c>
      <c r="AI488" t="s">
        <v>97</v>
      </c>
      <c r="AJ488" t="s">
        <v>97</v>
      </c>
      <c r="AK488" t="s">
        <v>97</v>
      </c>
      <c r="AL488" t="s">
        <v>97</v>
      </c>
      <c r="AM488">
        <v>4</v>
      </c>
      <c r="AN488" t="s">
        <v>109</v>
      </c>
      <c r="AO488" t="s">
        <v>213</v>
      </c>
      <c r="AP488" t="s">
        <v>103</v>
      </c>
      <c r="AQ488" t="s">
        <v>103</v>
      </c>
      <c r="AR488" t="s">
        <v>104</v>
      </c>
      <c r="AS488" t="s">
        <v>214</v>
      </c>
      <c r="AT488" t="s">
        <v>110</v>
      </c>
      <c r="AU488" t="s">
        <v>97</v>
      </c>
      <c r="AV488" t="s">
        <v>97</v>
      </c>
      <c r="AW488">
        <v>-0.43</v>
      </c>
      <c r="AX488">
        <v>0.71</v>
      </c>
      <c r="AY488">
        <v>-0.73</v>
      </c>
      <c r="AZ488">
        <v>2.67</v>
      </c>
      <c r="BA488" t="s">
        <v>97</v>
      </c>
      <c r="BB488" t="s">
        <v>97</v>
      </c>
      <c r="BC488" t="s">
        <v>97</v>
      </c>
      <c r="BD488">
        <v>0</v>
      </c>
      <c r="BE488" t="s">
        <v>97</v>
      </c>
      <c r="BF488" t="s">
        <v>97</v>
      </c>
      <c r="BG488" t="s">
        <v>97</v>
      </c>
      <c r="BH488" t="s">
        <v>97</v>
      </c>
      <c r="BI488">
        <v>669257</v>
      </c>
      <c r="BJ488">
        <v>669257</v>
      </c>
      <c r="BK488" t="s">
        <v>97</v>
      </c>
      <c r="BL488" t="s">
        <v>97</v>
      </c>
      <c r="BM488">
        <v>-5.9006571650000001</v>
      </c>
      <c r="BN488">
        <v>-128.94611610000001</v>
      </c>
      <c r="BO488">
        <v>-4.7766461480000002</v>
      </c>
      <c r="BP488">
        <v>-3.5335487099999998</v>
      </c>
      <c r="BQ488">
        <v>27.018673419999999</v>
      </c>
      <c r="BR488">
        <v>-23.448450350000002</v>
      </c>
      <c r="BS488">
        <v>3.73</v>
      </c>
      <c r="BT488">
        <v>1.75</v>
      </c>
      <c r="BU488" t="s">
        <v>97</v>
      </c>
      <c r="BV488" t="s">
        <v>97</v>
      </c>
      <c r="BW488" t="s">
        <v>97</v>
      </c>
      <c r="BX488">
        <v>89.1</v>
      </c>
      <c r="BY488">
        <v>2358</v>
      </c>
      <c r="BZ488">
        <v>6.6</v>
      </c>
      <c r="CA488">
        <v>813022</v>
      </c>
      <c r="CB488">
        <v>669257</v>
      </c>
      <c r="CC488">
        <v>669257</v>
      </c>
      <c r="CD488">
        <v>518692</v>
      </c>
      <c r="CE488">
        <v>669242</v>
      </c>
      <c r="CF488">
        <v>571970</v>
      </c>
      <c r="CG488">
        <v>605141</v>
      </c>
      <c r="CH488">
        <v>669743</v>
      </c>
      <c r="CI488">
        <v>571771</v>
      </c>
      <c r="CJ488">
        <v>606192</v>
      </c>
      <c r="CK488">
        <v>53.91</v>
      </c>
      <c r="CL488" t="s">
        <v>97</v>
      </c>
      <c r="CM488" t="s">
        <v>97</v>
      </c>
      <c r="CN488" t="s">
        <v>97</v>
      </c>
      <c r="CO488" t="s">
        <v>97</v>
      </c>
      <c r="CP488" t="s">
        <v>97</v>
      </c>
      <c r="CQ488" t="s">
        <v>97</v>
      </c>
      <c r="CR488" t="s">
        <v>97</v>
      </c>
      <c r="CS488">
        <v>1</v>
      </c>
      <c r="CT488">
        <v>3</v>
      </c>
      <c r="CU488">
        <v>3</v>
      </c>
      <c r="CV488">
        <v>1</v>
      </c>
      <c r="CW488">
        <v>3</v>
      </c>
      <c r="CX488">
        <v>1</v>
      </c>
      <c r="CY488">
        <v>3</v>
      </c>
      <c r="CZ488">
        <v>1</v>
      </c>
      <c r="DA488" t="s">
        <v>107</v>
      </c>
      <c r="DB488" t="s">
        <v>107</v>
      </c>
      <c r="DC488">
        <v>169</v>
      </c>
      <c r="DD488">
        <v>0</v>
      </c>
      <c r="DE488">
        <v>-0.05</v>
      </c>
      <c r="DF488" t="s">
        <v>97</v>
      </c>
      <c r="DG488" t="s">
        <v>97</v>
      </c>
    </row>
    <row r="489" spans="1:111" x14ac:dyDescent="0.2">
      <c r="A489">
        <v>2025</v>
      </c>
      <c r="B489" s="1">
        <v>45959</v>
      </c>
      <c r="C489" t="s">
        <v>95</v>
      </c>
      <c r="D489">
        <v>605483</v>
      </c>
      <c r="E489">
        <v>680718</v>
      </c>
      <c r="F489">
        <v>1</v>
      </c>
      <c r="G489">
        <v>1</v>
      </c>
      <c r="H489">
        <v>7</v>
      </c>
      <c r="I489" t="s">
        <v>96</v>
      </c>
      <c r="J489">
        <v>47</v>
      </c>
      <c r="K489">
        <v>3</v>
      </c>
      <c r="L489" t="s">
        <v>97</v>
      </c>
      <c r="M489" t="s">
        <v>138</v>
      </c>
      <c r="N489" t="s">
        <v>139</v>
      </c>
      <c r="O489">
        <f t="shared" si="112"/>
        <v>0</v>
      </c>
      <c r="P489">
        <f t="shared" si="113"/>
        <v>0</v>
      </c>
      <c r="Q489">
        <f t="shared" si="114"/>
        <v>0</v>
      </c>
      <c r="R489">
        <f t="shared" si="115"/>
        <v>0</v>
      </c>
      <c r="S489">
        <f t="shared" si="116"/>
        <v>0</v>
      </c>
      <c r="T489">
        <f t="shared" si="117"/>
        <v>0</v>
      </c>
      <c r="U489">
        <f t="shared" si="118"/>
        <v>0</v>
      </c>
      <c r="V489">
        <f t="shared" si="119"/>
        <v>0</v>
      </c>
      <c r="W489">
        <f t="shared" si="120"/>
        <v>0</v>
      </c>
      <c r="X489">
        <f t="shared" si="121"/>
        <v>0</v>
      </c>
      <c r="Y489">
        <f t="shared" si="122"/>
        <v>0</v>
      </c>
      <c r="Z489">
        <f t="shared" si="123"/>
        <v>0</v>
      </c>
      <c r="AA489">
        <f t="shared" si="124"/>
        <v>1</v>
      </c>
      <c r="AB489">
        <f t="shared" si="125"/>
        <v>0</v>
      </c>
      <c r="AC489">
        <f t="shared" si="126"/>
        <v>0</v>
      </c>
      <c r="AD489">
        <f t="shared" si="127"/>
        <v>0</v>
      </c>
      <c r="AE489">
        <v>87</v>
      </c>
      <c r="AF489">
        <v>2.0699999999999998</v>
      </c>
      <c r="AG489">
        <v>6.51</v>
      </c>
      <c r="AH489" t="s">
        <v>100</v>
      </c>
      <c r="AI489" t="s">
        <v>97</v>
      </c>
      <c r="AJ489" t="s">
        <v>97</v>
      </c>
      <c r="AK489" t="s">
        <v>97</v>
      </c>
      <c r="AL489" t="s">
        <v>97</v>
      </c>
      <c r="AM489">
        <v>13</v>
      </c>
      <c r="AN489" t="s">
        <v>101</v>
      </c>
      <c r="AO489" t="s">
        <v>213</v>
      </c>
      <c r="AP489" t="s">
        <v>103</v>
      </c>
      <c r="AQ489" t="s">
        <v>103</v>
      </c>
      <c r="AR489" t="s">
        <v>104</v>
      </c>
      <c r="AS489" t="s">
        <v>214</v>
      </c>
      <c r="AT489" t="s">
        <v>106</v>
      </c>
      <c r="AU489" t="s">
        <v>97</v>
      </c>
      <c r="AV489" t="s">
        <v>97</v>
      </c>
      <c r="AW489">
        <v>-0.33</v>
      </c>
      <c r="AX489">
        <v>0.78</v>
      </c>
      <c r="AY489">
        <v>-1.24</v>
      </c>
      <c r="AZ489">
        <v>1.54</v>
      </c>
      <c r="BA489" t="s">
        <v>97</v>
      </c>
      <c r="BB489" t="s">
        <v>97</v>
      </c>
      <c r="BC489" t="s">
        <v>97</v>
      </c>
      <c r="BD489">
        <v>0</v>
      </c>
      <c r="BE489" t="s">
        <v>97</v>
      </c>
      <c r="BF489" t="s">
        <v>97</v>
      </c>
      <c r="BG489" t="s">
        <v>97</v>
      </c>
      <c r="BH489" t="s">
        <v>97</v>
      </c>
      <c r="BI489">
        <v>669257</v>
      </c>
      <c r="BJ489">
        <v>669257</v>
      </c>
      <c r="BK489" t="s">
        <v>97</v>
      </c>
      <c r="BL489" t="s">
        <v>97</v>
      </c>
      <c r="BM489">
        <v>-7.3173606060000003</v>
      </c>
      <c r="BN489">
        <v>-126.4289538</v>
      </c>
      <c r="BO489">
        <v>-7.3687532349999998</v>
      </c>
      <c r="BP489">
        <v>-1.9765756000000001</v>
      </c>
      <c r="BQ489">
        <v>26.48951297</v>
      </c>
      <c r="BR489">
        <v>-22.451258790000001</v>
      </c>
      <c r="BS489">
        <v>3.7</v>
      </c>
      <c r="BT489">
        <v>1.74</v>
      </c>
      <c r="BU489" t="s">
        <v>97</v>
      </c>
      <c r="BV489" t="s">
        <v>97</v>
      </c>
      <c r="BW489" t="s">
        <v>97</v>
      </c>
      <c r="BX489">
        <v>87.4</v>
      </c>
      <c r="BY489">
        <v>2359</v>
      </c>
      <c r="BZ489">
        <v>6.7</v>
      </c>
      <c r="CA489">
        <v>813022</v>
      </c>
      <c r="CB489">
        <v>669257</v>
      </c>
      <c r="CC489">
        <v>669257</v>
      </c>
      <c r="CD489">
        <v>518692</v>
      </c>
      <c r="CE489">
        <v>669242</v>
      </c>
      <c r="CF489">
        <v>571970</v>
      </c>
      <c r="CG489">
        <v>605141</v>
      </c>
      <c r="CH489">
        <v>669743</v>
      </c>
      <c r="CI489">
        <v>571771</v>
      </c>
      <c r="CJ489">
        <v>606192</v>
      </c>
      <c r="CK489">
        <v>53.81</v>
      </c>
      <c r="CL489" t="s">
        <v>97</v>
      </c>
      <c r="CM489" t="s">
        <v>97</v>
      </c>
      <c r="CN489" t="s">
        <v>97</v>
      </c>
      <c r="CO489" t="s">
        <v>97</v>
      </c>
      <c r="CP489" t="s">
        <v>97</v>
      </c>
      <c r="CQ489" t="s">
        <v>97</v>
      </c>
      <c r="CR489" t="s">
        <v>97</v>
      </c>
      <c r="CS489">
        <v>1</v>
      </c>
      <c r="CT489">
        <v>3</v>
      </c>
      <c r="CU489">
        <v>3</v>
      </c>
      <c r="CV489">
        <v>1</v>
      </c>
      <c r="CW489">
        <v>3</v>
      </c>
      <c r="CX489">
        <v>1</v>
      </c>
      <c r="CY489">
        <v>3</v>
      </c>
      <c r="CZ489">
        <v>1</v>
      </c>
      <c r="DA489" t="s">
        <v>107</v>
      </c>
      <c r="DB489" t="s">
        <v>107</v>
      </c>
      <c r="DC489">
        <v>167</v>
      </c>
      <c r="DD489">
        <v>0</v>
      </c>
      <c r="DE489">
        <v>5.5E-2</v>
      </c>
      <c r="DF489" t="s">
        <v>97</v>
      </c>
      <c r="DG489" t="s">
        <v>97</v>
      </c>
    </row>
    <row r="490" spans="1:111" x14ac:dyDescent="0.2">
      <c r="A490">
        <v>2025</v>
      </c>
      <c r="B490" s="1">
        <v>45959</v>
      </c>
      <c r="C490" t="s">
        <v>95</v>
      </c>
      <c r="D490">
        <v>605483</v>
      </c>
      <c r="E490">
        <v>680718</v>
      </c>
      <c r="F490">
        <v>2</v>
      </c>
      <c r="G490">
        <v>1</v>
      </c>
      <c r="H490">
        <v>7</v>
      </c>
      <c r="I490" t="s">
        <v>96</v>
      </c>
      <c r="J490">
        <v>47</v>
      </c>
      <c r="K490">
        <v>4</v>
      </c>
      <c r="L490" t="s">
        <v>97</v>
      </c>
      <c r="M490" t="s">
        <v>138</v>
      </c>
      <c r="N490" t="s">
        <v>139</v>
      </c>
      <c r="O490">
        <f t="shared" si="112"/>
        <v>0</v>
      </c>
      <c r="P490">
        <f t="shared" si="113"/>
        <v>0</v>
      </c>
      <c r="Q490">
        <f t="shared" si="114"/>
        <v>0</v>
      </c>
      <c r="R490">
        <f t="shared" si="115"/>
        <v>0</v>
      </c>
      <c r="S490">
        <f t="shared" si="116"/>
        <v>0</v>
      </c>
      <c r="T490">
        <f t="shared" si="117"/>
        <v>0</v>
      </c>
      <c r="U490">
        <f t="shared" si="118"/>
        <v>0</v>
      </c>
      <c r="V490">
        <f t="shared" si="119"/>
        <v>0</v>
      </c>
      <c r="W490">
        <f t="shared" si="120"/>
        <v>0</v>
      </c>
      <c r="X490">
        <f t="shared" si="121"/>
        <v>0</v>
      </c>
      <c r="Y490">
        <f t="shared" si="122"/>
        <v>0</v>
      </c>
      <c r="Z490">
        <f t="shared" si="123"/>
        <v>0</v>
      </c>
      <c r="AA490">
        <f t="shared" si="124"/>
        <v>0</v>
      </c>
      <c r="AB490">
        <f t="shared" si="125"/>
        <v>1</v>
      </c>
      <c r="AC490">
        <f t="shared" si="126"/>
        <v>0</v>
      </c>
      <c r="AD490">
        <f t="shared" si="127"/>
        <v>0</v>
      </c>
      <c r="AE490">
        <v>89.7</v>
      </c>
      <c r="AF490">
        <v>1.97</v>
      </c>
      <c r="AG490">
        <v>6.47</v>
      </c>
      <c r="AH490" t="s">
        <v>129</v>
      </c>
      <c r="AI490" t="s">
        <v>97</v>
      </c>
      <c r="AJ490" t="s">
        <v>97</v>
      </c>
      <c r="AK490" t="s">
        <v>97</v>
      </c>
      <c r="AL490" t="s">
        <v>97</v>
      </c>
      <c r="AM490">
        <v>8</v>
      </c>
      <c r="AN490" t="s">
        <v>130</v>
      </c>
      <c r="AO490" t="s">
        <v>213</v>
      </c>
      <c r="AP490" t="s">
        <v>103</v>
      </c>
      <c r="AQ490" t="s">
        <v>103</v>
      </c>
      <c r="AR490" t="s">
        <v>104</v>
      </c>
      <c r="AS490" t="s">
        <v>214</v>
      </c>
      <c r="AT490" t="s">
        <v>110</v>
      </c>
      <c r="AU490" t="s">
        <v>97</v>
      </c>
      <c r="AV490" t="s">
        <v>97</v>
      </c>
      <c r="AW490">
        <v>-0.17</v>
      </c>
      <c r="AX490">
        <v>0.85</v>
      </c>
      <c r="AY490">
        <v>0.01</v>
      </c>
      <c r="AZ490">
        <v>2.17</v>
      </c>
      <c r="BA490" t="s">
        <v>97</v>
      </c>
      <c r="BB490" t="s">
        <v>97</v>
      </c>
      <c r="BC490" t="s">
        <v>97</v>
      </c>
      <c r="BD490">
        <v>0</v>
      </c>
      <c r="BE490" t="s">
        <v>97</v>
      </c>
      <c r="BF490" t="s">
        <v>97</v>
      </c>
      <c r="BG490" t="s">
        <v>97</v>
      </c>
      <c r="BH490" t="s">
        <v>97</v>
      </c>
      <c r="BI490">
        <v>669257</v>
      </c>
      <c r="BJ490">
        <v>669257</v>
      </c>
      <c r="BK490" t="s">
        <v>97</v>
      </c>
      <c r="BL490" t="s">
        <v>97</v>
      </c>
      <c r="BM490">
        <v>-4.5355726609999998</v>
      </c>
      <c r="BN490">
        <v>-130.3986645</v>
      </c>
      <c r="BO490">
        <v>-6.4268969130000002</v>
      </c>
      <c r="BP490">
        <v>-0.89967639899999996</v>
      </c>
      <c r="BQ490">
        <v>29.188590219999998</v>
      </c>
      <c r="BR490">
        <v>-21.328703470000001</v>
      </c>
      <c r="BS490">
        <v>3.73</v>
      </c>
      <c r="BT490">
        <v>1.74</v>
      </c>
      <c r="BU490">
        <v>91</v>
      </c>
      <c r="BV490">
        <v>78.099999999999994</v>
      </c>
      <c r="BW490">
        <v>83</v>
      </c>
      <c r="BX490">
        <v>90.1</v>
      </c>
      <c r="BY490">
        <v>2354</v>
      </c>
      <c r="BZ490">
        <v>6.7</v>
      </c>
      <c r="CA490">
        <v>813022</v>
      </c>
      <c r="CB490">
        <v>669257</v>
      </c>
      <c r="CC490">
        <v>669257</v>
      </c>
      <c r="CD490">
        <v>518692</v>
      </c>
      <c r="CE490">
        <v>669242</v>
      </c>
      <c r="CF490">
        <v>571970</v>
      </c>
      <c r="CG490">
        <v>605141</v>
      </c>
      <c r="CH490">
        <v>669743</v>
      </c>
      <c r="CI490">
        <v>571771</v>
      </c>
      <c r="CJ490">
        <v>606192</v>
      </c>
      <c r="CK490">
        <v>53.77</v>
      </c>
      <c r="CL490" t="s">
        <v>97</v>
      </c>
      <c r="CM490" t="s">
        <v>97</v>
      </c>
      <c r="CN490" t="s">
        <v>97</v>
      </c>
      <c r="CO490" t="s">
        <v>97</v>
      </c>
      <c r="CP490" t="s">
        <v>97</v>
      </c>
      <c r="CQ490" t="s">
        <v>97</v>
      </c>
      <c r="CR490" t="s">
        <v>97</v>
      </c>
      <c r="CS490">
        <v>1</v>
      </c>
      <c r="CT490">
        <v>3</v>
      </c>
      <c r="CU490">
        <v>3</v>
      </c>
      <c r="CV490">
        <v>1</v>
      </c>
      <c r="CW490">
        <v>3</v>
      </c>
      <c r="CX490">
        <v>1</v>
      </c>
      <c r="CY490">
        <v>3</v>
      </c>
      <c r="CZ490">
        <v>1</v>
      </c>
      <c r="DA490" t="s">
        <v>107</v>
      </c>
      <c r="DB490" t="s">
        <v>107</v>
      </c>
      <c r="DC490">
        <v>169</v>
      </c>
      <c r="DD490">
        <v>0</v>
      </c>
      <c r="DE490">
        <v>-7.2999999999999995E-2</v>
      </c>
      <c r="DF490">
        <v>85.9</v>
      </c>
      <c r="DG490">
        <v>8.4</v>
      </c>
    </row>
    <row r="491" spans="1:111" x14ac:dyDescent="0.2">
      <c r="A491">
        <v>2025</v>
      </c>
      <c r="B491" s="1">
        <v>45959</v>
      </c>
      <c r="C491" t="s">
        <v>95</v>
      </c>
      <c r="D491">
        <v>605483</v>
      </c>
      <c r="E491">
        <v>680718</v>
      </c>
      <c r="F491">
        <v>2</v>
      </c>
      <c r="G491">
        <v>2</v>
      </c>
      <c r="H491">
        <v>7</v>
      </c>
      <c r="I491" t="s">
        <v>96</v>
      </c>
      <c r="J491">
        <v>47</v>
      </c>
      <c r="K491">
        <v>5</v>
      </c>
      <c r="L491" t="s">
        <v>155</v>
      </c>
      <c r="M491" t="s">
        <v>98</v>
      </c>
      <c r="N491" t="s">
        <v>99</v>
      </c>
      <c r="O491">
        <f t="shared" si="112"/>
        <v>1</v>
      </c>
      <c r="P491">
        <f t="shared" si="113"/>
        <v>0</v>
      </c>
      <c r="Q491">
        <f t="shared" si="114"/>
        <v>0</v>
      </c>
      <c r="R491">
        <f t="shared" si="115"/>
        <v>0</v>
      </c>
      <c r="S491">
        <f t="shared" si="116"/>
        <v>0</v>
      </c>
      <c r="T491">
        <f t="shared" si="117"/>
        <v>0</v>
      </c>
      <c r="U491">
        <f t="shared" si="118"/>
        <v>0</v>
      </c>
      <c r="V491">
        <f t="shared" si="119"/>
        <v>0</v>
      </c>
      <c r="W491">
        <f t="shared" si="120"/>
        <v>0</v>
      </c>
      <c r="X491">
        <f t="shared" si="121"/>
        <v>0</v>
      </c>
      <c r="Y491">
        <f t="shared" si="122"/>
        <v>0</v>
      </c>
      <c r="Z491">
        <f t="shared" si="123"/>
        <v>0</v>
      </c>
      <c r="AA491">
        <f t="shared" si="124"/>
        <v>0</v>
      </c>
      <c r="AB491">
        <f t="shared" si="125"/>
        <v>0</v>
      </c>
      <c r="AC491">
        <f t="shared" si="126"/>
        <v>0</v>
      </c>
      <c r="AD491">
        <f t="shared" si="127"/>
        <v>0</v>
      </c>
      <c r="AE491">
        <v>97.6</v>
      </c>
      <c r="AF491">
        <v>1.99</v>
      </c>
      <c r="AG491">
        <v>6.47</v>
      </c>
      <c r="AH491" t="s">
        <v>120</v>
      </c>
      <c r="AI491" t="s">
        <v>97</v>
      </c>
      <c r="AJ491" t="s">
        <v>97</v>
      </c>
      <c r="AK491" t="s">
        <v>97</v>
      </c>
      <c r="AL491" t="s">
        <v>97</v>
      </c>
      <c r="AM491">
        <v>2</v>
      </c>
      <c r="AN491" t="s">
        <v>269</v>
      </c>
      <c r="AO491" t="s">
        <v>213</v>
      </c>
      <c r="AP491" t="s">
        <v>103</v>
      </c>
      <c r="AQ491" t="s">
        <v>103</v>
      </c>
      <c r="AR491" t="s">
        <v>104</v>
      </c>
      <c r="AS491" t="s">
        <v>214</v>
      </c>
      <c r="AT491" t="s">
        <v>123</v>
      </c>
      <c r="AU491">
        <v>7</v>
      </c>
      <c r="AV491" t="s">
        <v>127</v>
      </c>
      <c r="AW491">
        <v>0.74</v>
      </c>
      <c r="AX491">
        <v>1.34</v>
      </c>
      <c r="AY491">
        <v>0.28000000000000003</v>
      </c>
      <c r="AZ491">
        <v>3.13</v>
      </c>
      <c r="BA491" t="s">
        <v>97</v>
      </c>
      <c r="BB491" t="s">
        <v>97</v>
      </c>
      <c r="BC491" t="s">
        <v>97</v>
      </c>
      <c r="BD491">
        <v>0</v>
      </c>
      <c r="BE491">
        <v>67.150000000000006</v>
      </c>
      <c r="BF491">
        <v>140.76</v>
      </c>
      <c r="BG491" t="s">
        <v>97</v>
      </c>
      <c r="BH491" t="s">
        <v>97</v>
      </c>
      <c r="BI491">
        <v>669257</v>
      </c>
      <c r="BJ491">
        <v>669257</v>
      </c>
      <c r="BK491" t="s">
        <v>97</v>
      </c>
      <c r="BL491" t="s">
        <v>97</v>
      </c>
      <c r="BM491">
        <v>-6.36451498</v>
      </c>
      <c r="BN491">
        <v>-141.85545980000001</v>
      </c>
      <c r="BO491">
        <v>-6.5905884480000001</v>
      </c>
      <c r="BP491">
        <v>11.48960585</v>
      </c>
      <c r="BQ491">
        <v>32.571791810000001</v>
      </c>
      <c r="BR491">
        <v>-12.803702830000001</v>
      </c>
      <c r="BS491">
        <v>3.73</v>
      </c>
      <c r="BT491">
        <v>1.74</v>
      </c>
      <c r="BU491">
        <v>5</v>
      </c>
      <c r="BV491">
        <v>70.599999999999994</v>
      </c>
      <c r="BW491">
        <v>-31</v>
      </c>
      <c r="BX491">
        <v>98.3</v>
      </c>
      <c r="BY491">
        <v>2498</v>
      </c>
      <c r="BZ491">
        <v>6.7</v>
      </c>
      <c r="CA491">
        <v>813022</v>
      </c>
      <c r="CB491">
        <v>669257</v>
      </c>
      <c r="CC491">
        <v>669257</v>
      </c>
      <c r="CD491">
        <v>518692</v>
      </c>
      <c r="CE491">
        <v>669242</v>
      </c>
      <c r="CF491">
        <v>571970</v>
      </c>
      <c r="CG491">
        <v>605141</v>
      </c>
      <c r="CH491">
        <v>669743</v>
      </c>
      <c r="CI491">
        <v>571771</v>
      </c>
      <c r="CJ491">
        <v>606192</v>
      </c>
      <c r="CK491">
        <v>53.76</v>
      </c>
      <c r="CL491">
        <v>6.3E-2</v>
      </c>
      <c r="CM491">
        <v>6.3E-2</v>
      </c>
      <c r="CN491">
        <v>0.9</v>
      </c>
      <c r="CO491">
        <v>1</v>
      </c>
      <c r="CP491">
        <v>1</v>
      </c>
      <c r="CQ491">
        <v>0</v>
      </c>
      <c r="CR491">
        <v>2</v>
      </c>
      <c r="CS491">
        <v>1</v>
      </c>
      <c r="CT491">
        <v>3</v>
      </c>
      <c r="CU491">
        <v>3</v>
      </c>
      <c r="CV491">
        <v>1</v>
      </c>
      <c r="CW491">
        <v>3</v>
      </c>
      <c r="CX491">
        <v>1</v>
      </c>
      <c r="CY491">
        <v>3</v>
      </c>
      <c r="CZ491">
        <v>1</v>
      </c>
      <c r="DA491" t="s">
        <v>115</v>
      </c>
      <c r="DB491" t="s">
        <v>107</v>
      </c>
      <c r="DC491">
        <v>157</v>
      </c>
      <c r="DD491">
        <v>-2.3E-2</v>
      </c>
      <c r="DE491">
        <v>0.46500000000000002</v>
      </c>
      <c r="DF491">
        <v>68.900000000000006</v>
      </c>
      <c r="DG491">
        <v>5.6</v>
      </c>
    </row>
    <row r="492" spans="1:111" x14ac:dyDescent="0.2">
      <c r="A492">
        <v>2025</v>
      </c>
      <c r="B492" s="1">
        <v>45959</v>
      </c>
      <c r="C492" t="s">
        <v>95</v>
      </c>
      <c r="D492">
        <v>605483</v>
      </c>
      <c r="E492">
        <v>643396</v>
      </c>
      <c r="F492">
        <v>0</v>
      </c>
      <c r="G492">
        <v>0</v>
      </c>
      <c r="H492">
        <v>7</v>
      </c>
      <c r="I492" t="s">
        <v>96</v>
      </c>
      <c r="J492">
        <v>48</v>
      </c>
      <c r="K492">
        <v>1</v>
      </c>
      <c r="L492" t="s">
        <v>97</v>
      </c>
      <c r="M492" t="s">
        <v>98</v>
      </c>
      <c r="N492" t="s">
        <v>99</v>
      </c>
      <c r="O492">
        <f t="shared" si="112"/>
        <v>0</v>
      </c>
      <c r="P492">
        <f t="shared" si="113"/>
        <v>0</v>
      </c>
      <c r="Q492">
        <f t="shared" si="114"/>
        <v>1</v>
      </c>
      <c r="R492">
        <f t="shared" si="115"/>
        <v>0</v>
      </c>
      <c r="S492">
        <f t="shared" si="116"/>
        <v>0</v>
      </c>
      <c r="T492">
        <f t="shared" si="117"/>
        <v>0</v>
      </c>
      <c r="U492">
        <f t="shared" si="118"/>
        <v>0</v>
      </c>
      <c r="V492">
        <f t="shared" si="119"/>
        <v>0</v>
      </c>
      <c r="W492">
        <f t="shared" si="120"/>
        <v>0</v>
      </c>
      <c r="X492">
        <f t="shared" si="121"/>
        <v>0</v>
      </c>
      <c r="Y492">
        <f t="shared" si="122"/>
        <v>0</v>
      </c>
      <c r="Z492">
        <f t="shared" si="123"/>
        <v>0</v>
      </c>
      <c r="AA492">
        <f t="shared" si="124"/>
        <v>0</v>
      </c>
      <c r="AB492">
        <f t="shared" si="125"/>
        <v>0</v>
      </c>
      <c r="AC492">
        <f t="shared" si="126"/>
        <v>0</v>
      </c>
      <c r="AD492">
        <f t="shared" si="127"/>
        <v>0</v>
      </c>
      <c r="AE492">
        <v>95</v>
      </c>
      <c r="AF492">
        <v>1.9</v>
      </c>
      <c r="AG492">
        <v>6.44</v>
      </c>
      <c r="AH492" t="s">
        <v>100</v>
      </c>
      <c r="AI492" t="s">
        <v>97</v>
      </c>
      <c r="AJ492" t="s">
        <v>97</v>
      </c>
      <c r="AK492" t="s">
        <v>97</v>
      </c>
      <c r="AL492" t="s">
        <v>97</v>
      </c>
      <c r="AM492">
        <v>11</v>
      </c>
      <c r="AN492" t="s">
        <v>101</v>
      </c>
      <c r="AO492" t="s">
        <v>213</v>
      </c>
      <c r="AP492" t="s">
        <v>122</v>
      </c>
      <c r="AQ492" t="s">
        <v>103</v>
      </c>
      <c r="AR492" t="s">
        <v>104</v>
      </c>
      <c r="AS492" t="s">
        <v>214</v>
      </c>
      <c r="AT492" t="s">
        <v>106</v>
      </c>
      <c r="AU492" t="s">
        <v>97</v>
      </c>
      <c r="AV492" t="s">
        <v>97</v>
      </c>
      <c r="AW492">
        <v>0.22</v>
      </c>
      <c r="AX492">
        <v>1.42</v>
      </c>
      <c r="AY492">
        <v>-0.22</v>
      </c>
      <c r="AZ492">
        <v>4.32</v>
      </c>
      <c r="BA492" t="s">
        <v>97</v>
      </c>
      <c r="BB492" t="s">
        <v>97</v>
      </c>
      <c r="BC492">
        <v>680718</v>
      </c>
      <c r="BD492">
        <v>0</v>
      </c>
      <c r="BE492" t="s">
        <v>97</v>
      </c>
      <c r="BF492" t="s">
        <v>97</v>
      </c>
      <c r="BG492" t="s">
        <v>97</v>
      </c>
      <c r="BH492" t="s">
        <v>97</v>
      </c>
      <c r="BI492">
        <v>669257</v>
      </c>
      <c r="BJ492">
        <v>669257</v>
      </c>
      <c r="BK492" t="s">
        <v>97</v>
      </c>
      <c r="BL492" t="s">
        <v>97</v>
      </c>
      <c r="BM492">
        <v>-6.0731182969999997</v>
      </c>
      <c r="BN492">
        <v>-138.12274859999999</v>
      </c>
      <c r="BO492">
        <v>-3.0540487870000002</v>
      </c>
      <c r="BP492">
        <v>4.1887357400000003</v>
      </c>
      <c r="BQ492">
        <v>32.719453260000002</v>
      </c>
      <c r="BR492">
        <v>-13.606821350000001</v>
      </c>
      <c r="BS492">
        <v>3.21</v>
      </c>
      <c r="BT492">
        <v>1.47</v>
      </c>
      <c r="BU492" t="s">
        <v>97</v>
      </c>
      <c r="BV492" t="s">
        <v>97</v>
      </c>
      <c r="BW492" t="s">
        <v>97</v>
      </c>
      <c r="BX492">
        <v>95.5</v>
      </c>
      <c r="BY492">
        <v>2358</v>
      </c>
      <c r="BZ492">
        <v>6.8</v>
      </c>
      <c r="CA492">
        <v>813022</v>
      </c>
      <c r="CB492">
        <v>669257</v>
      </c>
      <c r="CC492">
        <v>669257</v>
      </c>
      <c r="CD492">
        <v>518692</v>
      </c>
      <c r="CE492">
        <v>669242</v>
      </c>
      <c r="CF492">
        <v>571970</v>
      </c>
      <c r="CG492">
        <v>605141</v>
      </c>
      <c r="CH492">
        <v>669743</v>
      </c>
      <c r="CI492">
        <v>571771</v>
      </c>
      <c r="CJ492">
        <v>606192</v>
      </c>
      <c r="CK492">
        <v>53.72</v>
      </c>
      <c r="CL492" t="s">
        <v>97</v>
      </c>
      <c r="CM492" t="s">
        <v>97</v>
      </c>
      <c r="CN492" t="s">
        <v>97</v>
      </c>
      <c r="CO492" t="s">
        <v>97</v>
      </c>
      <c r="CP492" t="s">
        <v>97</v>
      </c>
      <c r="CQ492" t="s">
        <v>97</v>
      </c>
      <c r="CR492" t="s">
        <v>97</v>
      </c>
      <c r="CS492">
        <v>1</v>
      </c>
      <c r="CT492">
        <v>3</v>
      </c>
      <c r="CU492">
        <v>3</v>
      </c>
      <c r="CV492">
        <v>1</v>
      </c>
      <c r="CW492">
        <v>3</v>
      </c>
      <c r="CX492">
        <v>1</v>
      </c>
      <c r="CY492">
        <v>3</v>
      </c>
      <c r="CZ492">
        <v>1</v>
      </c>
      <c r="DA492" t="s">
        <v>115</v>
      </c>
      <c r="DB492" t="s">
        <v>107</v>
      </c>
      <c r="DC492">
        <v>156</v>
      </c>
      <c r="DD492">
        <v>0</v>
      </c>
      <c r="DE492">
        <v>0.04</v>
      </c>
      <c r="DF492" t="s">
        <v>97</v>
      </c>
      <c r="DG492" t="s">
        <v>97</v>
      </c>
    </row>
    <row r="493" spans="1:111" x14ac:dyDescent="0.2">
      <c r="A493">
        <v>2025</v>
      </c>
      <c r="B493" s="1">
        <v>45959</v>
      </c>
      <c r="C493" t="s">
        <v>95</v>
      </c>
      <c r="D493">
        <v>605483</v>
      </c>
      <c r="E493">
        <v>643396</v>
      </c>
      <c r="F493">
        <v>1</v>
      </c>
      <c r="G493">
        <v>0</v>
      </c>
      <c r="H493">
        <v>7</v>
      </c>
      <c r="I493" t="s">
        <v>96</v>
      </c>
      <c r="J493">
        <v>48</v>
      </c>
      <c r="K493">
        <v>2</v>
      </c>
      <c r="L493" t="s">
        <v>97</v>
      </c>
      <c r="M493" t="s">
        <v>132</v>
      </c>
      <c r="N493" t="s">
        <v>133</v>
      </c>
      <c r="O493">
        <f t="shared" si="112"/>
        <v>0</v>
      </c>
      <c r="P493">
        <f t="shared" si="113"/>
        <v>0</v>
      </c>
      <c r="Q493">
        <f t="shared" si="114"/>
        <v>0</v>
      </c>
      <c r="R493">
        <f t="shared" si="115"/>
        <v>0</v>
      </c>
      <c r="S493">
        <f t="shared" si="116"/>
        <v>0</v>
      </c>
      <c r="T493">
        <f t="shared" si="117"/>
        <v>0</v>
      </c>
      <c r="U493">
        <f t="shared" si="118"/>
        <v>0</v>
      </c>
      <c r="V493">
        <f t="shared" si="119"/>
        <v>0</v>
      </c>
      <c r="W493">
        <f t="shared" si="120"/>
        <v>0</v>
      </c>
      <c r="X493">
        <f t="shared" si="121"/>
        <v>1</v>
      </c>
      <c r="Y493">
        <f t="shared" si="122"/>
        <v>0</v>
      </c>
      <c r="Z493">
        <f t="shared" si="123"/>
        <v>0</v>
      </c>
      <c r="AA493">
        <f t="shared" si="124"/>
        <v>0</v>
      </c>
      <c r="AB493">
        <f t="shared" si="125"/>
        <v>0</v>
      </c>
      <c r="AC493">
        <f t="shared" si="126"/>
        <v>0</v>
      </c>
      <c r="AD493">
        <f t="shared" si="127"/>
        <v>0</v>
      </c>
      <c r="AE493">
        <v>85.5</v>
      </c>
      <c r="AF493">
        <v>2.1800000000000002</v>
      </c>
      <c r="AG493">
        <v>6.32</v>
      </c>
      <c r="AH493" t="s">
        <v>270</v>
      </c>
      <c r="AI493" t="s">
        <v>97</v>
      </c>
      <c r="AJ493" t="s">
        <v>97</v>
      </c>
      <c r="AK493" t="s">
        <v>97</v>
      </c>
      <c r="AL493" t="s">
        <v>97</v>
      </c>
      <c r="AM493">
        <v>8</v>
      </c>
      <c r="AN493" t="s">
        <v>271</v>
      </c>
      <c r="AO493" t="s">
        <v>213</v>
      </c>
      <c r="AP493" t="s">
        <v>122</v>
      </c>
      <c r="AQ493" t="s">
        <v>103</v>
      </c>
      <c r="AR493" t="s">
        <v>104</v>
      </c>
      <c r="AS493" t="s">
        <v>214</v>
      </c>
      <c r="AT493" t="s">
        <v>110</v>
      </c>
      <c r="AU493" t="s">
        <v>97</v>
      </c>
      <c r="AV493" t="s">
        <v>97</v>
      </c>
      <c r="AW493">
        <v>1.01</v>
      </c>
      <c r="AX493">
        <v>0.66</v>
      </c>
      <c r="AY493">
        <v>0.16</v>
      </c>
      <c r="AZ493">
        <v>1.57</v>
      </c>
      <c r="BA493" t="s">
        <v>97</v>
      </c>
      <c r="BB493" t="s">
        <v>97</v>
      </c>
      <c r="BC493">
        <v>680718</v>
      </c>
      <c r="BD493">
        <v>0</v>
      </c>
      <c r="BE493" t="s">
        <v>97</v>
      </c>
      <c r="BF493" t="s">
        <v>97</v>
      </c>
      <c r="BG493" t="s">
        <v>97</v>
      </c>
      <c r="BH493" t="s">
        <v>97</v>
      </c>
      <c r="BI493">
        <v>669257</v>
      </c>
      <c r="BJ493">
        <v>669257</v>
      </c>
      <c r="BK493" t="s">
        <v>97</v>
      </c>
      <c r="BL493" t="s">
        <v>97</v>
      </c>
      <c r="BM493">
        <v>-6.8546990980000002</v>
      </c>
      <c r="BN493">
        <v>-124.2446498</v>
      </c>
      <c r="BO493">
        <v>-6.2795416729999998</v>
      </c>
      <c r="BP493">
        <v>11.86180806</v>
      </c>
      <c r="BQ493">
        <v>25.221890089999999</v>
      </c>
      <c r="BR493">
        <v>-24.216536099999999</v>
      </c>
      <c r="BS493">
        <v>3.22</v>
      </c>
      <c r="BT493">
        <v>1.47</v>
      </c>
      <c r="BU493" t="s">
        <v>97</v>
      </c>
      <c r="BV493" t="s">
        <v>97</v>
      </c>
      <c r="BW493" t="s">
        <v>97</v>
      </c>
      <c r="BX493">
        <v>86.1</v>
      </c>
      <c r="BY493">
        <v>1854</v>
      </c>
      <c r="BZ493">
        <v>6.8</v>
      </c>
      <c r="CA493">
        <v>813022</v>
      </c>
      <c r="CB493">
        <v>669257</v>
      </c>
      <c r="CC493">
        <v>669257</v>
      </c>
      <c r="CD493">
        <v>518692</v>
      </c>
      <c r="CE493">
        <v>669242</v>
      </c>
      <c r="CF493">
        <v>571970</v>
      </c>
      <c r="CG493">
        <v>605141</v>
      </c>
      <c r="CH493">
        <v>669743</v>
      </c>
      <c r="CI493">
        <v>571771</v>
      </c>
      <c r="CJ493">
        <v>606192</v>
      </c>
      <c r="CK493">
        <v>53.74</v>
      </c>
      <c r="CL493" t="s">
        <v>97</v>
      </c>
      <c r="CM493" t="s">
        <v>97</v>
      </c>
      <c r="CN493" t="s">
        <v>97</v>
      </c>
      <c r="CO493" t="s">
        <v>97</v>
      </c>
      <c r="CP493" t="s">
        <v>97</v>
      </c>
      <c r="CQ493" t="s">
        <v>97</v>
      </c>
      <c r="CR493" t="s">
        <v>97</v>
      </c>
      <c r="CS493">
        <v>1</v>
      </c>
      <c r="CT493">
        <v>3</v>
      </c>
      <c r="CU493">
        <v>3</v>
      </c>
      <c r="CV493">
        <v>1</v>
      </c>
      <c r="CW493">
        <v>3</v>
      </c>
      <c r="CX493">
        <v>1</v>
      </c>
      <c r="CY493">
        <v>3</v>
      </c>
      <c r="CZ493">
        <v>1</v>
      </c>
      <c r="DA493" t="s">
        <v>115</v>
      </c>
      <c r="DB493" t="s">
        <v>107</v>
      </c>
      <c r="DC493">
        <v>132</v>
      </c>
      <c r="DD493">
        <v>0</v>
      </c>
      <c r="DE493">
        <v>-4.8000000000000001E-2</v>
      </c>
      <c r="DF493">
        <v>11.3</v>
      </c>
      <c r="DG493">
        <v>1.6</v>
      </c>
    </row>
    <row r="494" spans="1:111" x14ac:dyDescent="0.2">
      <c r="A494">
        <v>2025</v>
      </c>
      <c r="B494" s="1">
        <v>45959</v>
      </c>
      <c r="C494" t="s">
        <v>95</v>
      </c>
      <c r="D494">
        <v>605483</v>
      </c>
      <c r="E494">
        <v>643396</v>
      </c>
      <c r="F494">
        <v>1</v>
      </c>
      <c r="G494">
        <v>1</v>
      </c>
      <c r="H494">
        <v>7</v>
      </c>
      <c r="I494" t="s">
        <v>96</v>
      </c>
      <c r="J494">
        <v>48</v>
      </c>
      <c r="K494">
        <v>3</v>
      </c>
      <c r="L494" t="s">
        <v>97</v>
      </c>
      <c r="M494" t="s">
        <v>98</v>
      </c>
      <c r="N494" t="s">
        <v>99</v>
      </c>
      <c r="O494">
        <f t="shared" si="112"/>
        <v>0</v>
      </c>
      <c r="P494">
        <f t="shared" si="113"/>
        <v>1</v>
      </c>
      <c r="Q494">
        <f t="shared" si="114"/>
        <v>0</v>
      </c>
      <c r="R494">
        <f t="shared" si="115"/>
        <v>0</v>
      </c>
      <c r="S494">
        <f t="shared" si="116"/>
        <v>0</v>
      </c>
      <c r="T494">
        <f t="shared" si="117"/>
        <v>0</v>
      </c>
      <c r="U494">
        <f t="shared" si="118"/>
        <v>0</v>
      </c>
      <c r="V494">
        <f t="shared" si="119"/>
        <v>0</v>
      </c>
      <c r="W494">
        <f t="shared" si="120"/>
        <v>0</v>
      </c>
      <c r="X494">
        <f t="shared" si="121"/>
        <v>0</v>
      </c>
      <c r="Y494">
        <f t="shared" si="122"/>
        <v>0</v>
      </c>
      <c r="Z494">
        <f t="shared" si="123"/>
        <v>0</v>
      </c>
      <c r="AA494">
        <f t="shared" si="124"/>
        <v>0</v>
      </c>
      <c r="AB494">
        <f t="shared" si="125"/>
        <v>0</v>
      </c>
      <c r="AC494">
        <f t="shared" si="126"/>
        <v>0</v>
      </c>
      <c r="AD494">
        <f t="shared" si="127"/>
        <v>0</v>
      </c>
      <c r="AE494">
        <v>96.8</v>
      </c>
      <c r="AF494">
        <v>2.04</v>
      </c>
      <c r="AG494">
        <v>6.43</v>
      </c>
      <c r="AH494" t="s">
        <v>108</v>
      </c>
      <c r="AI494" t="s">
        <v>97</v>
      </c>
      <c r="AJ494" t="s">
        <v>97</v>
      </c>
      <c r="AK494" t="s">
        <v>97</v>
      </c>
      <c r="AL494" t="s">
        <v>97</v>
      </c>
      <c r="AM494">
        <v>6</v>
      </c>
      <c r="AN494" t="s">
        <v>109</v>
      </c>
      <c r="AO494" t="s">
        <v>213</v>
      </c>
      <c r="AP494" t="s">
        <v>122</v>
      </c>
      <c r="AQ494" t="s">
        <v>103</v>
      </c>
      <c r="AR494" t="s">
        <v>104</v>
      </c>
      <c r="AS494" t="s">
        <v>214</v>
      </c>
      <c r="AT494" t="s">
        <v>110</v>
      </c>
      <c r="AU494" t="s">
        <v>97</v>
      </c>
      <c r="AV494" t="s">
        <v>97</v>
      </c>
      <c r="AW494">
        <v>0.4</v>
      </c>
      <c r="AX494">
        <v>1.57</v>
      </c>
      <c r="AY494">
        <v>0.35</v>
      </c>
      <c r="AZ494">
        <v>2.0499999999999998</v>
      </c>
      <c r="BA494" t="s">
        <v>97</v>
      </c>
      <c r="BB494" t="s">
        <v>97</v>
      </c>
      <c r="BC494">
        <v>680718</v>
      </c>
      <c r="BD494">
        <v>0</v>
      </c>
      <c r="BE494" t="s">
        <v>97</v>
      </c>
      <c r="BF494" t="s">
        <v>97</v>
      </c>
      <c r="BG494" t="s">
        <v>97</v>
      </c>
      <c r="BH494" t="s">
        <v>97</v>
      </c>
      <c r="BI494">
        <v>669257</v>
      </c>
      <c r="BJ494">
        <v>669257</v>
      </c>
      <c r="BK494" t="s">
        <v>97</v>
      </c>
      <c r="BL494" t="s">
        <v>97</v>
      </c>
      <c r="BM494">
        <v>-5.4793604800000004</v>
      </c>
      <c r="BN494">
        <v>-140.4642648</v>
      </c>
      <c r="BO494">
        <v>-9.7090471810000007</v>
      </c>
      <c r="BP494">
        <v>6.6927983749999997</v>
      </c>
      <c r="BQ494">
        <v>35.565631009999997</v>
      </c>
      <c r="BR494">
        <v>-9.3146405849999994</v>
      </c>
      <c r="BS494">
        <v>3.23</v>
      </c>
      <c r="BT494">
        <v>1.47</v>
      </c>
      <c r="BU494" t="s">
        <v>97</v>
      </c>
      <c r="BV494" t="s">
        <v>97</v>
      </c>
      <c r="BW494" t="s">
        <v>97</v>
      </c>
      <c r="BX494">
        <v>96.9</v>
      </c>
      <c r="BY494">
        <v>2518</v>
      </c>
      <c r="BZ494">
        <v>6.7</v>
      </c>
      <c r="CA494">
        <v>813022</v>
      </c>
      <c r="CB494">
        <v>669257</v>
      </c>
      <c r="CC494">
        <v>669257</v>
      </c>
      <c r="CD494">
        <v>518692</v>
      </c>
      <c r="CE494">
        <v>669242</v>
      </c>
      <c r="CF494">
        <v>571970</v>
      </c>
      <c r="CG494">
        <v>605141</v>
      </c>
      <c r="CH494">
        <v>669743</v>
      </c>
      <c r="CI494">
        <v>571771</v>
      </c>
      <c r="CJ494">
        <v>606192</v>
      </c>
      <c r="CK494">
        <v>53.76</v>
      </c>
      <c r="CL494" t="s">
        <v>97</v>
      </c>
      <c r="CM494" t="s">
        <v>97</v>
      </c>
      <c r="CN494" t="s">
        <v>97</v>
      </c>
      <c r="CO494" t="s">
        <v>97</v>
      </c>
      <c r="CP494" t="s">
        <v>97</v>
      </c>
      <c r="CQ494" t="s">
        <v>97</v>
      </c>
      <c r="CR494" t="s">
        <v>97</v>
      </c>
      <c r="CS494">
        <v>1</v>
      </c>
      <c r="CT494">
        <v>3</v>
      </c>
      <c r="CU494">
        <v>3</v>
      </c>
      <c r="CV494">
        <v>1</v>
      </c>
      <c r="CW494">
        <v>3</v>
      </c>
      <c r="CX494">
        <v>1</v>
      </c>
      <c r="CY494">
        <v>3</v>
      </c>
      <c r="CZ494">
        <v>1</v>
      </c>
      <c r="DA494" t="s">
        <v>115</v>
      </c>
      <c r="DB494" t="s">
        <v>107</v>
      </c>
      <c r="DC494">
        <v>155</v>
      </c>
      <c r="DD494">
        <v>0</v>
      </c>
      <c r="DE494">
        <v>-7.0000000000000007E-2</v>
      </c>
      <c r="DF494" t="s">
        <v>97</v>
      </c>
      <c r="DG494" t="s">
        <v>97</v>
      </c>
    </row>
    <row r="495" spans="1:111" x14ac:dyDescent="0.2">
      <c r="A495">
        <v>2025</v>
      </c>
      <c r="B495" s="1">
        <v>45959</v>
      </c>
      <c r="C495" t="s">
        <v>95</v>
      </c>
      <c r="D495">
        <v>605483</v>
      </c>
      <c r="E495">
        <v>643396</v>
      </c>
      <c r="F495">
        <v>1</v>
      </c>
      <c r="G495">
        <v>2</v>
      </c>
      <c r="H495">
        <v>7</v>
      </c>
      <c r="I495" t="s">
        <v>96</v>
      </c>
      <c r="J495">
        <v>48</v>
      </c>
      <c r="K495">
        <v>4</v>
      </c>
      <c r="L495" t="s">
        <v>97</v>
      </c>
      <c r="M495" t="s">
        <v>111</v>
      </c>
      <c r="N495" t="s">
        <v>112</v>
      </c>
      <c r="O495">
        <f t="shared" si="112"/>
        <v>0</v>
      </c>
      <c r="P495">
        <f t="shared" si="113"/>
        <v>0</v>
      </c>
      <c r="Q495">
        <f t="shared" si="114"/>
        <v>0</v>
      </c>
      <c r="R495">
        <f t="shared" si="115"/>
        <v>0</v>
      </c>
      <c r="S495">
        <f t="shared" si="116"/>
        <v>1</v>
      </c>
      <c r="T495">
        <f t="shared" si="117"/>
        <v>0</v>
      </c>
      <c r="U495">
        <f t="shared" si="118"/>
        <v>0</v>
      </c>
      <c r="V495">
        <f t="shared" si="119"/>
        <v>0</v>
      </c>
      <c r="W495">
        <f t="shared" si="120"/>
        <v>0</v>
      </c>
      <c r="X495">
        <f t="shared" si="121"/>
        <v>0</v>
      </c>
      <c r="Y495">
        <f t="shared" si="122"/>
        <v>0</v>
      </c>
      <c r="Z495">
        <f t="shared" si="123"/>
        <v>0</v>
      </c>
      <c r="AA495">
        <f t="shared" si="124"/>
        <v>0</v>
      </c>
      <c r="AB495">
        <f t="shared" si="125"/>
        <v>0</v>
      </c>
      <c r="AC495">
        <f t="shared" si="126"/>
        <v>0</v>
      </c>
      <c r="AD495">
        <f t="shared" si="127"/>
        <v>0</v>
      </c>
      <c r="AE495">
        <v>82.5</v>
      </c>
      <c r="AF495">
        <v>1.93</v>
      </c>
      <c r="AG495">
        <v>6.42</v>
      </c>
      <c r="AH495" t="s">
        <v>100</v>
      </c>
      <c r="AI495" t="s">
        <v>97</v>
      </c>
      <c r="AJ495" t="s">
        <v>97</v>
      </c>
      <c r="AK495" t="s">
        <v>97</v>
      </c>
      <c r="AL495" t="s">
        <v>97</v>
      </c>
      <c r="AM495">
        <v>13</v>
      </c>
      <c r="AN495" t="s">
        <v>101</v>
      </c>
      <c r="AO495" t="s">
        <v>213</v>
      </c>
      <c r="AP495" t="s">
        <v>122</v>
      </c>
      <c r="AQ495" t="s">
        <v>103</v>
      </c>
      <c r="AR495" t="s">
        <v>104</v>
      </c>
      <c r="AS495" t="s">
        <v>214</v>
      </c>
      <c r="AT495" t="s">
        <v>106</v>
      </c>
      <c r="AU495" t="s">
        <v>97</v>
      </c>
      <c r="AV495" t="s">
        <v>97</v>
      </c>
      <c r="AW495">
        <v>-1.34</v>
      </c>
      <c r="AX495">
        <v>-0.28999999999999998</v>
      </c>
      <c r="AY495">
        <v>-0.94</v>
      </c>
      <c r="AZ495">
        <v>-1.26</v>
      </c>
      <c r="BA495" t="s">
        <v>97</v>
      </c>
      <c r="BB495" t="s">
        <v>97</v>
      </c>
      <c r="BC495">
        <v>680718</v>
      </c>
      <c r="BD495">
        <v>0</v>
      </c>
      <c r="BE495" t="s">
        <v>97</v>
      </c>
      <c r="BF495" t="s">
        <v>97</v>
      </c>
      <c r="BG495" t="s">
        <v>97</v>
      </c>
      <c r="BH495" t="s">
        <v>97</v>
      </c>
      <c r="BI495">
        <v>669257</v>
      </c>
      <c r="BJ495">
        <v>669257</v>
      </c>
      <c r="BK495" t="s">
        <v>97</v>
      </c>
      <c r="BL495" t="s">
        <v>97</v>
      </c>
      <c r="BM495">
        <v>-3.9279137949999998</v>
      </c>
      <c r="BN495">
        <v>-119.691965</v>
      </c>
      <c r="BO495">
        <v>-10.285307530000001</v>
      </c>
      <c r="BP495">
        <v>-11.73317831</v>
      </c>
      <c r="BQ495">
        <v>27.74353164</v>
      </c>
      <c r="BR495">
        <v>-32.777209900000003</v>
      </c>
      <c r="BS495">
        <v>3.23</v>
      </c>
      <c r="BT495">
        <v>1.47</v>
      </c>
      <c r="BU495" t="s">
        <v>97</v>
      </c>
      <c r="BV495" t="s">
        <v>97</v>
      </c>
      <c r="BW495" t="s">
        <v>97</v>
      </c>
      <c r="BX495">
        <v>82.3</v>
      </c>
      <c r="BY495">
        <v>2746</v>
      </c>
      <c r="BZ495">
        <v>6.8</v>
      </c>
      <c r="CA495">
        <v>813022</v>
      </c>
      <c r="CB495">
        <v>669257</v>
      </c>
      <c r="CC495">
        <v>669257</v>
      </c>
      <c r="CD495">
        <v>518692</v>
      </c>
      <c r="CE495">
        <v>669242</v>
      </c>
      <c r="CF495">
        <v>571970</v>
      </c>
      <c r="CG495">
        <v>605141</v>
      </c>
      <c r="CH495">
        <v>669743</v>
      </c>
      <c r="CI495">
        <v>571771</v>
      </c>
      <c r="CJ495">
        <v>606192</v>
      </c>
      <c r="CK495">
        <v>53.74</v>
      </c>
      <c r="CL495" t="s">
        <v>97</v>
      </c>
      <c r="CM495" t="s">
        <v>97</v>
      </c>
      <c r="CN495" t="s">
        <v>97</v>
      </c>
      <c r="CO495" t="s">
        <v>97</v>
      </c>
      <c r="CP495" t="s">
        <v>97</v>
      </c>
      <c r="CQ495" t="s">
        <v>97</v>
      </c>
      <c r="CR495" t="s">
        <v>97</v>
      </c>
      <c r="CS495">
        <v>1</v>
      </c>
      <c r="CT495">
        <v>3</v>
      </c>
      <c r="CU495">
        <v>3</v>
      </c>
      <c r="CV495">
        <v>1</v>
      </c>
      <c r="CW495">
        <v>3</v>
      </c>
      <c r="CX495">
        <v>1</v>
      </c>
      <c r="CY495">
        <v>3</v>
      </c>
      <c r="CZ495">
        <v>1</v>
      </c>
      <c r="DA495" t="s">
        <v>115</v>
      </c>
      <c r="DB495" t="s">
        <v>107</v>
      </c>
      <c r="DC495">
        <v>327</v>
      </c>
      <c r="DD495">
        <v>-1.9E-2</v>
      </c>
      <c r="DE495">
        <v>3.5999999999999997E-2</v>
      </c>
      <c r="DF495" t="s">
        <v>97</v>
      </c>
      <c r="DG495" t="s">
        <v>97</v>
      </c>
    </row>
    <row r="496" spans="1:111" x14ac:dyDescent="0.2">
      <c r="A496">
        <v>2025</v>
      </c>
      <c r="B496" s="1">
        <v>45959</v>
      </c>
      <c r="C496" t="s">
        <v>95</v>
      </c>
      <c r="D496">
        <v>605483</v>
      </c>
      <c r="E496">
        <v>643396</v>
      </c>
      <c r="F496">
        <v>2</v>
      </c>
      <c r="G496">
        <v>2</v>
      </c>
      <c r="H496">
        <v>7</v>
      </c>
      <c r="I496" t="s">
        <v>96</v>
      </c>
      <c r="J496">
        <v>48</v>
      </c>
      <c r="K496">
        <v>5</v>
      </c>
      <c r="L496" t="s">
        <v>97</v>
      </c>
      <c r="M496" t="s">
        <v>111</v>
      </c>
      <c r="N496" t="s">
        <v>112</v>
      </c>
      <c r="O496">
        <f t="shared" si="112"/>
        <v>0</v>
      </c>
      <c r="P496">
        <f t="shared" si="113"/>
        <v>0</v>
      </c>
      <c r="Q496">
        <f t="shared" si="114"/>
        <v>0</v>
      </c>
      <c r="R496">
        <f t="shared" si="115"/>
        <v>0</v>
      </c>
      <c r="S496">
        <f t="shared" si="116"/>
        <v>0</v>
      </c>
      <c r="T496">
        <f t="shared" si="117"/>
        <v>0</v>
      </c>
      <c r="U496">
        <f t="shared" si="118"/>
        <v>1</v>
      </c>
      <c r="V496">
        <f t="shared" si="119"/>
        <v>0</v>
      </c>
      <c r="W496">
        <f t="shared" si="120"/>
        <v>0</v>
      </c>
      <c r="X496">
        <f t="shared" si="121"/>
        <v>0</v>
      </c>
      <c r="Y496">
        <f t="shared" si="122"/>
        <v>0</v>
      </c>
      <c r="Z496">
        <f t="shared" si="123"/>
        <v>0</v>
      </c>
      <c r="AA496">
        <f t="shared" si="124"/>
        <v>0</v>
      </c>
      <c r="AB496">
        <f t="shared" si="125"/>
        <v>0</v>
      </c>
      <c r="AC496">
        <f t="shared" si="126"/>
        <v>0</v>
      </c>
      <c r="AD496">
        <f t="shared" si="127"/>
        <v>0</v>
      </c>
      <c r="AE496">
        <v>82</v>
      </c>
      <c r="AF496">
        <v>1.94</v>
      </c>
      <c r="AG496">
        <v>6.44</v>
      </c>
      <c r="AH496" t="s">
        <v>140</v>
      </c>
      <c r="AI496" t="s">
        <v>97</v>
      </c>
      <c r="AJ496" t="s">
        <v>97</v>
      </c>
      <c r="AK496" t="s">
        <v>97</v>
      </c>
      <c r="AL496" t="s">
        <v>97</v>
      </c>
      <c r="AM496">
        <v>13</v>
      </c>
      <c r="AN496" t="s">
        <v>141</v>
      </c>
      <c r="AO496" t="s">
        <v>213</v>
      </c>
      <c r="AP496" t="s">
        <v>122</v>
      </c>
      <c r="AQ496" t="s">
        <v>103</v>
      </c>
      <c r="AR496" t="s">
        <v>104</v>
      </c>
      <c r="AS496" t="s">
        <v>214</v>
      </c>
      <c r="AT496" t="s">
        <v>106</v>
      </c>
      <c r="AU496" t="s">
        <v>97</v>
      </c>
      <c r="AV496" t="s">
        <v>97</v>
      </c>
      <c r="AW496">
        <v>-1.28</v>
      </c>
      <c r="AX496">
        <v>-0.69</v>
      </c>
      <c r="AY496">
        <v>-1.3</v>
      </c>
      <c r="AZ496">
        <v>-1.35</v>
      </c>
      <c r="BA496" t="s">
        <v>97</v>
      </c>
      <c r="BB496">
        <v>680718</v>
      </c>
      <c r="BC496" t="s">
        <v>97</v>
      </c>
      <c r="BD496">
        <v>0</v>
      </c>
      <c r="BE496" t="s">
        <v>97</v>
      </c>
      <c r="BF496" t="s">
        <v>97</v>
      </c>
      <c r="BG496" t="s">
        <v>97</v>
      </c>
      <c r="BH496" t="s">
        <v>97</v>
      </c>
      <c r="BI496">
        <v>669257</v>
      </c>
      <c r="BJ496">
        <v>669257</v>
      </c>
      <c r="BK496" t="s">
        <v>97</v>
      </c>
      <c r="BL496" t="s">
        <v>97</v>
      </c>
      <c r="BM496">
        <v>-4.8705920709999999</v>
      </c>
      <c r="BN496">
        <v>-118.9813936</v>
      </c>
      <c r="BO496">
        <v>-9.5940492519999996</v>
      </c>
      <c r="BP496">
        <v>-10.863921339999999</v>
      </c>
      <c r="BQ496">
        <v>27.307466649999999</v>
      </c>
      <c r="BR496">
        <v>-36.687151679999999</v>
      </c>
      <c r="BS496">
        <v>3.16</v>
      </c>
      <c r="BT496">
        <v>1.47</v>
      </c>
      <c r="BU496" t="s">
        <v>97</v>
      </c>
      <c r="BV496" t="s">
        <v>97</v>
      </c>
      <c r="BW496" t="s">
        <v>97</v>
      </c>
      <c r="BX496">
        <v>81.8</v>
      </c>
      <c r="BY496">
        <v>2726</v>
      </c>
      <c r="BZ496">
        <v>6.8</v>
      </c>
      <c r="CA496">
        <v>813022</v>
      </c>
      <c r="CB496">
        <v>669257</v>
      </c>
      <c r="CC496">
        <v>669257</v>
      </c>
      <c r="CD496">
        <v>518692</v>
      </c>
      <c r="CE496">
        <v>669242</v>
      </c>
      <c r="CF496">
        <v>571970</v>
      </c>
      <c r="CG496">
        <v>605141</v>
      </c>
      <c r="CH496">
        <v>669743</v>
      </c>
      <c r="CI496">
        <v>571771</v>
      </c>
      <c r="CJ496">
        <v>606192</v>
      </c>
      <c r="CK496">
        <v>53.73</v>
      </c>
      <c r="CL496" t="s">
        <v>97</v>
      </c>
      <c r="CM496" t="s">
        <v>97</v>
      </c>
      <c r="CN496" t="s">
        <v>97</v>
      </c>
      <c r="CO496" t="s">
        <v>97</v>
      </c>
      <c r="CP496" t="s">
        <v>97</v>
      </c>
      <c r="CQ496" t="s">
        <v>97</v>
      </c>
      <c r="CR496" t="s">
        <v>97</v>
      </c>
      <c r="CS496">
        <v>1</v>
      </c>
      <c r="CT496">
        <v>3</v>
      </c>
      <c r="CU496">
        <v>3</v>
      </c>
      <c r="CV496">
        <v>1</v>
      </c>
      <c r="CW496">
        <v>3</v>
      </c>
      <c r="CX496">
        <v>1</v>
      </c>
      <c r="CY496">
        <v>3</v>
      </c>
      <c r="CZ496">
        <v>1</v>
      </c>
      <c r="DA496" t="s">
        <v>107</v>
      </c>
      <c r="DB496" t="s">
        <v>107</v>
      </c>
      <c r="DC496">
        <v>333</v>
      </c>
      <c r="DD496">
        <v>0</v>
      </c>
      <c r="DE496">
        <v>9.9000000000000005E-2</v>
      </c>
      <c r="DF496" t="s">
        <v>97</v>
      </c>
      <c r="DG496" t="s">
        <v>97</v>
      </c>
    </row>
    <row r="497" spans="1:111" x14ac:dyDescent="0.2">
      <c r="A497">
        <v>2025</v>
      </c>
      <c r="B497" s="1">
        <v>45959</v>
      </c>
      <c r="C497" t="s">
        <v>95</v>
      </c>
      <c r="D497">
        <v>605483</v>
      </c>
      <c r="E497">
        <v>643396</v>
      </c>
      <c r="F497">
        <v>3</v>
      </c>
      <c r="G497">
        <v>2</v>
      </c>
      <c r="H497">
        <v>7</v>
      </c>
      <c r="I497" t="s">
        <v>96</v>
      </c>
      <c r="J497">
        <v>48</v>
      </c>
      <c r="K497">
        <v>6</v>
      </c>
      <c r="L497" t="s">
        <v>119</v>
      </c>
      <c r="M497" t="s">
        <v>132</v>
      </c>
      <c r="N497" t="s">
        <v>133</v>
      </c>
      <c r="O497">
        <f t="shared" si="112"/>
        <v>0</v>
      </c>
      <c r="P497">
        <f t="shared" si="113"/>
        <v>0</v>
      </c>
      <c r="Q497">
        <f t="shared" si="114"/>
        <v>0</v>
      </c>
      <c r="R497">
        <f t="shared" si="115"/>
        <v>0</v>
      </c>
      <c r="S497">
        <f t="shared" si="116"/>
        <v>0</v>
      </c>
      <c r="T497">
        <f t="shared" si="117"/>
        <v>0</v>
      </c>
      <c r="U497">
        <f t="shared" si="118"/>
        <v>0</v>
      </c>
      <c r="V497">
        <f t="shared" si="119"/>
        <v>0</v>
      </c>
      <c r="W497">
        <f t="shared" si="120"/>
        <v>0</v>
      </c>
      <c r="X497">
        <f t="shared" si="121"/>
        <v>1</v>
      </c>
      <c r="Y497">
        <f t="shared" si="122"/>
        <v>0</v>
      </c>
      <c r="Z497">
        <f t="shared" si="123"/>
        <v>0</v>
      </c>
      <c r="AA497">
        <f t="shared" si="124"/>
        <v>0</v>
      </c>
      <c r="AB497">
        <f t="shared" si="125"/>
        <v>0</v>
      </c>
      <c r="AC497">
        <f t="shared" si="126"/>
        <v>0</v>
      </c>
      <c r="AD497">
        <f t="shared" si="127"/>
        <v>0</v>
      </c>
      <c r="AE497">
        <v>86.9</v>
      </c>
      <c r="AF497">
        <v>2.2200000000000002</v>
      </c>
      <c r="AG497">
        <v>6.26</v>
      </c>
      <c r="AH497" t="s">
        <v>120</v>
      </c>
      <c r="AI497" t="s">
        <v>97</v>
      </c>
      <c r="AJ497" t="s">
        <v>97</v>
      </c>
      <c r="AK497" t="s">
        <v>97</v>
      </c>
      <c r="AL497" t="s">
        <v>97</v>
      </c>
      <c r="AM497">
        <v>14</v>
      </c>
      <c r="AN497" t="s">
        <v>272</v>
      </c>
      <c r="AO497" t="s">
        <v>213</v>
      </c>
      <c r="AP497" t="s">
        <v>122</v>
      </c>
      <c r="AQ497" t="s">
        <v>103</v>
      </c>
      <c r="AR497" t="s">
        <v>104</v>
      </c>
      <c r="AS497" t="s">
        <v>214</v>
      </c>
      <c r="AT497" t="s">
        <v>123</v>
      </c>
      <c r="AU497">
        <v>6</v>
      </c>
      <c r="AV497" t="s">
        <v>127</v>
      </c>
      <c r="AW497">
        <v>1.23</v>
      </c>
      <c r="AX497">
        <v>0.69</v>
      </c>
      <c r="AY497">
        <v>0.64</v>
      </c>
      <c r="AZ497">
        <v>1.2</v>
      </c>
      <c r="BA497" t="s">
        <v>97</v>
      </c>
      <c r="BB497">
        <v>680718</v>
      </c>
      <c r="BC497" t="s">
        <v>97</v>
      </c>
      <c r="BD497">
        <v>0</v>
      </c>
      <c r="BE497">
        <v>103.35</v>
      </c>
      <c r="BF497">
        <v>157.16</v>
      </c>
      <c r="BG497" t="s">
        <v>97</v>
      </c>
      <c r="BH497" t="s">
        <v>97</v>
      </c>
      <c r="BI497">
        <v>669257</v>
      </c>
      <c r="BJ497">
        <v>669257</v>
      </c>
      <c r="BK497" t="s">
        <v>97</v>
      </c>
      <c r="BL497" t="s">
        <v>97</v>
      </c>
      <c r="BM497">
        <v>-6.3686245970000002</v>
      </c>
      <c r="BN497">
        <v>-126.2421942</v>
      </c>
      <c r="BO497">
        <v>-7.3793061030000002</v>
      </c>
      <c r="BP497">
        <v>14.423679379999999</v>
      </c>
      <c r="BQ497">
        <v>26.96086626</v>
      </c>
      <c r="BR497">
        <v>-23.46025474</v>
      </c>
      <c r="BS497">
        <v>3.22</v>
      </c>
      <c r="BT497">
        <v>1.47</v>
      </c>
      <c r="BU497">
        <v>5</v>
      </c>
      <c r="BV497">
        <v>106.1</v>
      </c>
      <c r="BW497">
        <v>-14</v>
      </c>
      <c r="BX497">
        <v>87.6</v>
      </c>
      <c r="BY497">
        <v>1862</v>
      </c>
      <c r="BZ497">
        <v>6.9</v>
      </c>
      <c r="CA497">
        <v>813022</v>
      </c>
      <c r="CB497">
        <v>669257</v>
      </c>
      <c r="CC497">
        <v>669257</v>
      </c>
      <c r="CD497">
        <v>518692</v>
      </c>
      <c r="CE497">
        <v>669242</v>
      </c>
      <c r="CF497">
        <v>571970</v>
      </c>
      <c r="CG497">
        <v>605141</v>
      </c>
      <c r="CH497">
        <v>669743</v>
      </c>
      <c r="CI497">
        <v>571771</v>
      </c>
      <c r="CJ497">
        <v>606192</v>
      </c>
      <c r="CK497">
        <v>53.58</v>
      </c>
      <c r="CL497">
        <v>0.26</v>
      </c>
      <c r="CM497">
        <v>0.249</v>
      </c>
      <c r="CN497">
        <v>0</v>
      </c>
      <c r="CO497">
        <v>1</v>
      </c>
      <c r="CP497">
        <v>0</v>
      </c>
      <c r="CQ497">
        <v>0</v>
      </c>
      <c r="CR497">
        <v>2</v>
      </c>
      <c r="CS497">
        <v>1</v>
      </c>
      <c r="CT497">
        <v>3</v>
      </c>
      <c r="CU497">
        <v>3</v>
      </c>
      <c r="CV497">
        <v>1</v>
      </c>
      <c r="CW497">
        <v>3</v>
      </c>
      <c r="CX497">
        <v>1</v>
      </c>
      <c r="CY497">
        <v>3</v>
      </c>
      <c r="CZ497">
        <v>1</v>
      </c>
      <c r="DA497" t="s">
        <v>107</v>
      </c>
      <c r="DB497" t="s">
        <v>107</v>
      </c>
      <c r="DC497">
        <v>133</v>
      </c>
      <c r="DD497">
        <v>2.7E-2</v>
      </c>
      <c r="DE497">
        <v>-0.27200000000000002</v>
      </c>
      <c r="DF497" t="s">
        <v>97</v>
      </c>
      <c r="DG497" t="s">
        <v>97</v>
      </c>
    </row>
    <row r="498" spans="1:111" x14ac:dyDescent="0.2">
      <c r="A498">
        <v>2025</v>
      </c>
      <c r="B498" s="1">
        <v>45959</v>
      </c>
      <c r="C498" t="s">
        <v>95</v>
      </c>
      <c r="D498">
        <v>605483</v>
      </c>
      <c r="E498">
        <v>665926</v>
      </c>
      <c r="F498">
        <v>0</v>
      </c>
      <c r="G498">
        <v>0</v>
      </c>
      <c r="H498">
        <v>7</v>
      </c>
      <c r="I498" t="s">
        <v>96</v>
      </c>
      <c r="J498">
        <v>49</v>
      </c>
      <c r="K498">
        <v>1</v>
      </c>
      <c r="L498" t="s">
        <v>97</v>
      </c>
      <c r="M498" t="s">
        <v>98</v>
      </c>
      <c r="N498" t="s">
        <v>99</v>
      </c>
      <c r="O498">
        <f t="shared" si="112"/>
        <v>1</v>
      </c>
      <c r="P498">
        <f t="shared" si="113"/>
        <v>0</v>
      </c>
      <c r="Q498">
        <f t="shared" si="114"/>
        <v>0</v>
      </c>
      <c r="R498">
        <f t="shared" si="115"/>
        <v>0</v>
      </c>
      <c r="S498">
        <f t="shared" si="116"/>
        <v>0</v>
      </c>
      <c r="T498">
        <f t="shared" si="117"/>
        <v>0</v>
      </c>
      <c r="U498">
        <f t="shared" si="118"/>
        <v>0</v>
      </c>
      <c r="V498">
        <f t="shared" si="119"/>
        <v>0</v>
      </c>
      <c r="W498">
        <f t="shared" si="120"/>
        <v>0</v>
      </c>
      <c r="X498">
        <f t="shared" si="121"/>
        <v>0</v>
      </c>
      <c r="Y498">
        <f t="shared" si="122"/>
        <v>0</v>
      </c>
      <c r="Z498">
        <f t="shared" si="123"/>
        <v>0</v>
      </c>
      <c r="AA498">
        <f t="shared" si="124"/>
        <v>0</v>
      </c>
      <c r="AB498">
        <f t="shared" si="125"/>
        <v>0</v>
      </c>
      <c r="AC498">
        <f t="shared" si="126"/>
        <v>0</v>
      </c>
      <c r="AD498">
        <f t="shared" si="127"/>
        <v>0</v>
      </c>
      <c r="AE498">
        <v>96.7</v>
      </c>
      <c r="AF498">
        <v>1.9</v>
      </c>
      <c r="AG498">
        <v>6.46</v>
      </c>
      <c r="AH498" t="s">
        <v>113</v>
      </c>
      <c r="AI498" t="s">
        <v>97</v>
      </c>
      <c r="AJ498" t="s">
        <v>97</v>
      </c>
      <c r="AK498" t="s">
        <v>97</v>
      </c>
      <c r="AL498" t="s">
        <v>97</v>
      </c>
      <c r="AM498">
        <v>2</v>
      </c>
      <c r="AN498" t="s">
        <v>114</v>
      </c>
      <c r="AO498" t="s">
        <v>213</v>
      </c>
      <c r="AP498" t="s">
        <v>103</v>
      </c>
      <c r="AQ498" t="s">
        <v>103</v>
      </c>
      <c r="AR498" t="s">
        <v>104</v>
      </c>
      <c r="AS498" t="s">
        <v>214</v>
      </c>
      <c r="AT498" t="s">
        <v>110</v>
      </c>
      <c r="AU498" t="s">
        <v>97</v>
      </c>
      <c r="AV498" t="s">
        <v>97</v>
      </c>
      <c r="AW498">
        <v>0.31</v>
      </c>
      <c r="AX498">
        <v>1.64</v>
      </c>
      <c r="AY498">
        <v>0.02</v>
      </c>
      <c r="AZ498">
        <v>2.85</v>
      </c>
      <c r="BA498" t="s">
        <v>97</v>
      </c>
      <c r="BB498">
        <v>680718</v>
      </c>
      <c r="BC498" t="s">
        <v>97</v>
      </c>
      <c r="BD498">
        <v>1</v>
      </c>
      <c r="BE498" t="s">
        <v>97</v>
      </c>
      <c r="BF498" t="s">
        <v>97</v>
      </c>
      <c r="BG498" t="s">
        <v>97</v>
      </c>
      <c r="BH498" t="s">
        <v>97</v>
      </c>
      <c r="BI498">
        <v>669257</v>
      </c>
      <c r="BJ498">
        <v>669257</v>
      </c>
      <c r="BK498" t="s">
        <v>97</v>
      </c>
      <c r="BL498" t="s">
        <v>97</v>
      </c>
      <c r="BM498">
        <v>-5.7597318250000002</v>
      </c>
      <c r="BN498">
        <v>-140.54027830000001</v>
      </c>
      <c r="BO498">
        <v>-7.8298179250000004</v>
      </c>
      <c r="BP498">
        <v>5.4354071890000002</v>
      </c>
      <c r="BQ498">
        <v>33.764697669999997</v>
      </c>
      <c r="BR498">
        <v>-8.8064882369999999</v>
      </c>
      <c r="BS498">
        <v>3.25</v>
      </c>
      <c r="BT498">
        <v>1.5</v>
      </c>
      <c r="BU498" t="s">
        <v>97</v>
      </c>
      <c r="BV498" t="s">
        <v>97</v>
      </c>
      <c r="BW498" t="s">
        <v>97</v>
      </c>
      <c r="BX498">
        <v>97.3</v>
      </c>
      <c r="BY498">
        <v>2557</v>
      </c>
      <c r="BZ498">
        <v>6.8</v>
      </c>
      <c r="CA498">
        <v>813022</v>
      </c>
      <c r="CB498">
        <v>669257</v>
      </c>
      <c r="CC498">
        <v>669257</v>
      </c>
      <c r="CD498">
        <v>518692</v>
      </c>
      <c r="CE498">
        <v>669242</v>
      </c>
      <c r="CF498">
        <v>571970</v>
      </c>
      <c r="CG498">
        <v>605141</v>
      </c>
      <c r="CH498">
        <v>669743</v>
      </c>
      <c r="CI498">
        <v>571771</v>
      </c>
      <c r="CJ498">
        <v>606192</v>
      </c>
      <c r="CK498">
        <v>53.69</v>
      </c>
      <c r="CL498" t="s">
        <v>97</v>
      </c>
      <c r="CM498" t="s">
        <v>97</v>
      </c>
      <c r="CN498" t="s">
        <v>97</v>
      </c>
      <c r="CO498" t="s">
        <v>97</v>
      </c>
      <c r="CP498" t="s">
        <v>97</v>
      </c>
      <c r="CQ498" t="s">
        <v>97</v>
      </c>
      <c r="CR498" t="s">
        <v>97</v>
      </c>
      <c r="CS498">
        <v>1</v>
      </c>
      <c r="CT498">
        <v>3</v>
      </c>
      <c r="CU498">
        <v>3</v>
      </c>
      <c r="CV498">
        <v>1</v>
      </c>
      <c r="CW498">
        <v>3</v>
      </c>
      <c r="CX498">
        <v>1</v>
      </c>
      <c r="CY498">
        <v>3</v>
      </c>
      <c r="CZ498">
        <v>1</v>
      </c>
      <c r="DA498" t="s">
        <v>107</v>
      </c>
      <c r="DB498" t="s">
        <v>107</v>
      </c>
      <c r="DC498">
        <v>156</v>
      </c>
      <c r="DD498">
        <v>0</v>
      </c>
      <c r="DE498">
        <v>-3.7999999999999999E-2</v>
      </c>
      <c r="DF498">
        <v>64.400000000000006</v>
      </c>
      <c r="DG498">
        <v>5.8</v>
      </c>
    </row>
    <row r="499" spans="1:111" x14ac:dyDescent="0.2">
      <c r="A499">
        <v>2025</v>
      </c>
      <c r="B499" s="1">
        <v>45959</v>
      </c>
      <c r="C499" t="s">
        <v>95</v>
      </c>
      <c r="D499">
        <v>605483</v>
      </c>
      <c r="E499">
        <v>665926</v>
      </c>
      <c r="F499">
        <v>0</v>
      </c>
      <c r="G499">
        <v>1</v>
      </c>
      <c r="H499">
        <v>7</v>
      </c>
      <c r="I499" t="s">
        <v>96</v>
      </c>
      <c r="J499">
        <v>49</v>
      </c>
      <c r="K499">
        <v>2</v>
      </c>
      <c r="L499" t="s">
        <v>97</v>
      </c>
      <c r="M499" t="s">
        <v>98</v>
      </c>
      <c r="N499" t="s">
        <v>99</v>
      </c>
      <c r="O499">
        <f t="shared" si="112"/>
        <v>0</v>
      </c>
      <c r="P499">
        <f t="shared" si="113"/>
        <v>1</v>
      </c>
      <c r="Q499">
        <f t="shared" si="114"/>
        <v>0</v>
      </c>
      <c r="R499">
        <f t="shared" si="115"/>
        <v>0</v>
      </c>
      <c r="S499">
        <f t="shared" si="116"/>
        <v>0</v>
      </c>
      <c r="T499">
        <f t="shared" si="117"/>
        <v>0</v>
      </c>
      <c r="U499">
        <f t="shared" si="118"/>
        <v>0</v>
      </c>
      <c r="V499">
        <f t="shared" si="119"/>
        <v>0</v>
      </c>
      <c r="W499">
        <f t="shared" si="120"/>
        <v>0</v>
      </c>
      <c r="X499">
        <f t="shared" si="121"/>
        <v>0</v>
      </c>
      <c r="Y499">
        <f t="shared" si="122"/>
        <v>0</v>
      </c>
      <c r="Z499">
        <f t="shared" si="123"/>
        <v>0</v>
      </c>
      <c r="AA499">
        <f t="shared" si="124"/>
        <v>0</v>
      </c>
      <c r="AB499">
        <f t="shared" si="125"/>
        <v>0</v>
      </c>
      <c r="AC499">
        <f t="shared" si="126"/>
        <v>0</v>
      </c>
      <c r="AD499">
        <f t="shared" si="127"/>
        <v>0</v>
      </c>
      <c r="AE499">
        <v>96.6</v>
      </c>
      <c r="AF499">
        <v>2.06</v>
      </c>
      <c r="AG499">
        <v>6.49</v>
      </c>
      <c r="AH499" t="s">
        <v>100</v>
      </c>
      <c r="AI499" t="s">
        <v>97</v>
      </c>
      <c r="AJ499" t="s">
        <v>97</v>
      </c>
      <c r="AK499" t="s">
        <v>97</v>
      </c>
      <c r="AL499" t="s">
        <v>97</v>
      </c>
      <c r="AM499">
        <v>11</v>
      </c>
      <c r="AN499" t="s">
        <v>101</v>
      </c>
      <c r="AO499" t="s">
        <v>213</v>
      </c>
      <c r="AP499" t="s">
        <v>103</v>
      </c>
      <c r="AQ499" t="s">
        <v>103</v>
      </c>
      <c r="AR499" t="s">
        <v>104</v>
      </c>
      <c r="AS499" t="s">
        <v>214</v>
      </c>
      <c r="AT499" t="s">
        <v>106</v>
      </c>
      <c r="AU499" t="s">
        <v>97</v>
      </c>
      <c r="AV499" t="s">
        <v>97</v>
      </c>
      <c r="AW499">
        <v>0.33</v>
      </c>
      <c r="AX499">
        <v>1.49</v>
      </c>
      <c r="AY499">
        <v>-0.33</v>
      </c>
      <c r="AZ499">
        <v>4.57</v>
      </c>
      <c r="BA499" t="s">
        <v>97</v>
      </c>
      <c r="BB499">
        <v>680718</v>
      </c>
      <c r="BC499" t="s">
        <v>97</v>
      </c>
      <c r="BD499">
        <v>1</v>
      </c>
      <c r="BE499" t="s">
        <v>97</v>
      </c>
      <c r="BF499" t="s">
        <v>97</v>
      </c>
      <c r="BG499" t="s">
        <v>97</v>
      </c>
      <c r="BH499" t="s">
        <v>97</v>
      </c>
      <c r="BI499">
        <v>669257</v>
      </c>
      <c r="BJ499">
        <v>669257</v>
      </c>
      <c r="BK499" t="s">
        <v>97</v>
      </c>
      <c r="BL499" t="s">
        <v>97</v>
      </c>
      <c r="BM499">
        <v>-7.1683888610000004</v>
      </c>
      <c r="BN499">
        <v>-140.49219120000001</v>
      </c>
      <c r="BO499">
        <v>-2.905358734</v>
      </c>
      <c r="BP499">
        <v>6.0789459690000003</v>
      </c>
      <c r="BQ499">
        <v>34.018214290000003</v>
      </c>
      <c r="BR499">
        <v>-12.09256486</v>
      </c>
      <c r="BS499">
        <v>3.32</v>
      </c>
      <c r="BT499">
        <v>1.51</v>
      </c>
      <c r="BU499" t="s">
        <v>97</v>
      </c>
      <c r="BV499" t="s">
        <v>97</v>
      </c>
      <c r="BW499" t="s">
        <v>97</v>
      </c>
      <c r="BX499">
        <v>97.1</v>
      </c>
      <c r="BY499">
        <v>2431</v>
      </c>
      <c r="BZ499">
        <v>6.7</v>
      </c>
      <c r="CA499">
        <v>813022</v>
      </c>
      <c r="CB499">
        <v>669257</v>
      </c>
      <c r="CC499">
        <v>669257</v>
      </c>
      <c r="CD499">
        <v>518692</v>
      </c>
      <c r="CE499">
        <v>669242</v>
      </c>
      <c r="CF499">
        <v>571970</v>
      </c>
      <c r="CG499">
        <v>605141</v>
      </c>
      <c r="CH499">
        <v>669743</v>
      </c>
      <c r="CI499">
        <v>571771</v>
      </c>
      <c r="CJ499">
        <v>606192</v>
      </c>
      <c r="CK499">
        <v>53.77</v>
      </c>
      <c r="CL499" t="s">
        <v>97</v>
      </c>
      <c r="CM499" t="s">
        <v>97</v>
      </c>
      <c r="CN499" t="s">
        <v>97</v>
      </c>
      <c r="CO499" t="s">
        <v>97</v>
      </c>
      <c r="CP499" t="s">
        <v>97</v>
      </c>
      <c r="CQ499" t="s">
        <v>97</v>
      </c>
      <c r="CR499" t="s">
        <v>97</v>
      </c>
      <c r="CS499">
        <v>1</v>
      </c>
      <c r="CT499">
        <v>3</v>
      </c>
      <c r="CU499">
        <v>3</v>
      </c>
      <c r="CV499">
        <v>1</v>
      </c>
      <c r="CW499">
        <v>3</v>
      </c>
      <c r="CX499">
        <v>1</v>
      </c>
      <c r="CY499">
        <v>3</v>
      </c>
      <c r="CZ499">
        <v>1</v>
      </c>
      <c r="DA499" t="s">
        <v>107</v>
      </c>
      <c r="DB499" t="s">
        <v>107</v>
      </c>
      <c r="DC499">
        <v>155</v>
      </c>
      <c r="DD499">
        <v>0</v>
      </c>
      <c r="DE499">
        <v>2.5000000000000001E-2</v>
      </c>
      <c r="DF499" t="s">
        <v>97</v>
      </c>
      <c r="DG499" t="s">
        <v>97</v>
      </c>
    </row>
    <row r="500" spans="1:111" x14ac:dyDescent="0.2">
      <c r="A500">
        <v>2025</v>
      </c>
      <c r="B500" s="1">
        <v>45959</v>
      </c>
      <c r="C500" t="s">
        <v>95</v>
      </c>
      <c r="D500">
        <v>605483</v>
      </c>
      <c r="E500">
        <v>665926</v>
      </c>
      <c r="F500">
        <v>1</v>
      </c>
      <c r="G500">
        <v>1</v>
      </c>
      <c r="H500">
        <v>7</v>
      </c>
      <c r="I500" t="s">
        <v>96</v>
      </c>
      <c r="J500">
        <v>49</v>
      </c>
      <c r="K500">
        <v>3</v>
      </c>
      <c r="L500" t="s">
        <v>97</v>
      </c>
      <c r="M500" t="s">
        <v>111</v>
      </c>
      <c r="N500" t="s">
        <v>112</v>
      </c>
      <c r="O500">
        <f t="shared" si="112"/>
        <v>0</v>
      </c>
      <c r="P500">
        <f t="shared" si="113"/>
        <v>0</v>
      </c>
      <c r="Q500">
        <f t="shared" si="114"/>
        <v>0</v>
      </c>
      <c r="R500">
        <f t="shared" si="115"/>
        <v>0</v>
      </c>
      <c r="S500">
        <f t="shared" si="116"/>
        <v>0</v>
      </c>
      <c r="T500">
        <f t="shared" si="117"/>
        <v>0</v>
      </c>
      <c r="U500">
        <f t="shared" si="118"/>
        <v>0</v>
      </c>
      <c r="V500">
        <f t="shared" si="119"/>
        <v>1</v>
      </c>
      <c r="W500">
        <f t="shared" si="120"/>
        <v>0</v>
      </c>
      <c r="X500">
        <f t="shared" si="121"/>
        <v>0</v>
      </c>
      <c r="Y500">
        <f t="shared" si="122"/>
        <v>0</v>
      </c>
      <c r="Z500">
        <f t="shared" si="123"/>
        <v>0</v>
      </c>
      <c r="AA500">
        <f t="shared" si="124"/>
        <v>0</v>
      </c>
      <c r="AB500">
        <f t="shared" si="125"/>
        <v>0</v>
      </c>
      <c r="AC500">
        <f t="shared" si="126"/>
        <v>0</v>
      </c>
      <c r="AD500">
        <f t="shared" si="127"/>
        <v>0</v>
      </c>
      <c r="AE500">
        <v>81.099999999999994</v>
      </c>
      <c r="AF500">
        <v>1.95</v>
      </c>
      <c r="AG500">
        <v>6.44</v>
      </c>
      <c r="AH500" t="s">
        <v>100</v>
      </c>
      <c r="AI500" t="s">
        <v>97</v>
      </c>
      <c r="AJ500" t="s">
        <v>97</v>
      </c>
      <c r="AK500" t="s">
        <v>97</v>
      </c>
      <c r="AL500" t="s">
        <v>97</v>
      </c>
      <c r="AM500">
        <v>13</v>
      </c>
      <c r="AN500" t="s">
        <v>101</v>
      </c>
      <c r="AO500" t="s">
        <v>213</v>
      </c>
      <c r="AP500" t="s">
        <v>103</v>
      </c>
      <c r="AQ500" t="s">
        <v>103</v>
      </c>
      <c r="AR500" t="s">
        <v>104</v>
      </c>
      <c r="AS500" t="s">
        <v>214</v>
      </c>
      <c r="AT500" t="s">
        <v>106</v>
      </c>
      <c r="AU500" t="s">
        <v>97</v>
      </c>
      <c r="AV500" t="s">
        <v>97</v>
      </c>
      <c r="AW500">
        <v>-0.74</v>
      </c>
      <c r="AX500">
        <v>-0.73</v>
      </c>
      <c r="AY500">
        <v>-1.01</v>
      </c>
      <c r="AZ500">
        <v>1.19</v>
      </c>
      <c r="BA500" t="s">
        <v>97</v>
      </c>
      <c r="BB500">
        <v>680718</v>
      </c>
      <c r="BC500" t="s">
        <v>97</v>
      </c>
      <c r="BD500">
        <v>1</v>
      </c>
      <c r="BE500" t="s">
        <v>97</v>
      </c>
      <c r="BF500" t="s">
        <v>97</v>
      </c>
      <c r="BG500" t="s">
        <v>97</v>
      </c>
      <c r="BH500" t="s">
        <v>97</v>
      </c>
      <c r="BI500">
        <v>669257</v>
      </c>
      <c r="BJ500">
        <v>669257</v>
      </c>
      <c r="BK500" t="s">
        <v>97</v>
      </c>
      <c r="BL500" t="s">
        <v>97</v>
      </c>
      <c r="BM500">
        <v>-5.2261391130000003</v>
      </c>
      <c r="BN500">
        <v>-117.9586151</v>
      </c>
      <c r="BO500">
        <v>-3.6608506329999999</v>
      </c>
      <c r="BP500">
        <v>-5.7897083089999999</v>
      </c>
      <c r="BQ500">
        <v>24.851745189999999</v>
      </c>
      <c r="BR500">
        <v>-38.369000630000002</v>
      </c>
      <c r="BS500">
        <v>3.25</v>
      </c>
      <c r="BT500">
        <v>1.51</v>
      </c>
      <c r="BU500" t="s">
        <v>97</v>
      </c>
      <c r="BV500" t="s">
        <v>97</v>
      </c>
      <c r="BW500" t="s">
        <v>97</v>
      </c>
      <c r="BX500">
        <v>81.3</v>
      </c>
      <c r="BY500">
        <v>2754</v>
      </c>
      <c r="BZ500">
        <v>6.7</v>
      </c>
      <c r="CA500">
        <v>813022</v>
      </c>
      <c r="CB500">
        <v>669257</v>
      </c>
      <c r="CC500">
        <v>669257</v>
      </c>
      <c r="CD500">
        <v>518692</v>
      </c>
      <c r="CE500">
        <v>669242</v>
      </c>
      <c r="CF500">
        <v>571970</v>
      </c>
      <c r="CG500">
        <v>605141</v>
      </c>
      <c r="CH500">
        <v>669743</v>
      </c>
      <c r="CI500">
        <v>571771</v>
      </c>
      <c r="CJ500">
        <v>606192</v>
      </c>
      <c r="CK500">
        <v>53.78</v>
      </c>
      <c r="CL500" t="s">
        <v>97</v>
      </c>
      <c r="CM500" t="s">
        <v>97</v>
      </c>
      <c r="CN500" t="s">
        <v>97</v>
      </c>
      <c r="CO500" t="s">
        <v>97</v>
      </c>
      <c r="CP500" t="s">
        <v>97</v>
      </c>
      <c r="CQ500" t="s">
        <v>97</v>
      </c>
      <c r="CR500" t="s">
        <v>97</v>
      </c>
      <c r="CS500">
        <v>1</v>
      </c>
      <c r="CT500">
        <v>3</v>
      </c>
      <c r="CU500">
        <v>3</v>
      </c>
      <c r="CV500">
        <v>1</v>
      </c>
      <c r="CW500">
        <v>3</v>
      </c>
      <c r="CX500">
        <v>1</v>
      </c>
      <c r="CY500">
        <v>3</v>
      </c>
      <c r="CZ500">
        <v>1</v>
      </c>
      <c r="DA500" t="s">
        <v>107</v>
      </c>
      <c r="DB500" t="s">
        <v>107</v>
      </c>
      <c r="DC500">
        <v>325</v>
      </c>
      <c r="DD500">
        <v>0</v>
      </c>
      <c r="DE500">
        <v>0.03</v>
      </c>
      <c r="DF500" t="s">
        <v>97</v>
      </c>
      <c r="DG500" t="s">
        <v>97</v>
      </c>
    </row>
    <row r="501" spans="1:111" x14ac:dyDescent="0.2">
      <c r="A501">
        <v>2025</v>
      </c>
      <c r="B501" s="1">
        <v>45959</v>
      </c>
      <c r="C501" t="s">
        <v>95</v>
      </c>
      <c r="D501">
        <v>605483</v>
      </c>
      <c r="E501">
        <v>665926</v>
      </c>
      <c r="F501">
        <v>2</v>
      </c>
      <c r="G501">
        <v>1</v>
      </c>
      <c r="H501">
        <v>7</v>
      </c>
      <c r="I501" t="s">
        <v>96</v>
      </c>
      <c r="J501">
        <v>49</v>
      </c>
      <c r="K501">
        <v>4</v>
      </c>
      <c r="L501" t="s">
        <v>97</v>
      </c>
      <c r="M501" t="s">
        <v>138</v>
      </c>
      <c r="N501" t="s">
        <v>139</v>
      </c>
      <c r="O501">
        <f t="shared" si="112"/>
        <v>0</v>
      </c>
      <c r="P501">
        <f t="shared" si="113"/>
        <v>0</v>
      </c>
      <c r="Q501">
        <f t="shared" si="114"/>
        <v>0</v>
      </c>
      <c r="R501">
        <f t="shared" si="115"/>
        <v>0</v>
      </c>
      <c r="S501">
        <f t="shared" si="116"/>
        <v>0</v>
      </c>
      <c r="T501">
        <f t="shared" si="117"/>
        <v>0</v>
      </c>
      <c r="U501">
        <f t="shared" si="118"/>
        <v>0</v>
      </c>
      <c r="V501">
        <f t="shared" si="119"/>
        <v>0</v>
      </c>
      <c r="W501">
        <f t="shared" si="120"/>
        <v>0</v>
      </c>
      <c r="X501">
        <f t="shared" si="121"/>
        <v>0</v>
      </c>
      <c r="Y501">
        <f t="shared" si="122"/>
        <v>0</v>
      </c>
      <c r="Z501">
        <f t="shared" si="123"/>
        <v>0</v>
      </c>
      <c r="AA501">
        <f t="shared" si="124"/>
        <v>1</v>
      </c>
      <c r="AB501">
        <f t="shared" si="125"/>
        <v>0</v>
      </c>
      <c r="AC501">
        <f t="shared" si="126"/>
        <v>0</v>
      </c>
      <c r="AD501">
        <f t="shared" si="127"/>
        <v>0</v>
      </c>
      <c r="AE501">
        <v>88.7</v>
      </c>
      <c r="AF501">
        <v>2.12</v>
      </c>
      <c r="AG501">
        <v>6.4</v>
      </c>
      <c r="AH501" t="s">
        <v>113</v>
      </c>
      <c r="AI501" t="s">
        <v>97</v>
      </c>
      <c r="AJ501" t="s">
        <v>97</v>
      </c>
      <c r="AK501" t="s">
        <v>97</v>
      </c>
      <c r="AL501" t="s">
        <v>97</v>
      </c>
      <c r="AM501">
        <v>13</v>
      </c>
      <c r="AN501" t="s">
        <v>114</v>
      </c>
      <c r="AO501" t="s">
        <v>213</v>
      </c>
      <c r="AP501" t="s">
        <v>103</v>
      </c>
      <c r="AQ501" t="s">
        <v>103</v>
      </c>
      <c r="AR501" t="s">
        <v>104</v>
      </c>
      <c r="AS501" t="s">
        <v>214</v>
      </c>
      <c r="AT501" t="s">
        <v>110</v>
      </c>
      <c r="AU501" t="s">
        <v>97</v>
      </c>
      <c r="AV501" t="s">
        <v>97</v>
      </c>
      <c r="AW501">
        <v>-0.26</v>
      </c>
      <c r="AX501">
        <v>0.64</v>
      </c>
      <c r="AY501">
        <v>-0.53</v>
      </c>
      <c r="AZ501">
        <v>1.04</v>
      </c>
      <c r="BA501" t="s">
        <v>97</v>
      </c>
      <c r="BB501">
        <v>680718</v>
      </c>
      <c r="BC501" t="s">
        <v>97</v>
      </c>
      <c r="BD501">
        <v>1</v>
      </c>
      <c r="BE501" t="s">
        <v>97</v>
      </c>
      <c r="BF501" t="s">
        <v>97</v>
      </c>
      <c r="BG501" t="s">
        <v>97</v>
      </c>
      <c r="BH501" t="s">
        <v>97</v>
      </c>
      <c r="BI501">
        <v>669257</v>
      </c>
      <c r="BJ501">
        <v>669257</v>
      </c>
      <c r="BK501" t="s">
        <v>97</v>
      </c>
      <c r="BL501" t="s">
        <v>97</v>
      </c>
      <c r="BM501">
        <v>-5.9944174969999997</v>
      </c>
      <c r="BN501">
        <v>-128.89760430000001</v>
      </c>
      <c r="BO501">
        <v>-8.4712189609999999</v>
      </c>
      <c r="BP501">
        <v>-1.6042980950000001</v>
      </c>
      <c r="BQ501">
        <v>26.926547530000001</v>
      </c>
      <c r="BR501">
        <v>-23.504635270000001</v>
      </c>
      <c r="BS501">
        <v>3.25</v>
      </c>
      <c r="BT501">
        <v>1.5</v>
      </c>
      <c r="BU501" t="s">
        <v>97</v>
      </c>
      <c r="BV501" t="s">
        <v>97</v>
      </c>
      <c r="BW501" t="s">
        <v>97</v>
      </c>
      <c r="BX501">
        <v>89.6</v>
      </c>
      <c r="BY501">
        <v>2300</v>
      </c>
      <c r="BZ501">
        <v>7</v>
      </c>
      <c r="CA501">
        <v>813022</v>
      </c>
      <c r="CB501">
        <v>669257</v>
      </c>
      <c r="CC501">
        <v>669257</v>
      </c>
      <c r="CD501">
        <v>518692</v>
      </c>
      <c r="CE501">
        <v>669242</v>
      </c>
      <c r="CF501">
        <v>571970</v>
      </c>
      <c r="CG501">
        <v>605141</v>
      </c>
      <c r="CH501">
        <v>669743</v>
      </c>
      <c r="CI501">
        <v>571771</v>
      </c>
      <c r="CJ501">
        <v>606192</v>
      </c>
      <c r="CK501">
        <v>53.54</v>
      </c>
      <c r="CL501" t="s">
        <v>97</v>
      </c>
      <c r="CM501" t="s">
        <v>97</v>
      </c>
      <c r="CN501" t="s">
        <v>97</v>
      </c>
      <c r="CO501" t="s">
        <v>97</v>
      </c>
      <c r="CP501" t="s">
        <v>97</v>
      </c>
      <c r="CQ501" t="s">
        <v>97</v>
      </c>
      <c r="CR501" t="s">
        <v>97</v>
      </c>
      <c r="CS501">
        <v>1</v>
      </c>
      <c r="CT501">
        <v>3</v>
      </c>
      <c r="CU501">
        <v>3</v>
      </c>
      <c r="CV501">
        <v>1</v>
      </c>
      <c r="CW501">
        <v>3</v>
      </c>
      <c r="CX501">
        <v>1</v>
      </c>
      <c r="CY501">
        <v>3</v>
      </c>
      <c r="CZ501">
        <v>1</v>
      </c>
      <c r="DA501" t="s">
        <v>107</v>
      </c>
      <c r="DB501" t="s">
        <v>107</v>
      </c>
      <c r="DC501">
        <v>166</v>
      </c>
      <c r="DD501">
        <v>0</v>
      </c>
      <c r="DE501">
        <v>-6.5000000000000002E-2</v>
      </c>
      <c r="DF501">
        <v>71.900000000000006</v>
      </c>
      <c r="DG501">
        <v>7.8</v>
      </c>
    </row>
    <row r="502" spans="1:111" x14ac:dyDescent="0.2">
      <c r="A502">
        <v>2025</v>
      </c>
      <c r="B502" s="1">
        <v>45959</v>
      </c>
      <c r="C502" t="s">
        <v>95</v>
      </c>
      <c r="D502">
        <v>605483</v>
      </c>
      <c r="E502">
        <v>665926</v>
      </c>
      <c r="F502">
        <v>2</v>
      </c>
      <c r="G502">
        <v>2</v>
      </c>
      <c r="H502">
        <v>7</v>
      </c>
      <c r="I502" t="s">
        <v>96</v>
      </c>
      <c r="J502">
        <v>49</v>
      </c>
      <c r="K502">
        <v>5</v>
      </c>
      <c r="L502" t="s">
        <v>97</v>
      </c>
      <c r="M502" t="s">
        <v>138</v>
      </c>
      <c r="N502" t="s">
        <v>139</v>
      </c>
      <c r="O502">
        <f t="shared" si="112"/>
        <v>0</v>
      </c>
      <c r="P502">
        <f t="shared" si="113"/>
        <v>0</v>
      </c>
      <c r="Q502">
        <f t="shared" si="114"/>
        <v>0</v>
      </c>
      <c r="R502">
        <f t="shared" si="115"/>
        <v>0</v>
      </c>
      <c r="S502">
        <f t="shared" si="116"/>
        <v>0</v>
      </c>
      <c r="T502">
        <f t="shared" si="117"/>
        <v>0</v>
      </c>
      <c r="U502">
        <f t="shared" si="118"/>
        <v>0</v>
      </c>
      <c r="V502">
        <f t="shared" si="119"/>
        <v>0</v>
      </c>
      <c r="W502">
        <f t="shared" si="120"/>
        <v>0</v>
      </c>
      <c r="X502">
        <f t="shared" si="121"/>
        <v>0</v>
      </c>
      <c r="Y502">
        <f t="shared" si="122"/>
        <v>0</v>
      </c>
      <c r="Z502">
        <f t="shared" si="123"/>
        <v>0</v>
      </c>
      <c r="AA502">
        <f t="shared" si="124"/>
        <v>0</v>
      </c>
      <c r="AB502">
        <f t="shared" si="125"/>
        <v>1</v>
      </c>
      <c r="AC502">
        <f t="shared" si="126"/>
        <v>0</v>
      </c>
      <c r="AD502">
        <f t="shared" si="127"/>
        <v>0</v>
      </c>
      <c r="AE502">
        <v>90.3</v>
      </c>
      <c r="AF502">
        <v>1.99</v>
      </c>
      <c r="AG502">
        <v>6.48</v>
      </c>
      <c r="AH502" t="s">
        <v>129</v>
      </c>
      <c r="AI502" t="s">
        <v>97</v>
      </c>
      <c r="AJ502" t="s">
        <v>97</v>
      </c>
      <c r="AK502" t="s">
        <v>97</v>
      </c>
      <c r="AL502" t="s">
        <v>97</v>
      </c>
      <c r="AM502">
        <v>5</v>
      </c>
      <c r="AN502" t="s">
        <v>130</v>
      </c>
      <c r="AO502" t="s">
        <v>213</v>
      </c>
      <c r="AP502" t="s">
        <v>103</v>
      </c>
      <c r="AQ502" t="s">
        <v>103</v>
      </c>
      <c r="AR502" t="s">
        <v>104</v>
      </c>
      <c r="AS502" t="s">
        <v>214</v>
      </c>
      <c r="AT502" t="s">
        <v>110</v>
      </c>
      <c r="AU502" t="s">
        <v>97</v>
      </c>
      <c r="AV502" t="s">
        <v>97</v>
      </c>
      <c r="AW502">
        <v>-0.12</v>
      </c>
      <c r="AX502">
        <v>0.7</v>
      </c>
      <c r="AY502">
        <v>-0.06</v>
      </c>
      <c r="AZ502">
        <v>2.44</v>
      </c>
      <c r="BA502" t="s">
        <v>97</v>
      </c>
      <c r="BB502">
        <v>680718</v>
      </c>
      <c r="BC502" t="s">
        <v>97</v>
      </c>
      <c r="BD502">
        <v>1</v>
      </c>
      <c r="BE502" t="s">
        <v>97</v>
      </c>
      <c r="BF502" t="s">
        <v>97</v>
      </c>
      <c r="BG502" t="s">
        <v>97</v>
      </c>
      <c r="BH502" t="s">
        <v>97</v>
      </c>
      <c r="BI502">
        <v>669257</v>
      </c>
      <c r="BJ502">
        <v>669257</v>
      </c>
      <c r="BK502" t="s">
        <v>97</v>
      </c>
      <c r="BL502" t="s">
        <v>97</v>
      </c>
      <c r="BM502">
        <v>-4.9084438490000002</v>
      </c>
      <c r="BN502">
        <v>-131.33566830000001</v>
      </c>
      <c r="BO502">
        <v>-5.6187467699999996</v>
      </c>
      <c r="BP502">
        <v>-0.329484889</v>
      </c>
      <c r="BQ502">
        <v>28.85013459</v>
      </c>
      <c r="BR502">
        <v>-23.118728470000001</v>
      </c>
      <c r="BS502">
        <v>3.25</v>
      </c>
      <c r="BT502">
        <v>1.5</v>
      </c>
      <c r="BU502">
        <v>2</v>
      </c>
      <c r="BV502">
        <v>77.400000000000006</v>
      </c>
      <c r="BW502">
        <v>-46</v>
      </c>
      <c r="BX502">
        <v>91.1</v>
      </c>
      <c r="BY502">
        <v>2284</v>
      </c>
      <c r="BZ502">
        <v>6.9</v>
      </c>
      <c r="CA502">
        <v>813022</v>
      </c>
      <c r="CB502">
        <v>669257</v>
      </c>
      <c r="CC502">
        <v>669257</v>
      </c>
      <c r="CD502">
        <v>518692</v>
      </c>
      <c r="CE502">
        <v>669242</v>
      </c>
      <c r="CF502">
        <v>571970</v>
      </c>
      <c r="CG502">
        <v>605141</v>
      </c>
      <c r="CH502">
        <v>669743</v>
      </c>
      <c r="CI502">
        <v>571771</v>
      </c>
      <c r="CJ502">
        <v>606192</v>
      </c>
      <c r="CK502">
        <v>53.64</v>
      </c>
      <c r="CL502" t="s">
        <v>97</v>
      </c>
      <c r="CM502" t="s">
        <v>97</v>
      </c>
      <c r="CN502" t="s">
        <v>97</v>
      </c>
      <c r="CO502" t="s">
        <v>97</v>
      </c>
      <c r="CP502" t="s">
        <v>97</v>
      </c>
      <c r="CQ502" t="s">
        <v>97</v>
      </c>
      <c r="CR502" t="s">
        <v>97</v>
      </c>
      <c r="CS502">
        <v>1</v>
      </c>
      <c r="CT502">
        <v>3</v>
      </c>
      <c r="CU502">
        <v>3</v>
      </c>
      <c r="CV502">
        <v>1</v>
      </c>
      <c r="CW502">
        <v>3</v>
      </c>
      <c r="CX502">
        <v>1</v>
      </c>
      <c r="CY502">
        <v>3</v>
      </c>
      <c r="CZ502">
        <v>1</v>
      </c>
      <c r="DA502" t="s">
        <v>107</v>
      </c>
      <c r="DB502" t="s">
        <v>107</v>
      </c>
      <c r="DC502">
        <v>175</v>
      </c>
      <c r="DD502">
        <v>0</v>
      </c>
      <c r="DE502">
        <v>0</v>
      </c>
      <c r="DF502">
        <v>66.2</v>
      </c>
      <c r="DG502">
        <v>6.4</v>
      </c>
    </row>
    <row r="503" spans="1:111" x14ac:dyDescent="0.2">
      <c r="A503">
        <v>2025</v>
      </c>
      <c r="B503" s="1">
        <v>45959</v>
      </c>
      <c r="C503" t="s">
        <v>95</v>
      </c>
      <c r="D503">
        <v>605483</v>
      </c>
      <c r="E503">
        <v>665926</v>
      </c>
      <c r="F503">
        <v>2</v>
      </c>
      <c r="G503">
        <v>2</v>
      </c>
      <c r="H503">
        <v>7</v>
      </c>
      <c r="I503" t="s">
        <v>96</v>
      </c>
      <c r="J503">
        <v>49</v>
      </c>
      <c r="K503">
        <v>6</v>
      </c>
      <c r="L503" t="s">
        <v>97</v>
      </c>
      <c r="M503" t="s">
        <v>98</v>
      </c>
      <c r="N503" t="s">
        <v>99</v>
      </c>
      <c r="O503">
        <f t="shared" si="112"/>
        <v>0</v>
      </c>
      <c r="P503">
        <f t="shared" si="113"/>
        <v>1</v>
      </c>
      <c r="Q503">
        <f t="shared" si="114"/>
        <v>0</v>
      </c>
      <c r="R503">
        <f t="shared" si="115"/>
        <v>0</v>
      </c>
      <c r="S503">
        <f t="shared" si="116"/>
        <v>0</v>
      </c>
      <c r="T503">
        <f t="shared" si="117"/>
        <v>0</v>
      </c>
      <c r="U503">
        <f t="shared" si="118"/>
        <v>0</v>
      </c>
      <c r="V503">
        <f t="shared" si="119"/>
        <v>0</v>
      </c>
      <c r="W503">
        <f t="shared" si="120"/>
        <v>0</v>
      </c>
      <c r="X503">
        <f t="shared" si="121"/>
        <v>0</v>
      </c>
      <c r="Y503">
        <f t="shared" si="122"/>
        <v>0</v>
      </c>
      <c r="Z503">
        <f t="shared" si="123"/>
        <v>0</v>
      </c>
      <c r="AA503">
        <f t="shared" si="124"/>
        <v>0</v>
      </c>
      <c r="AB503">
        <f t="shared" si="125"/>
        <v>0</v>
      </c>
      <c r="AC503">
        <f t="shared" si="126"/>
        <v>0</v>
      </c>
      <c r="AD503">
        <f t="shared" si="127"/>
        <v>0</v>
      </c>
      <c r="AE503">
        <v>96.9</v>
      </c>
      <c r="AF503">
        <v>1.89</v>
      </c>
      <c r="AG503">
        <v>6.47</v>
      </c>
      <c r="AH503" t="s">
        <v>100</v>
      </c>
      <c r="AI503" t="s">
        <v>97</v>
      </c>
      <c r="AJ503" t="s">
        <v>97</v>
      </c>
      <c r="AK503" t="s">
        <v>97</v>
      </c>
      <c r="AL503" t="s">
        <v>97</v>
      </c>
      <c r="AM503">
        <v>11</v>
      </c>
      <c r="AN503" t="s">
        <v>101</v>
      </c>
      <c r="AO503" t="s">
        <v>213</v>
      </c>
      <c r="AP503" t="s">
        <v>103</v>
      </c>
      <c r="AQ503" t="s">
        <v>103</v>
      </c>
      <c r="AR503" t="s">
        <v>104</v>
      </c>
      <c r="AS503" t="s">
        <v>214</v>
      </c>
      <c r="AT503" t="s">
        <v>106</v>
      </c>
      <c r="AU503" t="s">
        <v>97</v>
      </c>
      <c r="AV503" t="s">
        <v>97</v>
      </c>
      <c r="AW503">
        <v>0.34</v>
      </c>
      <c r="AX503">
        <v>1.33</v>
      </c>
      <c r="AY503">
        <v>-0.9</v>
      </c>
      <c r="AZ503">
        <v>2.38</v>
      </c>
      <c r="BA503" t="s">
        <v>97</v>
      </c>
      <c r="BB503">
        <v>680718</v>
      </c>
      <c r="BC503" t="s">
        <v>97</v>
      </c>
      <c r="BD503">
        <v>1</v>
      </c>
      <c r="BE503" t="s">
        <v>97</v>
      </c>
      <c r="BF503" t="s">
        <v>97</v>
      </c>
      <c r="BG503" t="s">
        <v>97</v>
      </c>
      <c r="BH503" t="s">
        <v>97</v>
      </c>
      <c r="BI503">
        <v>669257</v>
      </c>
      <c r="BJ503">
        <v>669257</v>
      </c>
      <c r="BK503" t="s">
        <v>97</v>
      </c>
      <c r="BL503" t="s">
        <v>97</v>
      </c>
      <c r="BM503">
        <v>-8.3111160399999999</v>
      </c>
      <c r="BN503">
        <v>-140.72537689999999</v>
      </c>
      <c r="BO503">
        <v>-8.4993814079999996</v>
      </c>
      <c r="BP503">
        <v>6.4345933149999999</v>
      </c>
      <c r="BQ503">
        <v>32.064627020000003</v>
      </c>
      <c r="BR503">
        <v>-12.7728672</v>
      </c>
      <c r="BS503">
        <v>3.21</v>
      </c>
      <c r="BT503">
        <v>1.44</v>
      </c>
      <c r="BU503" t="s">
        <v>97</v>
      </c>
      <c r="BV503" t="s">
        <v>97</v>
      </c>
      <c r="BW503" t="s">
        <v>97</v>
      </c>
      <c r="BX503">
        <v>97.9</v>
      </c>
      <c r="BY503">
        <v>2550</v>
      </c>
      <c r="BZ503">
        <v>6.9</v>
      </c>
      <c r="CA503">
        <v>813022</v>
      </c>
      <c r="CB503">
        <v>669257</v>
      </c>
      <c r="CC503">
        <v>669257</v>
      </c>
      <c r="CD503">
        <v>518692</v>
      </c>
      <c r="CE503">
        <v>669242</v>
      </c>
      <c r="CF503">
        <v>571970</v>
      </c>
      <c r="CG503">
        <v>605141</v>
      </c>
      <c r="CH503">
        <v>669743</v>
      </c>
      <c r="CI503">
        <v>571771</v>
      </c>
      <c r="CJ503">
        <v>606192</v>
      </c>
      <c r="CK503">
        <v>53.55</v>
      </c>
      <c r="CL503" t="s">
        <v>97</v>
      </c>
      <c r="CM503" t="s">
        <v>97</v>
      </c>
      <c r="CN503" t="s">
        <v>97</v>
      </c>
      <c r="CO503" t="s">
        <v>97</v>
      </c>
      <c r="CP503" t="s">
        <v>97</v>
      </c>
      <c r="CQ503" t="s">
        <v>97</v>
      </c>
      <c r="CR503" t="s">
        <v>97</v>
      </c>
      <c r="CS503">
        <v>1</v>
      </c>
      <c r="CT503">
        <v>3</v>
      </c>
      <c r="CU503">
        <v>3</v>
      </c>
      <c r="CV503">
        <v>1</v>
      </c>
      <c r="CW503">
        <v>3</v>
      </c>
      <c r="CX503">
        <v>1</v>
      </c>
      <c r="CY503">
        <v>3</v>
      </c>
      <c r="CZ503">
        <v>1</v>
      </c>
      <c r="DA503" t="s">
        <v>107</v>
      </c>
      <c r="DB503" t="s">
        <v>107</v>
      </c>
      <c r="DC503">
        <v>155</v>
      </c>
      <c r="DD503">
        <v>0</v>
      </c>
      <c r="DE503">
        <v>6.8000000000000005E-2</v>
      </c>
      <c r="DF503" t="s">
        <v>97</v>
      </c>
      <c r="DG503" t="s">
        <v>97</v>
      </c>
    </row>
    <row r="504" spans="1:111" x14ac:dyDescent="0.2">
      <c r="A504">
        <v>2025</v>
      </c>
      <c r="B504" s="1">
        <v>45959</v>
      </c>
      <c r="C504" t="s">
        <v>95</v>
      </c>
      <c r="D504">
        <v>605483</v>
      </c>
      <c r="E504">
        <v>665926</v>
      </c>
      <c r="F504">
        <v>3</v>
      </c>
      <c r="G504">
        <v>2</v>
      </c>
      <c r="H504">
        <v>7</v>
      </c>
      <c r="I504" t="s">
        <v>96</v>
      </c>
      <c r="J504">
        <v>49</v>
      </c>
      <c r="K504">
        <v>7</v>
      </c>
      <c r="L504" t="s">
        <v>142</v>
      </c>
      <c r="M504" t="s">
        <v>111</v>
      </c>
      <c r="N504" t="s">
        <v>112</v>
      </c>
      <c r="O504">
        <f t="shared" si="112"/>
        <v>0</v>
      </c>
      <c r="P504">
        <f t="shared" si="113"/>
        <v>0</v>
      </c>
      <c r="Q504">
        <f t="shared" si="114"/>
        <v>0</v>
      </c>
      <c r="R504">
        <f t="shared" si="115"/>
        <v>0</v>
      </c>
      <c r="S504">
        <f t="shared" si="116"/>
        <v>0</v>
      </c>
      <c r="T504">
        <f t="shared" si="117"/>
        <v>0</v>
      </c>
      <c r="U504">
        <f t="shared" si="118"/>
        <v>1</v>
      </c>
      <c r="V504">
        <f t="shared" si="119"/>
        <v>0</v>
      </c>
      <c r="W504">
        <f t="shared" si="120"/>
        <v>0</v>
      </c>
      <c r="X504">
        <f t="shared" si="121"/>
        <v>0</v>
      </c>
      <c r="Y504">
        <f t="shared" si="122"/>
        <v>0</v>
      </c>
      <c r="Z504">
        <f t="shared" si="123"/>
        <v>0</v>
      </c>
      <c r="AA504">
        <f t="shared" si="124"/>
        <v>0</v>
      </c>
      <c r="AB504">
        <f t="shared" si="125"/>
        <v>0</v>
      </c>
      <c r="AC504">
        <f t="shared" si="126"/>
        <v>0</v>
      </c>
      <c r="AD504">
        <f t="shared" si="127"/>
        <v>0</v>
      </c>
      <c r="AE504">
        <v>78.900000000000006</v>
      </c>
      <c r="AF504">
        <v>1.96</v>
      </c>
      <c r="AG504">
        <v>6.51</v>
      </c>
      <c r="AH504" t="s">
        <v>100</v>
      </c>
      <c r="AI504" t="s">
        <v>97</v>
      </c>
      <c r="AJ504" t="s">
        <v>97</v>
      </c>
      <c r="AK504" t="s">
        <v>97</v>
      </c>
      <c r="AL504" t="s">
        <v>97</v>
      </c>
      <c r="AM504">
        <v>12</v>
      </c>
      <c r="AN504" t="s">
        <v>273</v>
      </c>
      <c r="AO504" t="s">
        <v>213</v>
      </c>
      <c r="AP504" t="s">
        <v>103</v>
      </c>
      <c r="AQ504" t="s">
        <v>103</v>
      </c>
      <c r="AR504" t="s">
        <v>104</v>
      </c>
      <c r="AS504" t="s">
        <v>214</v>
      </c>
      <c r="AT504" t="s">
        <v>106</v>
      </c>
      <c r="AU504" t="s">
        <v>97</v>
      </c>
      <c r="AV504" t="s">
        <v>97</v>
      </c>
      <c r="AW504">
        <v>-0.92</v>
      </c>
      <c r="AX504">
        <v>-0.53</v>
      </c>
      <c r="AY504">
        <v>0.8</v>
      </c>
      <c r="AZ504">
        <v>3.64</v>
      </c>
      <c r="BA504" t="s">
        <v>97</v>
      </c>
      <c r="BB504">
        <v>680718</v>
      </c>
      <c r="BC504" t="s">
        <v>97</v>
      </c>
      <c r="BD504">
        <v>1</v>
      </c>
      <c r="BE504" t="s">
        <v>97</v>
      </c>
      <c r="BF504" t="s">
        <v>97</v>
      </c>
      <c r="BG504" t="s">
        <v>97</v>
      </c>
      <c r="BH504" t="s">
        <v>97</v>
      </c>
      <c r="BI504">
        <v>669257</v>
      </c>
      <c r="BJ504">
        <v>669257</v>
      </c>
      <c r="BK504" t="s">
        <v>97</v>
      </c>
      <c r="BL504" t="s">
        <v>97</v>
      </c>
      <c r="BM504">
        <v>-0.81957582900000003</v>
      </c>
      <c r="BN504">
        <v>-114.8258323</v>
      </c>
      <c r="BO504">
        <v>1.6459353670000001</v>
      </c>
      <c r="BP504">
        <v>-7.9066748489999998</v>
      </c>
      <c r="BQ504">
        <v>23.687975349999999</v>
      </c>
      <c r="BR504">
        <v>-37.357795459999998</v>
      </c>
      <c r="BS504">
        <v>3.12</v>
      </c>
      <c r="BT504">
        <v>1.46</v>
      </c>
      <c r="BU504" t="s">
        <v>97</v>
      </c>
      <c r="BV504" t="s">
        <v>97</v>
      </c>
      <c r="BW504" t="s">
        <v>97</v>
      </c>
      <c r="BX504">
        <v>78.900000000000006</v>
      </c>
      <c r="BY504">
        <v>2529</v>
      </c>
      <c r="BZ504">
        <v>6.5</v>
      </c>
      <c r="CA504">
        <v>813022</v>
      </c>
      <c r="CB504">
        <v>669257</v>
      </c>
      <c r="CC504">
        <v>669257</v>
      </c>
      <c r="CD504">
        <v>518692</v>
      </c>
      <c r="CE504">
        <v>669242</v>
      </c>
      <c r="CF504">
        <v>571970</v>
      </c>
      <c r="CG504">
        <v>605141</v>
      </c>
      <c r="CH504">
        <v>669743</v>
      </c>
      <c r="CI504">
        <v>571771</v>
      </c>
      <c r="CJ504">
        <v>606192</v>
      </c>
      <c r="CK504">
        <v>53.97</v>
      </c>
      <c r="CL504" t="s">
        <v>97</v>
      </c>
      <c r="CM504">
        <v>0.69149700000000003</v>
      </c>
      <c r="CN504">
        <v>0.7</v>
      </c>
      <c r="CO504">
        <v>1</v>
      </c>
      <c r="CP504">
        <v>0</v>
      </c>
      <c r="CQ504">
        <v>0</v>
      </c>
      <c r="CR504" t="s">
        <v>97</v>
      </c>
      <c r="CS504">
        <v>1</v>
      </c>
      <c r="CT504">
        <v>3</v>
      </c>
      <c r="CU504">
        <v>3</v>
      </c>
      <c r="CV504">
        <v>1</v>
      </c>
      <c r="CW504">
        <v>3</v>
      </c>
      <c r="CX504">
        <v>1</v>
      </c>
      <c r="CY504">
        <v>3</v>
      </c>
      <c r="CZ504">
        <v>1</v>
      </c>
      <c r="DA504" t="s">
        <v>107</v>
      </c>
      <c r="DB504" t="s">
        <v>107</v>
      </c>
      <c r="DC504">
        <v>324</v>
      </c>
      <c r="DD504">
        <v>-8.0000000000000002E-3</v>
      </c>
      <c r="DE504">
        <v>0.21199999999999999</v>
      </c>
      <c r="DF504" t="s">
        <v>97</v>
      </c>
      <c r="DG504" t="s">
        <v>97</v>
      </c>
    </row>
    <row r="505" spans="1:111" x14ac:dyDescent="0.2">
      <c r="A505">
        <v>2025</v>
      </c>
      <c r="B505" s="1">
        <v>45959</v>
      </c>
      <c r="C505" t="s">
        <v>95</v>
      </c>
      <c r="D505">
        <v>605483</v>
      </c>
      <c r="E505">
        <v>676914</v>
      </c>
      <c r="F505">
        <v>0</v>
      </c>
      <c r="G505">
        <v>0</v>
      </c>
      <c r="H505">
        <v>7</v>
      </c>
      <c r="I505" t="s">
        <v>96</v>
      </c>
      <c r="J505">
        <v>50</v>
      </c>
      <c r="K505">
        <v>1</v>
      </c>
      <c r="L505" t="s">
        <v>97</v>
      </c>
      <c r="M505" t="s">
        <v>132</v>
      </c>
      <c r="N505" t="s">
        <v>133</v>
      </c>
      <c r="O505">
        <f t="shared" si="112"/>
        <v>0</v>
      </c>
      <c r="P505">
        <f t="shared" si="113"/>
        <v>0</v>
      </c>
      <c r="Q505">
        <f t="shared" si="114"/>
        <v>0</v>
      </c>
      <c r="R505">
        <f t="shared" si="115"/>
        <v>0</v>
      </c>
      <c r="S505">
        <f t="shared" si="116"/>
        <v>0</v>
      </c>
      <c r="T505">
        <f t="shared" si="117"/>
        <v>0</v>
      </c>
      <c r="U505">
        <f t="shared" si="118"/>
        <v>0</v>
      </c>
      <c r="V505">
        <f t="shared" si="119"/>
        <v>0</v>
      </c>
      <c r="W505">
        <f t="shared" si="120"/>
        <v>1</v>
      </c>
      <c r="X505">
        <f t="shared" si="121"/>
        <v>0</v>
      </c>
      <c r="Y505">
        <f t="shared" si="122"/>
        <v>0</v>
      </c>
      <c r="Z505">
        <f t="shared" si="123"/>
        <v>0</v>
      </c>
      <c r="AA505">
        <f t="shared" si="124"/>
        <v>0</v>
      </c>
      <c r="AB505">
        <f t="shared" si="125"/>
        <v>0</v>
      </c>
      <c r="AC505">
        <f t="shared" si="126"/>
        <v>0</v>
      </c>
      <c r="AD505">
        <f t="shared" si="127"/>
        <v>0</v>
      </c>
      <c r="AE505">
        <v>87.3</v>
      </c>
      <c r="AF505">
        <v>2.2599999999999998</v>
      </c>
      <c r="AG505">
        <v>6.22</v>
      </c>
      <c r="AH505" t="s">
        <v>108</v>
      </c>
      <c r="AI505" t="s">
        <v>97</v>
      </c>
      <c r="AJ505" t="s">
        <v>97</v>
      </c>
      <c r="AK505" t="s">
        <v>97</v>
      </c>
      <c r="AL505" t="s">
        <v>97</v>
      </c>
      <c r="AM505">
        <v>8</v>
      </c>
      <c r="AN505" t="s">
        <v>109</v>
      </c>
      <c r="AO505" t="s">
        <v>213</v>
      </c>
      <c r="AP505" t="s">
        <v>122</v>
      </c>
      <c r="AQ505" t="s">
        <v>103</v>
      </c>
      <c r="AR505" t="s">
        <v>104</v>
      </c>
      <c r="AS505" t="s">
        <v>214</v>
      </c>
      <c r="AT505" t="s">
        <v>110</v>
      </c>
      <c r="AU505" t="s">
        <v>97</v>
      </c>
      <c r="AV505" t="s">
        <v>97</v>
      </c>
      <c r="AW505">
        <v>1.27</v>
      </c>
      <c r="AX505">
        <v>0.36</v>
      </c>
      <c r="AY505">
        <v>0.26</v>
      </c>
      <c r="AZ505">
        <v>1.64</v>
      </c>
      <c r="BA505" t="s">
        <v>97</v>
      </c>
      <c r="BB505">
        <v>680718</v>
      </c>
      <c r="BC505">
        <v>665926</v>
      </c>
      <c r="BD505">
        <v>1</v>
      </c>
      <c r="BE505" t="s">
        <v>97</v>
      </c>
      <c r="BF505" t="s">
        <v>97</v>
      </c>
      <c r="BG505" t="s">
        <v>97</v>
      </c>
      <c r="BH505" t="s">
        <v>97</v>
      </c>
      <c r="BI505">
        <v>669257</v>
      </c>
      <c r="BJ505">
        <v>669257</v>
      </c>
      <c r="BK505" t="s">
        <v>97</v>
      </c>
      <c r="BL505" t="s">
        <v>97</v>
      </c>
      <c r="BM505">
        <v>-7.5075317479999999</v>
      </c>
      <c r="BN505">
        <v>-126.72080029999999</v>
      </c>
      <c r="BO505">
        <v>-5.5832351439999997</v>
      </c>
      <c r="BP505">
        <v>15.22607541</v>
      </c>
      <c r="BQ505">
        <v>27.962411759999998</v>
      </c>
      <c r="BR505">
        <v>-27.243026390000001</v>
      </c>
      <c r="BS505">
        <v>3.17</v>
      </c>
      <c r="BT505">
        <v>1.53</v>
      </c>
      <c r="BU505" t="s">
        <v>97</v>
      </c>
      <c r="BV505" t="s">
        <v>97</v>
      </c>
      <c r="BW505" t="s">
        <v>97</v>
      </c>
      <c r="BX505">
        <v>87.8</v>
      </c>
      <c r="BY505">
        <v>1634</v>
      </c>
      <c r="BZ505">
        <v>6.9</v>
      </c>
      <c r="CA505">
        <v>813022</v>
      </c>
      <c r="CB505">
        <v>669257</v>
      </c>
      <c r="CC505">
        <v>669257</v>
      </c>
      <c r="CD505">
        <v>518692</v>
      </c>
      <c r="CE505">
        <v>669242</v>
      </c>
      <c r="CF505">
        <v>571970</v>
      </c>
      <c r="CG505">
        <v>605141</v>
      </c>
      <c r="CH505">
        <v>669743</v>
      </c>
      <c r="CI505">
        <v>571771</v>
      </c>
      <c r="CJ505">
        <v>606192</v>
      </c>
      <c r="CK505">
        <v>53.6</v>
      </c>
      <c r="CL505" t="s">
        <v>97</v>
      </c>
      <c r="CM505" t="s">
        <v>97</v>
      </c>
      <c r="CN505" t="s">
        <v>97</v>
      </c>
      <c r="CO505" t="s">
        <v>97</v>
      </c>
      <c r="CP505" t="s">
        <v>97</v>
      </c>
      <c r="CQ505" t="s">
        <v>97</v>
      </c>
      <c r="CR505" t="s">
        <v>97</v>
      </c>
      <c r="CS505">
        <v>1</v>
      </c>
      <c r="CT505">
        <v>3</v>
      </c>
      <c r="CU505">
        <v>3</v>
      </c>
      <c r="CV505">
        <v>1</v>
      </c>
      <c r="CW505">
        <v>3</v>
      </c>
      <c r="CX505">
        <v>1</v>
      </c>
      <c r="CY505">
        <v>3</v>
      </c>
      <c r="CZ505">
        <v>1</v>
      </c>
      <c r="DA505" t="s">
        <v>107</v>
      </c>
      <c r="DB505" t="s">
        <v>107</v>
      </c>
      <c r="DC505">
        <v>129</v>
      </c>
      <c r="DD505">
        <v>0</v>
      </c>
      <c r="DE505">
        <v>-3.3000000000000002E-2</v>
      </c>
      <c r="DF505" t="s">
        <v>97</v>
      </c>
      <c r="DG505" t="s">
        <v>97</v>
      </c>
    </row>
    <row r="506" spans="1:111" x14ac:dyDescent="0.2">
      <c r="A506">
        <v>2025</v>
      </c>
      <c r="B506" s="1">
        <v>45959</v>
      </c>
      <c r="C506" t="s">
        <v>95</v>
      </c>
      <c r="D506">
        <v>605483</v>
      </c>
      <c r="E506">
        <v>676914</v>
      </c>
      <c r="F506">
        <v>0</v>
      </c>
      <c r="G506">
        <v>1</v>
      </c>
      <c r="H506">
        <v>7</v>
      </c>
      <c r="I506" t="s">
        <v>96</v>
      </c>
      <c r="J506">
        <v>50</v>
      </c>
      <c r="K506">
        <v>2</v>
      </c>
      <c r="L506" t="s">
        <v>97</v>
      </c>
      <c r="M506" t="s">
        <v>132</v>
      </c>
      <c r="N506" t="s">
        <v>133</v>
      </c>
      <c r="O506">
        <f t="shared" si="112"/>
        <v>0</v>
      </c>
      <c r="P506">
        <f t="shared" si="113"/>
        <v>0</v>
      </c>
      <c r="Q506">
        <f t="shared" si="114"/>
        <v>0</v>
      </c>
      <c r="R506">
        <f t="shared" si="115"/>
        <v>0</v>
      </c>
      <c r="S506">
        <f t="shared" si="116"/>
        <v>0</v>
      </c>
      <c r="T506">
        <f t="shared" si="117"/>
        <v>0</v>
      </c>
      <c r="U506">
        <f t="shared" si="118"/>
        <v>0</v>
      </c>
      <c r="V506">
        <f t="shared" si="119"/>
        <v>0</v>
      </c>
      <c r="W506">
        <f t="shared" si="120"/>
        <v>0</v>
      </c>
      <c r="X506">
        <f t="shared" si="121"/>
        <v>0</v>
      </c>
      <c r="Y506">
        <f t="shared" si="122"/>
        <v>0</v>
      </c>
      <c r="Z506">
        <f t="shared" si="123"/>
        <v>1</v>
      </c>
      <c r="AA506">
        <f t="shared" si="124"/>
        <v>0</v>
      </c>
      <c r="AB506">
        <f t="shared" si="125"/>
        <v>0</v>
      </c>
      <c r="AC506">
        <f t="shared" si="126"/>
        <v>0</v>
      </c>
      <c r="AD506">
        <f t="shared" si="127"/>
        <v>0</v>
      </c>
      <c r="AE506">
        <v>82.8</v>
      </c>
      <c r="AF506">
        <v>2.2799999999999998</v>
      </c>
      <c r="AG506">
        <v>6.27</v>
      </c>
      <c r="AH506" t="s">
        <v>108</v>
      </c>
      <c r="AI506" t="s">
        <v>97</v>
      </c>
      <c r="AJ506" t="s">
        <v>97</v>
      </c>
      <c r="AK506" t="s">
        <v>97</v>
      </c>
      <c r="AL506" t="s">
        <v>97</v>
      </c>
      <c r="AM506">
        <v>5</v>
      </c>
      <c r="AN506" t="s">
        <v>109</v>
      </c>
      <c r="AO506" t="s">
        <v>213</v>
      </c>
      <c r="AP506" t="s">
        <v>122</v>
      </c>
      <c r="AQ506" t="s">
        <v>103</v>
      </c>
      <c r="AR506" t="s">
        <v>104</v>
      </c>
      <c r="AS506" t="s">
        <v>214</v>
      </c>
      <c r="AT506" t="s">
        <v>110</v>
      </c>
      <c r="AU506" t="s">
        <v>97</v>
      </c>
      <c r="AV506" t="s">
        <v>97</v>
      </c>
      <c r="AW506">
        <v>1.1399999999999999</v>
      </c>
      <c r="AX506">
        <v>0.49</v>
      </c>
      <c r="AY506">
        <v>0.09</v>
      </c>
      <c r="AZ506">
        <v>2.63</v>
      </c>
      <c r="BA506" t="s">
        <v>97</v>
      </c>
      <c r="BB506">
        <v>680718</v>
      </c>
      <c r="BC506">
        <v>665926</v>
      </c>
      <c r="BD506">
        <v>1</v>
      </c>
      <c r="BE506" t="s">
        <v>97</v>
      </c>
      <c r="BF506" t="s">
        <v>97</v>
      </c>
      <c r="BG506" t="s">
        <v>97</v>
      </c>
      <c r="BH506" t="s">
        <v>97</v>
      </c>
      <c r="BI506">
        <v>669257</v>
      </c>
      <c r="BJ506">
        <v>669257</v>
      </c>
      <c r="BK506" t="s">
        <v>97</v>
      </c>
      <c r="BL506" t="s">
        <v>97</v>
      </c>
      <c r="BM506">
        <v>-7.2580236979999997</v>
      </c>
      <c r="BN506">
        <v>-120.387715</v>
      </c>
      <c r="BO506">
        <v>-2.7455718390000001</v>
      </c>
      <c r="BP506">
        <v>12.553399499999999</v>
      </c>
      <c r="BQ506">
        <v>24.597027189999999</v>
      </c>
      <c r="BR506">
        <v>-27.08636087</v>
      </c>
      <c r="BS506">
        <v>3.12</v>
      </c>
      <c r="BT506">
        <v>1.53</v>
      </c>
      <c r="BU506" t="s">
        <v>97</v>
      </c>
      <c r="BV506" t="s">
        <v>97</v>
      </c>
      <c r="BW506" t="s">
        <v>97</v>
      </c>
      <c r="BX506">
        <v>83.1</v>
      </c>
      <c r="BY506">
        <v>1617</v>
      </c>
      <c r="BZ506">
        <v>6.6</v>
      </c>
      <c r="CA506">
        <v>813022</v>
      </c>
      <c r="CB506">
        <v>669257</v>
      </c>
      <c r="CC506">
        <v>669257</v>
      </c>
      <c r="CD506">
        <v>518692</v>
      </c>
      <c r="CE506">
        <v>669242</v>
      </c>
      <c r="CF506">
        <v>571970</v>
      </c>
      <c r="CG506">
        <v>605141</v>
      </c>
      <c r="CH506">
        <v>669743</v>
      </c>
      <c r="CI506">
        <v>571771</v>
      </c>
      <c r="CJ506">
        <v>606192</v>
      </c>
      <c r="CK506">
        <v>53.88</v>
      </c>
      <c r="CL506" t="s">
        <v>97</v>
      </c>
      <c r="CM506" t="s">
        <v>97</v>
      </c>
      <c r="CN506" t="s">
        <v>97</v>
      </c>
      <c r="CO506" t="s">
        <v>97</v>
      </c>
      <c r="CP506" t="s">
        <v>97</v>
      </c>
      <c r="CQ506" t="s">
        <v>97</v>
      </c>
      <c r="CR506" t="s">
        <v>97</v>
      </c>
      <c r="CS506">
        <v>1</v>
      </c>
      <c r="CT506">
        <v>3</v>
      </c>
      <c r="CU506">
        <v>3</v>
      </c>
      <c r="CV506">
        <v>1</v>
      </c>
      <c r="CW506">
        <v>3</v>
      </c>
      <c r="CX506">
        <v>1</v>
      </c>
      <c r="CY506">
        <v>3</v>
      </c>
      <c r="CZ506">
        <v>1</v>
      </c>
      <c r="DA506" t="s">
        <v>107</v>
      </c>
      <c r="DB506" t="s">
        <v>107</v>
      </c>
      <c r="DC506">
        <v>129</v>
      </c>
      <c r="DD506">
        <v>0</v>
      </c>
      <c r="DE506">
        <v>-5.2999999999999999E-2</v>
      </c>
      <c r="DF506" t="s">
        <v>97</v>
      </c>
      <c r="DG506" t="s">
        <v>97</v>
      </c>
    </row>
    <row r="507" spans="1:111" x14ac:dyDescent="0.2">
      <c r="A507">
        <v>2025</v>
      </c>
      <c r="B507" s="1">
        <v>45959</v>
      </c>
      <c r="C507" t="s">
        <v>95</v>
      </c>
      <c r="D507">
        <v>605483</v>
      </c>
      <c r="E507">
        <v>676914</v>
      </c>
      <c r="F507">
        <v>0</v>
      </c>
      <c r="G507">
        <v>2</v>
      </c>
      <c r="H507">
        <v>7</v>
      </c>
      <c r="I507" t="s">
        <v>96</v>
      </c>
      <c r="J507">
        <v>50</v>
      </c>
      <c r="K507">
        <v>3</v>
      </c>
      <c r="L507" t="s">
        <v>97</v>
      </c>
      <c r="M507" t="s">
        <v>138</v>
      </c>
      <c r="N507" t="s">
        <v>139</v>
      </c>
      <c r="O507">
        <f t="shared" si="112"/>
        <v>0</v>
      </c>
      <c r="P507">
        <f t="shared" si="113"/>
        <v>0</v>
      </c>
      <c r="Q507">
        <f t="shared" si="114"/>
        <v>0</v>
      </c>
      <c r="R507">
        <f t="shared" si="115"/>
        <v>0</v>
      </c>
      <c r="S507">
        <f t="shared" si="116"/>
        <v>0</v>
      </c>
      <c r="T507">
        <f t="shared" si="117"/>
        <v>0</v>
      </c>
      <c r="U507">
        <f t="shared" si="118"/>
        <v>0</v>
      </c>
      <c r="V507">
        <f t="shared" si="119"/>
        <v>0</v>
      </c>
      <c r="W507">
        <f t="shared" si="120"/>
        <v>0</v>
      </c>
      <c r="X507">
        <f t="shared" si="121"/>
        <v>0</v>
      </c>
      <c r="Y507">
        <f t="shared" si="122"/>
        <v>0</v>
      </c>
      <c r="Z507">
        <f t="shared" si="123"/>
        <v>0</v>
      </c>
      <c r="AA507">
        <f t="shared" si="124"/>
        <v>0</v>
      </c>
      <c r="AB507">
        <f t="shared" si="125"/>
        <v>0</v>
      </c>
      <c r="AC507">
        <f t="shared" si="126"/>
        <v>1</v>
      </c>
      <c r="AD507">
        <f t="shared" si="127"/>
        <v>0</v>
      </c>
      <c r="AE507">
        <v>89.2</v>
      </c>
      <c r="AF507">
        <v>2.06</v>
      </c>
      <c r="AG507">
        <v>6.37</v>
      </c>
      <c r="AH507" t="s">
        <v>100</v>
      </c>
      <c r="AI507" t="s">
        <v>97</v>
      </c>
      <c r="AJ507" t="s">
        <v>97</v>
      </c>
      <c r="AK507" t="s">
        <v>97</v>
      </c>
      <c r="AL507" t="s">
        <v>97</v>
      </c>
      <c r="AM507">
        <v>13</v>
      </c>
      <c r="AN507" t="s">
        <v>101</v>
      </c>
      <c r="AO507" t="s">
        <v>213</v>
      </c>
      <c r="AP507" t="s">
        <v>122</v>
      </c>
      <c r="AQ507" t="s">
        <v>103</v>
      </c>
      <c r="AR507" t="s">
        <v>104</v>
      </c>
      <c r="AS507" t="s">
        <v>214</v>
      </c>
      <c r="AT507" t="s">
        <v>106</v>
      </c>
      <c r="AU507" t="s">
        <v>97</v>
      </c>
      <c r="AV507" t="s">
        <v>97</v>
      </c>
      <c r="AW507">
        <v>0.09</v>
      </c>
      <c r="AX507">
        <v>0.75</v>
      </c>
      <c r="AY507">
        <v>-0.71</v>
      </c>
      <c r="AZ507">
        <v>1.39</v>
      </c>
      <c r="BA507" t="s">
        <v>97</v>
      </c>
      <c r="BB507">
        <v>680718</v>
      </c>
      <c r="BC507">
        <v>665926</v>
      </c>
      <c r="BD507">
        <v>1</v>
      </c>
      <c r="BE507" t="s">
        <v>97</v>
      </c>
      <c r="BF507" t="s">
        <v>97</v>
      </c>
      <c r="BG507" t="s">
        <v>97</v>
      </c>
      <c r="BH507" t="s">
        <v>97</v>
      </c>
      <c r="BI507">
        <v>669257</v>
      </c>
      <c r="BJ507">
        <v>669257</v>
      </c>
      <c r="BK507" t="s">
        <v>97</v>
      </c>
      <c r="BL507" t="s">
        <v>97</v>
      </c>
      <c r="BM507">
        <v>-7.0800876519999996</v>
      </c>
      <c r="BN507">
        <v>-129.4797446</v>
      </c>
      <c r="BO507">
        <v>-7.8033557160000004</v>
      </c>
      <c r="BP507">
        <v>2.6140730049999998</v>
      </c>
      <c r="BQ507">
        <v>29.132282190000002</v>
      </c>
      <c r="BR507">
        <v>-22.25416006</v>
      </c>
      <c r="BS507">
        <v>3.1</v>
      </c>
      <c r="BT507">
        <v>1.52</v>
      </c>
      <c r="BU507" t="s">
        <v>97</v>
      </c>
      <c r="BV507" t="s">
        <v>97</v>
      </c>
      <c r="BW507" t="s">
        <v>97</v>
      </c>
      <c r="BX507">
        <v>89.8</v>
      </c>
      <c r="BY507">
        <v>2194</v>
      </c>
      <c r="BZ507">
        <v>6.9</v>
      </c>
      <c r="CA507">
        <v>813022</v>
      </c>
      <c r="CB507">
        <v>669257</v>
      </c>
      <c r="CC507">
        <v>669257</v>
      </c>
      <c r="CD507">
        <v>518692</v>
      </c>
      <c r="CE507">
        <v>669242</v>
      </c>
      <c r="CF507">
        <v>571970</v>
      </c>
      <c r="CG507">
        <v>605141</v>
      </c>
      <c r="CH507">
        <v>669743</v>
      </c>
      <c r="CI507">
        <v>571771</v>
      </c>
      <c r="CJ507">
        <v>606192</v>
      </c>
      <c r="CK507">
        <v>53.56</v>
      </c>
      <c r="CL507" t="s">
        <v>97</v>
      </c>
      <c r="CM507" t="s">
        <v>97</v>
      </c>
      <c r="CN507" t="s">
        <v>97</v>
      </c>
      <c r="CO507" t="s">
        <v>97</v>
      </c>
      <c r="CP507" t="s">
        <v>97</v>
      </c>
      <c r="CQ507" t="s">
        <v>97</v>
      </c>
      <c r="CR507" t="s">
        <v>97</v>
      </c>
      <c r="CS507">
        <v>1</v>
      </c>
      <c r="CT507">
        <v>3</v>
      </c>
      <c r="CU507">
        <v>3</v>
      </c>
      <c r="CV507">
        <v>1</v>
      </c>
      <c r="CW507">
        <v>3</v>
      </c>
      <c r="CX507">
        <v>1</v>
      </c>
      <c r="CY507">
        <v>3</v>
      </c>
      <c r="CZ507">
        <v>1</v>
      </c>
      <c r="DA507" t="s">
        <v>107</v>
      </c>
      <c r="DB507" t="s">
        <v>107</v>
      </c>
      <c r="DC507">
        <v>162</v>
      </c>
      <c r="DD507">
        <v>0</v>
      </c>
      <c r="DE507">
        <v>1.4E-2</v>
      </c>
      <c r="DF507" t="s">
        <v>97</v>
      </c>
      <c r="DG507" t="s">
        <v>97</v>
      </c>
    </row>
    <row r="508" spans="1:111" x14ac:dyDescent="0.2">
      <c r="A508">
        <v>2025</v>
      </c>
      <c r="B508" s="1">
        <v>45959</v>
      </c>
      <c r="C508" t="s">
        <v>95</v>
      </c>
      <c r="D508">
        <v>605483</v>
      </c>
      <c r="E508">
        <v>676914</v>
      </c>
      <c r="F508">
        <v>1</v>
      </c>
      <c r="G508">
        <v>2</v>
      </c>
      <c r="H508">
        <v>7</v>
      </c>
      <c r="I508" t="s">
        <v>96</v>
      </c>
      <c r="J508">
        <v>50</v>
      </c>
      <c r="K508">
        <v>4</v>
      </c>
      <c r="L508" t="s">
        <v>97</v>
      </c>
      <c r="M508" t="s">
        <v>111</v>
      </c>
      <c r="N508" t="s">
        <v>112</v>
      </c>
      <c r="O508">
        <f t="shared" si="112"/>
        <v>0</v>
      </c>
      <c r="P508">
        <f t="shared" si="113"/>
        <v>0</v>
      </c>
      <c r="Q508">
        <f t="shared" si="114"/>
        <v>0</v>
      </c>
      <c r="R508">
        <f t="shared" si="115"/>
        <v>0</v>
      </c>
      <c r="S508">
        <f t="shared" si="116"/>
        <v>0</v>
      </c>
      <c r="T508">
        <f t="shared" si="117"/>
        <v>0</v>
      </c>
      <c r="U508">
        <f t="shared" si="118"/>
        <v>0</v>
      </c>
      <c r="V508">
        <f t="shared" si="119"/>
        <v>1</v>
      </c>
      <c r="W508">
        <f t="shared" si="120"/>
        <v>0</v>
      </c>
      <c r="X508">
        <f t="shared" si="121"/>
        <v>0</v>
      </c>
      <c r="Y508">
        <f t="shared" si="122"/>
        <v>0</v>
      </c>
      <c r="Z508">
        <f t="shared" si="123"/>
        <v>0</v>
      </c>
      <c r="AA508">
        <f t="shared" si="124"/>
        <v>0</v>
      </c>
      <c r="AB508">
        <f t="shared" si="125"/>
        <v>0</v>
      </c>
      <c r="AC508">
        <f t="shared" si="126"/>
        <v>0</v>
      </c>
      <c r="AD508">
        <f t="shared" si="127"/>
        <v>0</v>
      </c>
      <c r="AE508">
        <v>81.7</v>
      </c>
      <c r="AF508">
        <v>2.04</v>
      </c>
      <c r="AG508">
        <v>6.37</v>
      </c>
      <c r="AH508" t="s">
        <v>100</v>
      </c>
      <c r="AI508" t="s">
        <v>97</v>
      </c>
      <c r="AJ508" t="s">
        <v>97</v>
      </c>
      <c r="AK508" t="s">
        <v>97</v>
      </c>
      <c r="AL508" t="s">
        <v>97</v>
      </c>
      <c r="AM508">
        <v>13</v>
      </c>
      <c r="AN508" t="s">
        <v>101</v>
      </c>
      <c r="AO508" t="s">
        <v>213</v>
      </c>
      <c r="AP508" t="s">
        <v>122</v>
      </c>
      <c r="AQ508" t="s">
        <v>103</v>
      </c>
      <c r="AR508" t="s">
        <v>104</v>
      </c>
      <c r="AS508" t="s">
        <v>214</v>
      </c>
      <c r="AT508" t="s">
        <v>106</v>
      </c>
      <c r="AU508" t="s">
        <v>97</v>
      </c>
      <c r="AV508" t="s">
        <v>97</v>
      </c>
      <c r="AW508">
        <v>-1.04</v>
      </c>
      <c r="AX508">
        <v>-0.4</v>
      </c>
      <c r="AY508">
        <v>-1.05</v>
      </c>
      <c r="AZ508">
        <v>0.2</v>
      </c>
      <c r="BA508" t="s">
        <v>97</v>
      </c>
      <c r="BB508">
        <v>680718</v>
      </c>
      <c r="BC508">
        <v>665926</v>
      </c>
      <c r="BD508">
        <v>1</v>
      </c>
      <c r="BE508" t="s">
        <v>97</v>
      </c>
      <c r="BF508" t="s">
        <v>97</v>
      </c>
      <c r="BG508" t="s">
        <v>97</v>
      </c>
      <c r="BH508" t="s">
        <v>97</v>
      </c>
      <c r="BI508">
        <v>669257</v>
      </c>
      <c r="BJ508">
        <v>669257</v>
      </c>
      <c r="BK508" t="s">
        <v>97</v>
      </c>
      <c r="BL508" t="s">
        <v>97</v>
      </c>
      <c r="BM508">
        <v>-4.9714627409999999</v>
      </c>
      <c r="BN508">
        <v>-118.6899803</v>
      </c>
      <c r="BO508">
        <v>-6.4870669400000001</v>
      </c>
      <c r="BP508">
        <v>-8.6749807939999997</v>
      </c>
      <c r="BQ508">
        <v>26.017160220000001</v>
      </c>
      <c r="BR508">
        <v>-34.685818380000001</v>
      </c>
      <c r="BS508">
        <v>3.07</v>
      </c>
      <c r="BT508">
        <v>1.53</v>
      </c>
      <c r="BU508" t="s">
        <v>97</v>
      </c>
      <c r="BV508" t="s">
        <v>97</v>
      </c>
      <c r="BW508" t="s">
        <v>97</v>
      </c>
      <c r="BX508">
        <v>81.7</v>
      </c>
      <c r="BY508">
        <v>2578</v>
      </c>
      <c r="BZ508">
        <v>6.7</v>
      </c>
      <c r="CA508">
        <v>813022</v>
      </c>
      <c r="CB508">
        <v>669257</v>
      </c>
      <c r="CC508">
        <v>669257</v>
      </c>
      <c r="CD508">
        <v>518692</v>
      </c>
      <c r="CE508">
        <v>669242</v>
      </c>
      <c r="CF508">
        <v>571970</v>
      </c>
      <c r="CG508">
        <v>605141</v>
      </c>
      <c r="CH508">
        <v>669743</v>
      </c>
      <c r="CI508">
        <v>571771</v>
      </c>
      <c r="CJ508">
        <v>606192</v>
      </c>
      <c r="CK508">
        <v>53.79</v>
      </c>
      <c r="CL508" t="s">
        <v>97</v>
      </c>
      <c r="CM508" t="s">
        <v>97</v>
      </c>
      <c r="CN508" t="s">
        <v>97</v>
      </c>
      <c r="CO508" t="s">
        <v>97</v>
      </c>
      <c r="CP508" t="s">
        <v>97</v>
      </c>
      <c r="CQ508" t="s">
        <v>97</v>
      </c>
      <c r="CR508" t="s">
        <v>97</v>
      </c>
      <c r="CS508">
        <v>1</v>
      </c>
      <c r="CT508">
        <v>3</v>
      </c>
      <c r="CU508">
        <v>3</v>
      </c>
      <c r="CV508">
        <v>1</v>
      </c>
      <c r="CW508">
        <v>3</v>
      </c>
      <c r="CX508">
        <v>1</v>
      </c>
      <c r="CY508">
        <v>3</v>
      </c>
      <c r="CZ508">
        <v>1</v>
      </c>
      <c r="DA508" t="s">
        <v>107</v>
      </c>
      <c r="DB508" t="s">
        <v>107</v>
      </c>
      <c r="DC508">
        <v>331</v>
      </c>
      <c r="DD508">
        <v>-2.1999999999999999E-2</v>
      </c>
      <c r="DE508">
        <v>4.2999999999999997E-2</v>
      </c>
      <c r="DF508" t="s">
        <v>97</v>
      </c>
      <c r="DG508" t="s">
        <v>97</v>
      </c>
    </row>
    <row r="509" spans="1:111" x14ac:dyDescent="0.2">
      <c r="A509">
        <v>2025</v>
      </c>
      <c r="B509" s="1">
        <v>45959</v>
      </c>
      <c r="C509" t="s">
        <v>95</v>
      </c>
      <c r="D509">
        <v>605483</v>
      </c>
      <c r="E509">
        <v>676914</v>
      </c>
      <c r="F509">
        <v>2</v>
      </c>
      <c r="G509">
        <v>2</v>
      </c>
      <c r="H509">
        <v>7</v>
      </c>
      <c r="I509" t="s">
        <v>96</v>
      </c>
      <c r="J509">
        <v>50</v>
      </c>
      <c r="K509">
        <v>5</v>
      </c>
      <c r="L509" t="s">
        <v>97</v>
      </c>
      <c r="M509" t="s">
        <v>138</v>
      </c>
      <c r="N509" t="s">
        <v>139</v>
      </c>
      <c r="O509">
        <f t="shared" si="112"/>
        <v>0</v>
      </c>
      <c r="P509">
        <f t="shared" si="113"/>
        <v>0</v>
      </c>
      <c r="Q509">
        <f t="shared" si="114"/>
        <v>0</v>
      </c>
      <c r="R509">
        <f t="shared" si="115"/>
        <v>0</v>
      </c>
      <c r="S509">
        <f t="shared" si="116"/>
        <v>0</v>
      </c>
      <c r="T509">
        <f t="shared" si="117"/>
        <v>0</v>
      </c>
      <c r="U509">
        <f t="shared" si="118"/>
        <v>0</v>
      </c>
      <c r="V509">
        <f t="shared" si="119"/>
        <v>0</v>
      </c>
      <c r="W509">
        <f t="shared" si="120"/>
        <v>0</v>
      </c>
      <c r="X509">
        <f t="shared" si="121"/>
        <v>0</v>
      </c>
      <c r="Y509">
        <f t="shared" si="122"/>
        <v>0</v>
      </c>
      <c r="Z509">
        <f t="shared" si="123"/>
        <v>0</v>
      </c>
      <c r="AA509">
        <f t="shared" si="124"/>
        <v>0</v>
      </c>
      <c r="AB509">
        <f t="shared" si="125"/>
        <v>0</v>
      </c>
      <c r="AC509">
        <f t="shared" si="126"/>
        <v>0</v>
      </c>
      <c r="AD509">
        <f t="shared" si="127"/>
        <v>1</v>
      </c>
      <c r="AE509">
        <v>90.5</v>
      </c>
      <c r="AF509">
        <v>1.96</v>
      </c>
      <c r="AG509">
        <v>6.38</v>
      </c>
      <c r="AH509" t="s">
        <v>140</v>
      </c>
      <c r="AI509" t="s">
        <v>97</v>
      </c>
      <c r="AJ509" t="s">
        <v>97</v>
      </c>
      <c r="AK509" t="s">
        <v>97</v>
      </c>
      <c r="AL509" t="s">
        <v>97</v>
      </c>
      <c r="AM509">
        <v>13</v>
      </c>
      <c r="AN509" t="s">
        <v>141</v>
      </c>
      <c r="AO509" t="s">
        <v>213</v>
      </c>
      <c r="AP509" t="s">
        <v>122</v>
      </c>
      <c r="AQ509" t="s">
        <v>103</v>
      </c>
      <c r="AR509" t="s">
        <v>104</v>
      </c>
      <c r="AS509" t="s">
        <v>214</v>
      </c>
      <c r="AT509" t="s">
        <v>106</v>
      </c>
      <c r="AU509" t="s">
        <v>97</v>
      </c>
      <c r="AV509" t="s">
        <v>97</v>
      </c>
      <c r="AW509">
        <v>-0.06</v>
      </c>
      <c r="AX509">
        <v>0.66</v>
      </c>
      <c r="AY509">
        <v>-0.57999999999999996</v>
      </c>
      <c r="AZ509">
        <v>0.51</v>
      </c>
      <c r="BA509">
        <v>680718</v>
      </c>
      <c r="BB509" t="s">
        <v>97</v>
      </c>
      <c r="BC509">
        <v>665926</v>
      </c>
      <c r="BD509">
        <v>1</v>
      </c>
      <c r="BE509" t="s">
        <v>97</v>
      </c>
      <c r="BF509" t="s">
        <v>97</v>
      </c>
      <c r="BG509" t="s">
        <v>97</v>
      </c>
      <c r="BH509" t="s">
        <v>97</v>
      </c>
      <c r="BI509">
        <v>669257</v>
      </c>
      <c r="BJ509">
        <v>669257</v>
      </c>
      <c r="BK509" t="s">
        <v>97</v>
      </c>
      <c r="BL509" t="s">
        <v>97</v>
      </c>
      <c r="BM509">
        <v>-6.240981111</v>
      </c>
      <c r="BN509">
        <v>-131.3524425</v>
      </c>
      <c r="BO509">
        <v>-10.128485380000001</v>
      </c>
      <c r="BP509">
        <v>0.63250082500000004</v>
      </c>
      <c r="BQ509">
        <v>29.015698409999999</v>
      </c>
      <c r="BR509">
        <v>-22.483255969999998</v>
      </c>
      <c r="BS509">
        <v>3.08</v>
      </c>
      <c r="BT509">
        <v>1.51</v>
      </c>
      <c r="BU509" t="s">
        <v>97</v>
      </c>
      <c r="BV509" t="s">
        <v>97</v>
      </c>
      <c r="BW509" t="s">
        <v>97</v>
      </c>
      <c r="BX509">
        <v>90.9</v>
      </c>
      <c r="BY509">
        <v>2393</v>
      </c>
      <c r="BZ509">
        <v>6.8</v>
      </c>
      <c r="CA509">
        <v>813022</v>
      </c>
      <c r="CB509">
        <v>669257</v>
      </c>
      <c r="CC509">
        <v>669257</v>
      </c>
      <c r="CD509">
        <v>518692</v>
      </c>
      <c r="CE509">
        <v>669242</v>
      </c>
      <c r="CF509">
        <v>571970</v>
      </c>
      <c r="CG509">
        <v>605141</v>
      </c>
      <c r="CH509">
        <v>669743</v>
      </c>
      <c r="CI509">
        <v>571771</v>
      </c>
      <c r="CJ509">
        <v>606192</v>
      </c>
      <c r="CK509">
        <v>53.72</v>
      </c>
      <c r="CL509" t="s">
        <v>97</v>
      </c>
      <c r="CM509" t="s">
        <v>97</v>
      </c>
      <c r="CN509" t="s">
        <v>97</v>
      </c>
      <c r="CO509" t="s">
        <v>97</v>
      </c>
      <c r="CP509" t="s">
        <v>97</v>
      </c>
      <c r="CQ509" t="s">
        <v>97</v>
      </c>
      <c r="CR509" t="s">
        <v>97</v>
      </c>
      <c r="CS509">
        <v>1</v>
      </c>
      <c r="CT509">
        <v>3</v>
      </c>
      <c r="CU509">
        <v>3</v>
      </c>
      <c r="CV509">
        <v>1</v>
      </c>
      <c r="CW509">
        <v>3</v>
      </c>
      <c r="CX509">
        <v>1</v>
      </c>
      <c r="CY509">
        <v>3</v>
      </c>
      <c r="CZ509">
        <v>1</v>
      </c>
      <c r="DA509" t="s">
        <v>107</v>
      </c>
      <c r="DB509" t="s">
        <v>107</v>
      </c>
      <c r="DC509">
        <v>162</v>
      </c>
      <c r="DD509">
        <v>0</v>
      </c>
      <c r="DE509">
        <v>5.1999999999999998E-2</v>
      </c>
      <c r="DF509" t="s">
        <v>97</v>
      </c>
      <c r="DG509" t="s">
        <v>97</v>
      </c>
    </row>
    <row r="510" spans="1:111" x14ac:dyDescent="0.2">
      <c r="A510">
        <v>2025</v>
      </c>
      <c r="B510" s="1">
        <v>45959</v>
      </c>
      <c r="C510" t="s">
        <v>95</v>
      </c>
      <c r="D510">
        <v>605483</v>
      </c>
      <c r="E510">
        <v>676914</v>
      </c>
      <c r="F510">
        <v>3</v>
      </c>
      <c r="G510">
        <v>2</v>
      </c>
      <c r="H510">
        <v>7</v>
      </c>
      <c r="I510" t="s">
        <v>96</v>
      </c>
      <c r="J510">
        <v>50</v>
      </c>
      <c r="K510">
        <v>6</v>
      </c>
      <c r="L510" t="s">
        <v>116</v>
      </c>
      <c r="M510" t="s">
        <v>132</v>
      </c>
      <c r="N510" t="s">
        <v>133</v>
      </c>
      <c r="O510">
        <f t="shared" si="112"/>
        <v>0</v>
      </c>
      <c r="P510">
        <f t="shared" si="113"/>
        <v>0</v>
      </c>
      <c r="Q510">
        <f t="shared" si="114"/>
        <v>0</v>
      </c>
      <c r="R510">
        <f t="shared" si="115"/>
        <v>0</v>
      </c>
      <c r="S510">
        <f t="shared" si="116"/>
        <v>0</v>
      </c>
      <c r="T510">
        <f t="shared" si="117"/>
        <v>0</v>
      </c>
      <c r="U510">
        <f t="shared" si="118"/>
        <v>0</v>
      </c>
      <c r="V510">
        <f t="shared" si="119"/>
        <v>0</v>
      </c>
      <c r="W510">
        <f t="shared" si="120"/>
        <v>1</v>
      </c>
      <c r="X510">
        <f t="shared" si="121"/>
        <v>0</v>
      </c>
      <c r="Y510">
        <f t="shared" si="122"/>
        <v>0</v>
      </c>
      <c r="Z510">
        <f t="shared" si="123"/>
        <v>0</v>
      </c>
      <c r="AA510">
        <f t="shared" si="124"/>
        <v>0</v>
      </c>
      <c r="AB510">
        <f t="shared" si="125"/>
        <v>0</v>
      </c>
      <c r="AC510">
        <f t="shared" si="126"/>
        <v>0</v>
      </c>
      <c r="AD510">
        <f t="shared" si="127"/>
        <v>0</v>
      </c>
      <c r="AE510">
        <v>85.5</v>
      </c>
      <c r="AF510">
        <v>2.29</v>
      </c>
      <c r="AG510">
        <v>6.25</v>
      </c>
      <c r="AH510" t="s">
        <v>113</v>
      </c>
      <c r="AI510" t="s">
        <v>97</v>
      </c>
      <c r="AJ510" t="s">
        <v>97</v>
      </c>
      <c r="AK510" t="s">
        <v>97</v>
      </c>
      <c r="AL510" t="s">
        <v>97</v>
      </c>
      <c r="AM510">
        <v>9</v>
      </c>
      <c r="AN510" t="s">
        <v>226</v>
      </c>
      <c r="AO510" t="s">
        <v>213</v>
      </c>
      <c r="AP510" t="s">
        <v>122</v>
      </c>
      <c r="AQ510" t="s">
        <v>103</v>
      </c>
      <c r="AR510" t="s">
        <v>104</v>
      </c>
      <c r="AS510" t="s">
        <v>214</v>
      </c>
      <c r="AT510" t="s">
        <v>110</v>
      </c>
      <c r="AU510">
        <v>2</v>
      </c>
      <c r="AV510" t="s">
        <v>97</v>
      </c>
      <c r="AW510">
        <v>1.26</v>
      </c>
      <c r="AX510">
        <v>0.38</v>
      </c>
      <c r="AY510">
        <v>0.28999999999999998</v>
      </c>
      <c r="AZ510">
        <v>1.72</v>
      </c>
      <c r="BA510">
        <v>680718</v>
      </c>
      <c r="BB510" t="s">
        <v>97</v>
      </c>
      <c r="BC510">
        <v>665926</v>
      </c>
      <c r="BD510">
        <v>1</v>
      </c>
      <c r="BE510" t="s">
        <v>97</v>
      </c>
      <c r="BF510" t="s">
        <v>97</v>
      </c>
      <c r="BG510" t="s">
        <v>97</v>
      </c>
      <c r="BH510" t="s">
        <v>97</v>
      </c>
      <c r="BI510">
        <v>669257</v>
      </c>
      <c r="BJ510">
        <v>669257</v>
      </c>
      <c r="BK510" t="s">
        <v>97</v>
      </c>
      <c r="BL510" t="s">
        <v>97</v>
      </c>
      <c r="BM510">
        <v>-7.2902519459999997</v>
      </c>
      <c r="BN510">
        <v>-124.19220199999999</v>
      </c>
      <c r="BO510">
        <v>-5.1344343009999998</v>
      </c>
      <c r="BP510">
        <v>14.485967029999999</v>
      </c>
      <c r="BQ510">
        <v>25.8189891</v>
      </c>
      <c r="BR510">
        <v>-27.385828969999999</v>
      </c>
      <c r="BS510">
        <v>3.11</v>
      </c>
      <c r="BT510">
        <v>1.52</v>
      </c>
      <c r="BU510" t="s">
        <v>97</v>
      </c>
      <c r="BV510" t="s">
        <v>97</v>
      </c>
      <c r="BW510" t="s">
        <v>97</v>
      </c>
      <c r="BX510">
        <v>85.7</v>
      </c>
      <c r="BY510">
        <v>1776</v>
      </c>
      <c r="BZ510">
        <v>6.6</v>
      </c>
      <c r="CA510">
        <v>813022</v>
      </c>
      <c r="CB510">
        <v>669257</v>
      </c>
      <c r="CC510">
        <v>669257</v>
      </c>
      <c r="CD510">
        <v>518692</v>
      </c>
      <c r="CE510">
        <v>669242</v>
      </c>
      <c r="CF510">
        <v>571970</v>
      </c>
      <c r="CG510">
        <v>605141</v>
      </c>
      <c r="CH510">
        <v>669743</v>
      </c>
      <c r="CI510">
        <v>571771</v>
      </c>
      <c r="CJ510">
        <v>606192</v>
      </c>
      <c r="CK510">
        <v>53.9</v>
      </c>
      <c r="CL510" t="s">
        <v>97</v>
      </c>
      <c r="CM510">
        <v>0</v>
      </c>
      <c r="CN510">
        <v>0</v>
      </c>
      <c r="CO510">
        <v>1</v>
      </c>
      <c r="CP510">
        <v>0</v>
      </c>
      <c r="CQ510">
        <v>0</v>
      </c>
      <c r="CR510" t="s">
        <v>97</v>
      </c>
      <c r="CS510">
        <v>1</v>
      </c>
      <c r="CT510">
        <v>3</v>
      </c>
      <c r="CU510">
        <v>3</v>
      </c>
      <c r="CV510">
        <v>1</v>
      </c>
      <c r="CW510">
        <v>3</v>
      </c>
      <c r="CX510">
        <v>1</v>
      </c>
      <c r="CY510">
        <v>3</v>
      </c>
      <c r="CZ510">
        <v>1</v>
      </c>
      <c r="DA510" t="s">
        <v>107</v>
      </c>
      <c r="DB510" t="s">
        <v>107</v>
      </c>
      <c r="DC510">
        <v>131</v>
      </c>
      <c r="DD510">
        <v>4.3999999999999997E-2</v>
      </c>
      <c r="DE510">
        <v>-0.36499999999999999</v>
      </c>
      <c r="DF510">
        <v>73.599999999999994</v>
      </c>
      <c r="DG510">
        <v>7.7</v>
      </c>
    </row>
    <row r="511" spans="1:111" x14ac:dyDescent="0.2">
      <c r="A511">
        <v>2025</v>
      </c>
      <c r="B511" s="1">
        <v>45962</v>
      </c>
      <c r="C511" t="s">
        <v>95</v>
      </c>
      <c r="D511">
        <v>605483</v>
      </c>
      <c r="E511">
        <v>665926</v>
      </c>
      <c r="F511">
        <v>0</v>
      </c>
      <c r="G511">
        <v>0</v>
      </c>
      <c r="H511">
        <v>8</v>
      </c>
      <c r="I511" t="s">
        <v>163</v>
      </c>
      <c r="J511">
        <v>70</v>
      </c>
      <c r="K511">
        <v>1</v>
      </c>
      <c r="L511" t="s">
        <v>97</v>
      </c>
      <c r="M511" t="s">
        <v>132</v>
      </c>
      <c r="N511" t="s">
        <v>133</v>
      </c>
      <c r="O511">
        <f t="shared" si="112"/>
        <v>0</v>
      </c>
      <c r="P511">
        <f t="shared" si="113"/>
        <v>0</v>
      </c>
      <c r="Q511">
        <f t="shared" si="114"/>
        <v>0</v>
      </c>
      <c r="R511">
        <f t="shared" si="115"/>
        <v>0</v>
      </c>
      <c r="S511">
        <f t="shared" si="116"/>
        <v>0</v>
      </c>
      <c r="T511">
        <f t="shared" si="117"/>
        <v>0</v>
      </c>
      <c r="U511">
        <f t="shared" si="118"/>
        <v>0</v>
      </c>
      <c r="V511">
        <f t="shared" si="119"/>
        <v>0</v>
      </c>
      <c r="W511">
        <f t="shared" si="120"/>
        <v>0</v>
      </c>
      <c r="X511">
        <f t="shared" si="121"/>
        <v>1</v>
      </c>
      <c r="Y511">
        <f t="shared" si="122"/>
        <v>0</v>
      </c>
      <c r="Z511">
        <f t="shared" si="123"/>
        <v>0</v>
      </c>
      <c r="AA511">
        <f t="shared" si="124"/>
        <v>0</v>
      </c>
      <c r="AB511">
        <f t="shared" si="125"/>
        <v>0</v>
      </c>
      <c r="AC511">
        <f t="shared" si="126"/>
        <v>0</v>
      </c>
      <c r="AD511">
        <f t="shared" si="127"/>
        <v>0</v>
      </c>
      <c r="AE511">
        <v>86.3</v>
      </c>
      <c r="AF511">
        <v>2.2799999999999998</v>
      </c>
      <c r="AG511">
        <v>6.37</v>
      </c>
      <c r="AH511" t="s">
        <v>100</v>
      </c>
      <c r="AI511" t="s">
        <v>97</v>
      </c>
      <c r="AJ511" t="s">
        <v>97</v>
      </c>
      <c r="AK511" t="s">
        <v>97</v>
      </c>
      <c r="AL511" t="s">
        <v>97</v>
      </c>
      <c r="AM511">
        <v>7</v>
      </c>
      <c r="AN511" t="s">
        <v>101</v>
      </c>
      <c r="AO511" t="s">
        <v>213</v>
      </c>
      <c r="AP511" t="s">
        <v>103</v>
      </c>
      <c r="AQ511" t="s">
        <v>103</v>
      </c>
      <c r="AR511" t="s">
        <v>214</v>
      </c>
      <c r="AS511" t="s">
        <v>104</v>
      </c>
      <c r="AT511" t="s">
        <v>106</v>
      </c>
      <c r="AU511" t="s">
        <v>97</v>
      </c>
      <c r="AV511" t="s">
        <v>97</v>
      </c>
      <c r="AW511">
        <v>1.21</v>
      </c>
      <c r="AX511">
        <v>1.04</v>
      </c>
      <c r="AY511">
        <v>-0.55000000000000004</v>
      </c>
      <c r="AZ511">
        <v>1.34</v>
      </c>
      <c r="BA511" t="s">
        <v>97</v>
      </c>
      <c r="BB511">
        <v>676391</v>
      </c>
      <c r="BC511" t="s">
        <v>97</v>
      </c>
      <c r="BD511">
        <v>0</v>
      </c>
      <c r="BE511" t="s">
        <v>97</v>
      </c>
      <c r="BF511" t="s">
        <v>97</v>
      </c>
      <c r="BG511" t="s">
        <v>97</v>
      </c>
      <c r="BH511" t="s">
        <v>97</v>
      </c>
      <c r="BI511">
        <v>669257</v>
      </c>
      <c r="BJ511">
        <v>669257</v>
      </c>
      <c r="BK511" t="s">
        <v>97</v>
      </c>
      <c r="BL511" t="s">
        <v>97</v>
      </c>
      <c r="BM511">
        <v>-9.2995834839999993</v>
      </c>
      <c r="BN511">
        <v>-125.14841699999999</v>
      </c>
      <c r="BO511">
        <v>-7.8746656809999998</v>
      </c>
      <c r="BP511">
        <v>14.66792688</v>
      </c>
      <c r="BQ511">
        <v>26.060363450000001</v>
      </c>
      <c r="BR511">
        <v>-19.733200320000002</v>
      </c>
      <c r="BS511">
        <v>2.58</v>
      </c>
      <c r="BT511">
        <v>1.23</v>
      </c>
      <c r="BU511" t="s">
        <v>97</v>
      </c>
      <c r="BV511" t="s">
        <v>97</v>
      </c>
      <c r="BW511" t="s">
        <v>97</v>
      </c>
      <c r="BX511">
        <v>86.9</v>
      </c>
      <c r="BY511">
        <v>1877</v>
      </c>
      <c r="BZ511">
        <v>6.9</v>
      </c>
      <c r="CA511">
        <v>813024</v>
      </c>
      <c r="CB511">
        <v>669257</v>
      </c>
      <c r="CC511">
        <v>669257</v>
      </c>
      <c r="CD511">
        <v>518692</v>
      </c>
      <c r="CE511">
        <v>500743</v>
      </c>
      <c r="CF511">
        <v>571970</v>
      </c>
      <c r="CG511">
        <v>605141</v>
      </c>
      <c r="CH511">
        <v>571771</v>
      </c>
      <c r="CI511">
        <v>669242</v>
      </c>
      <c r="CJ511">
        <v>606192</v>
      </c>
      <c r="CK511">
        <v>53.57</v>
      </c>
      <c r="CL511" t="s">
        <v>97</v>
      </c>
      <c r="CM511" t="s">
        <v>97</v>
      </c>
      <c r="CN511" t="s">
        <v>97</v>
      </c>
      <c r="CO511" t="s">
        <v>97</v>
      </c>
      <c r="CP511" t="s">
        <v>97</v>
      </c>
      <c r="CQ511" t="s">
        <v>97</v>
      </c>
      <c r="CR511" t="s">
        <v>97</v>
      </c>
      <c r="CS511">
        <v>4</v>
      </c>
      <c r="CT511">
        <v>3</v>
      </c>
      <c r="CU511">
        <v>4</v>
      </c>
      <c r="CV511">
        <v>3</v>
      </c>
      <c r="CW511">
        <v>3</v>
      </c>
      <c r="CX511">
        <v>4</v>
      </c>
      <c r="CY511">
        <v>4</v>
      </c>
      <c r="CZ511">
        <v>3</v>
      </c>
      <c r="DA511" t="s">
        <v>115</v>
      </c>
      <c r="DB511" t="s">
        <v>115</v>
      </c>
      <c r="DC511">
        <v>133</v>
      </c>
      <c r="DD511">
        <v>0</v>
      </c>
      <c r="DE511">
        <v>3.2000000000000001E-2</v>
      </c>
      <c r="DF511" t="s">
        <v>97</v>
      </c>
      <c r="DG511" t="s">
        <v>97</v>
      </c>
    </row>
    <row r="512" spans="1:111" x14ac:dyDescent="0.2">
      <c r="A512">
        <v>2025</v>
      </c>
      <c r="B512" s="1">
        <v>45962</v>
      </c>
      <c r="C512" t="s">
        <v>95</v>
      </c>
      <c r="D512">
        <v>605483</v>
      </c>
      <c r="E512">
        <v>665926</v>
      </c>
      <c r="F512">
        <v>1</v>
      </c>
      <c r="G512">
        <v>0</v>
      </c>
      <c r="H512">
        <v>8</v>
      </c>
      <c r="I512" t="s">
        <v>163</v>
      </c>
      <c r="J512">
        <v>70</v>
      </c>
      <c r="K512">
        <v>2</v>
      </c>
      <c r="L512" t="s">
        <v>97</v>
      </c>
      <c r="M512" t="s">
        <v>98</v>
      </c>
      <c r="N512" t="s">
        <v>99</v>
      </c>
      <c r="O512">
        <f t="shared" si="112"/>
        <v>1</v>
      </c>
      <c r="P512">
        <f t="shared" si="113"/>
        <v>0</v>
      </c>
      <c r="Q512">
        <f t="shared" si="114"/>
        <v>0</v>
      </c>
      <c r="R512">
        <f t="shared" si="115"/>
        <v>0</v>
      </c>
      <c r="S512">
        <f t="shared" si="116"/>
        <v>0</v>
      </c>
      <c r="T512">
        <f t="shared" si="117"/>
        <v>0</v>
      </c>
      <c r="U512">
        <f t="shared" si="118"/>
        <v>0</v>
      </c>
      <c r="V512">
        <f t="shared" si="119"/>
        <v>0</v>
      </c>
      <c r="W512">
        <f t="shared" si="120"/>
        <v>0</v>
      </c>
      <c r="X512">
        <f t="shared" si="121"/>
        <v>0</v>
      </c>
      <c r="Y512">
        <f t="shared" si="122"/>
        <v>0</v>
      </c>
      <c r="Z512">
        <f t="shared" si="123"/>
        <v>0</v>
      </c>
      <c r="AA512">
        <f t="shared" si="124"/>
        <v>0</v>
      </c>
      <c r="AB512">
        <f t="shared" si="125"/>
        <v>0</v>
      </c>
      <c r="AC512">
        <f t="shared" si="126"/>
        <v>0</v>
      </c>
      <c r="AD512">
        <f t="shared" si="127"/>
        <v>0</v>
      </c>
      <c r="AE512">
        <v>94.5</v>
      </c>
      <c r="AF512">
        <v>2.13</v>
      </c>
      <c r="AG512">
        <v>6.46</v>
      </c>
      <c r="AH512" t="s">
        <v>270</v>
      </c>
      <c r="AI512" t="s">
        <v>97</v>
      </c>
      <c r="AJ512" t="s">
        <v>97</v>
      </c>
      <c r="AK512" t="s">
        <v>97</v>
      </c>
      <c r="AL512" t="s">
        <v>97</v>
      </c>
      <c r="AM512">
        <v>4</v>
      </c>
      <c r="AN512" t="s">
        <v>271</v>
      </c>
      <c r="AO512" t="s">
        <v>213</v>
      </c>
      <c r="AP512" t="s">
        <v>103</v>
      </c>
      <c r="AQ512" t="s">
        <v>103</v>
      </c>
      <c r="AR512" t="s">
        <v>214</v>
      </c>
      <c r="AS512" t="s">
        <v>104</v>
      </c>
      <c r="AT512" t="s">
        <v>110</v>
      </c>
      <c r="AU512" t="s">
        <v>97</v>
      </c>
      <c r="AV512" t="s">
        <v>97</v>
      </c>
      <c r="AW512">
        <v>0.56000000000000005</v>
      </c>
      <c r="AX512">
        <v>1.57</v>
      </c>
      <c r="AY512">
        <v>-0.42</v>
      </c>
      <c r="AZ512">
        <v>2.48</v>
      </c>
      <c r="BA512" t="s">
        <v>97</v>
      </c>
      <c r="BB512">
        <v>676391</v>
      </c>
      <c r="BC512" t="s">
        <v>97</v>
      </c>
      <c r="BD512">
        <v>0</v>
      </c>
      <c r="BE512" t="s">
        <v>97</v>
      </c>
      <c r="BF512" t="s">
        <v>97</v>
      </c>
      <c r="BG512" t="s">
        <v>97</v>
      </c>
      <c r="BH512" t="s">
        <v>97</v>
      </c>
      <c r="BI512">
        <v>669257</v>
      </c>
      <c r="BJ512">
        <v>669257</v>
      </c>
      <c r="BK512" t="s">
        <v>97</v>
      </c>
      <c r="BL512" t="s">
        <v>97</v>
      </c>
      <c r="BM512">
        <v>-7.9995307310000001</v>
      </c>
      <c r="BN512">
        <v>-137.22205360000001</v>
      </c>
      <c r="BO512">
        <v>-8.2416498520000001</v>
      </c>
      <c r="BP512">
        <v>8.9933414870000004</v>
      </c>
      <c r="BQ512">
        <v>32.528824559999997</v>
      </c>
      <c r="BR512">
        <v>-10.606140099999999</v>
      </c>
      <c r="BS512">
        <v>3.24</v>
      </c>
      <c r="BT512">
        <v>1.5</v>
      </c>
      <c r="BU512" t="s">
        <v>97</v>
      </c>
      <c r="BV512" t="s">
        <v>97</v>
      </c>
      <c r="BW512" t="s">
        <v>97</v>
      </c>
      <c r="BX512">
        <v>95.1</v>
      </c>
      <c r="BY512">
        <v>2428</v>
      </c>
      <c r="BZ512">
        <v>6.9</v>
      </c>
      <c r="CA512">
        <v>813024</v>
      </c>
      <c r="CB512">
        <v>669257</v>
      </c>
      <c r="CC512">
        <v>669257</v>
      </c>
      <c r="CD512">
        <v>518692</v>
      </c>
      <c r="CE512">
        <v>500743</v>
      </c>
      <c r="CF512">
        <v>571970</v>
      </c>
      <c r="CG512">
        <v>605141</v>
      </c>
      <c r="CH512">
        <v>571771</v>
      </c>
      <c r="CI512">
        <v>669242</v>
      </c>
      <c r="CJ512">
        <v>606192</v>
      </c>
      <c r="CK512">
        <v>53.57</v>
      </c>
      <c r="CL512" t="s">
        <v>97</v>
      </c>
      <c r="CM512" t="s">
        <v>97</v>
      </c>
      <c r="CN512" t="s">
        <v>97</v>
      </c>
      <c r="CO512" t="s">
        <v>97</v>
      </c>
      <c r="CP512" t="s">
        <v>97</v>
      </c>
      <c r="CQ512" t="s">
        <v>97</v>
      </c>
      <c r="CR512" t="s">
        <v>97</v>
      </c>
      <c r="CS512">
        <v>4</v>
      </c>
      <c r="CT512">
        <v>3</v>
      </c>
      <c r="CU512">
        <v>4</v>
      </c>
      <c r="CV512">
        <v>3</v>
      </c>
      <c r="CW512">
        <v>3</v>
      </c>
      <c r="CX512">
        <v>4</v>
      </c>
      <c r="CY512">
        <v>4</v>
      </c>
      <c r="CZ512">
        <v>3</v>
      </c>
      <c r="DA512" t="s">
        <v>115</v>
      </c>
      <c r="DB512" t="s">
        <v>115</v>
      </c>
      <c r="DC512">
        <v>157</v>
      </c>
      <c r="DD512">
        <v>0</v>
      </c>
      <c r="DE512">
        <v>-4.9000000000000002E-2</v>
      </c>
      <c r="DF512">
        <v>5.2</v>
      </c>
      <c r="DG512">
        <v>1.6</v>
      </c>
    </row>
    <row r="513" spans="1:111" x14ac:dyDescent="0.2">
      <c r="A513">
        <v>2025</v>
      </c>
      <c r="B513" s="1">
        <v>45962</v>
      </c>
      <c r="C513" t="s">
        <v>95</v>
      </c>
      <c r="D513">
        <v>605483</v>
      </c>
      <c r="E513">
        <v>665926</v>
      </c>
      <c r="F513">
        <v>1</v>
      </c>
      <c r="G513">
        <v>1</v>
      </c>
      <c r="H513">
        <v>8</v>
      </c>
      <c r="I513" t="s">
        <v>163</v>
      </c>
      <c r="J513">
        <v>70</v>
      </c>
      <c r="K513">
        <v>3</v>
      </c>
      <c r="L513" t="s">
        <v>119</v>
      </c>
      <c r="M513" t="s">
        <v>98</v>
      </c>
      <c r="N513" t="s">
        <v>99</v>
      </c>
      <c r="O513">
        <f t="shared" si="112"/>
        <v>0</v>
      </c>
      <c r="P513">
        <f t="shared" si="113"/>
        <v>0</v>
      </c>
      <c r="Q513">
        <f t="shared" si="114"/>
        <v>1</v>
      </c>
      <c r="R513">
        <f t="shared" si="115"/>
        <v>0</v>
      </c>
      <c r="S513">
        <f t="shared" si="116"/>
        <v>0</v>
      </c>
      <c r="T513">
        <f t="shared" si="117"/>
        <v>0</v>
      </c>
      <c r="U513">
        <f t="shared" si="118"/>
        <v>0</v>
      </c>
      <c r="V513">
        <f t="shared" si="119"/>
        <v>0</v>
      </c>
      <c r="W513">
        <f t="shared" si="120"/>
        <v>0</v>
      </c>
      <c r="X513">
        <f t="shared" si="121"/>
        <v>0</v>
      </c>
      <c r="Y513">
        <f t="shared" si="122"/>
        <v>0</v>
      </c>
      <c r="Z513">
        <f t="shared" si="123"/>
        <v>0</v>
      </c>
      <c r="AA513">
        <f t="shared" si="124"/>
        <v>0</v>
      </c>
      <c r="AB513">
        <f t="shared" si="125"/>
        <v>0</v>
      </c>
      <c r="AC513">
        <f t="shared" si="126"/>
        <v>0</v>
      </c>
      <c r="AD513">
        <f t="shared" si="127"/>
        <v>0</v>
      </c>
      <c r="AE513">
        <v>94.9</v>
      </c>
      <c r="AF513">
        <v>2.08</v>
      </c>
      <c r="AG513">
        <v>6.5</v>
      </c>
      <c r="AH513" t="s">
        <v>120</v>
      </c>
      <c r="AI513" t="s">
        <v>97</v>
      </c>
      <c r="AJ513" t="s">
        <v>97</v>
      </c>
      <c r="AK513" t="s">
        <v>97</v>
      </c>
      <c r="AL513" t="s">
        <v>97</v>
      </c>
      <c r="AM513">
        <v>7</v>
      </c>
      <c r="AN513" t="s">
        <v>274</v>
      </c>
      <c r="AO513" t="s">
        <v>213</v>
      </c>
      <c r="AP513" t="s">
        <v>103</v>
      </c>
      <c r="AQ513" t="s">
        <v>103</v>
      </c>
      <c r="AR513" t="s">
        <v>214</v>
      </c>
      <c r="AS513" t="s">
        <v>104</v>
      </c>
      <c r="AT513" t="s">
        <v>123</v>
      </c>
      <c r="AU513">
        <v>5</v>
      </c>
      <c r="AV513" t="s">
        <v>158</v>
      </c>
      <c r="AW513">
        <v>0.4</v>
      </c>
      <c r="AX513">
        <v>1.53</v>
      </c>
      <c r="AY513">
        <v>-0.28000000000000003</v>
      </c>
      <c r="AZ513">
        <v>1.86</v>
      </c>
      <c r="BA513" t="s">
        <v>97</v>
      </c>
      <c r="BB513">
        <v>676391</v>
      </c>
      <c r="BC513" t="s">
        <v>97</v>
      </c>
      <c r="BD513">
        <v>0</v>
      </c>
      <c r="BE513">
        <v>118.56</v>
      </c>
      <c r="BF513">
        <v>176.42</v>
      </c>
      <c r="BG513" t="s">
        <v>97</v>
      </c>
      <c r="BH513" t="s">
        <v>97</v>
      </c>
      <c r="BI513">
        <v>669257</v>
      </c>
      <c r="BJ513">
        <v>669257</v>
      </c>
      <c r="BK513" t="s">
        <v>97</v>
      </c>
      <c r="BL513" t="s">
        <v>97</v>
      </c>
      <c r="BM513">
        <v>-7.1311606640000003</v>
      </c>
      <c r="BN513">
        <v>-137.6754109</v>
      </c>
      <c r="BO513">
        <v>-9.8906902670000001</v>
      </c>
      <c r="BP513">
        <v>6.8286260700000003</v>
      </c>
      <c r="BQ513">
        <v>34.142121680000002</v>
      </c>
      <c r="BR513">
        <v>-10.64077867</v>
      </c>
      <c r="BS513">
        <v>3.24</v>
      </c>
      <c r="BT513">
        <v>1.5</v>
      </c>
      <c r="BU513">
        <v>118</v>
      </c>
      <c r="BV513">
        <v>96.9</v>
      </c>
      <c r="BW513">
        <v>5</v>
      </c>
      <c r="BX513">
        <v>95.1</v>
      </c>
      <c r="BY513">
        <v>2432</v>
      </c>
      <c r="BZ513">
        <v>6.8</v>
      </c>
      <c r="CA513">
        <v>813024</v>
      </c>
      <c r="CB513">
        <v>669257</v>
      </c>
      <c r="CC513">
        <v>669257</v>
      </c>
      <c r="CD513">
        <v>518692</v>
      </c>
      <c r="CE513">
        <v>500743</v>
      </c>
      <c r="CF513">
        <v>571970</v>
      </c>
      <c r="CG513">
        <v>605141</v>
      </c>
      <c r="CH513">
        <v>571771</v>
      </c>
      <c r="CI513">
        <v>669242</v>
      </c>
      <c r="CJ513">
        <v>606192</v>
      </c>
      <c r="CK513">
        <v>53.65</v>
      </c>
      <c r="CL513">
        <v>0.58599999999999997</v>
      </c>
      <c r="CM513">
        <v>0.55800000000000005</v>
      </c>
      <c r="CN513">
        <v>0</v>
      </c>
      <c r="CO513">
        <v>1</v>
      </c>
      <c r="CP513">
        <v>0</v>
      </c>
      <c r="CQ513">
        <v>0</v>
      </c>
      <c r="CR513">
        <v>4</v>
      </c>
      <c r="CS513">
        <v>4</v>
      </c>
      <c r="CT513">
        <v>3</v>
      </c>
      <c r="CU513">
        <v>4</v>
      </c>
      <c r="CV513">
        <v>3</v>
      </c>
      <c r="CW513">
        <v>3</v>
      </c>
      <c r="CX513">
        <v>4</v>
      </c>
      <c r="CY513">
        <v>4</v>
      </c>
      <c r="CZ513">
        <v>3</v>
      </c>
      <c r="DA513" t="s">
        <v>115</v>
      </c>
      <c r="DB513" t="s">
        <v>115</v>
      </c>
      <c r="DC513">
        <v>149</v>
      </c>
      <c r="DD513">
        <v>-2.5000000000000001E-2</v>
      </c>
      <c r="DE513">
        <v>-0.27200000000000002</v>
      </c>
      <c r="DF513">
        <v>66.5</v>
      </c>
      <c r="DG513">
        <v>6</v>
      </c>
    </row>
    <row r="514" spans="1:111" x14ac:dyDescent="0.2">
      <c r="A514">
        <v>2025</v>
      </c>
      <c r="B514" s="1">
        <v>45962</v>
      </c>
      <c r="C514" t="s">
        <v>95</v>
      </c>
      <c r="D514">
        <v>605483</v>
      </c>
      <c r="E514">
        <v>543807</v>
      </c>
      <c r="F514">
        <v>0</v>
      </c>
      <c r="G514">
        <v>0</v>
      </c>
      <c r="H514">
        <v>8</v>
      </c>
      <c r="I514" t="s">
        <v>163</v>
      </c>
      <c r="J514">
        <v>71</v>
      </c>
      <c r="K514">
        <v>1</v>
      </c>
      <c r="L514" t="s">
        <v>97</v>
      </c>
      <c r="M514" t="s">
        <v>132</v>
      </c>
      <c r="N514" t="s">
        <v>133</v>
      </c>
      <c r="O514">
        <f t="shared" si="112"/>
        <v>0</v>
      </c>
      <c r="P514">
        <f t="shared" si="113"/>
        <v>0</v>
      </c>
      <c r="Q514">
        <f t="shared" si="114"/>
        <v>0</v>
      </c>
      <c r="R514">
        <f t="shared" si="115"/>
        <v>0</v>
      </c>
      <c r="S514">
        <f t="shared" si="116"/>
        <v>0</v>
      </c>
      <c r="T514">
        <f t="shared" si="117"/>
        <v>0</v>
      </c>
      <c r="U514">
        <f t="shared" si="118"/>
        <v>0</v>
      </c>
      <c r="V514">
        <f t="shared" si="119"/>
        <v>0</v>
      </c>
      <c r="W514">
        <f t="shared" si="120"/>
        <v>1</v>
      </c>
      <c r="X514">
        <f t="shared" si="121"/>
        <v>0</v>
      </c>
      <c r="Y514">
        <f t="shared" si="122"/>
        <v>0</v>
      </c>
      <c r="Z514">
        <f t="shared" si="123"/>
        <v>0</v>
      </c>
      <c r="AA514">
        <f t="shared" si="124"/>
        <v>0</v>
      </c>
      <c r="AB514">
        <f t="shared" si="125"/>
        <v>0</v>
      </c>
      <c r="AC514">
        <f t="shared" si="126"/>
        <v>0</v>
      </c>
      <c r="AD514">
        <f t="shared" si="127"/>
        <v>0</v>
      </c>
      <c r="AE514">
        <v>87.1</v>
      </c>
      <c r="AF514">
        <v>2.31</v>
      </c>
      <c r="AG514">
        <v>6.37</v>
      </c>
      <c r="AH514" t="s">
        <v>129</v>
      </c>
      <c r="AI514" t="s">
        <v>97</v>
      </c>
      <c r="AJ514" t="s">
        <v>97</v>
      </c>
      <c r="AK514" t="s">
        <v>97</v>
      </c>
      <c r="AL514" t="s">
        <v>97</v>
      </c>
      <c r="AM514">
        <v>14</v>
      </c>
      <c r="AN514" t="s">
        <v>130</v>
      </c>
      <c r="AO514" t="s">
        <v>213</v>
      </c>
      <c r="AP514" t="s">
        <v>122</v>
      </c>
      <c r="AQ514" t="s">
        <v>103</v>
      </c>
      <c r="AR514" t="s">
        <v>214</v>
      </c>
      <c r="AS514" t="s">
        <v>104</v>
      </c>
      <c r="AT514" t="s">
        <v>110</v>
      </c>
      <c r="AU514" t="s">
        <v>97</v>
      </c>
      <c r="AV514" t="s">
        <v>97</v>
      </c>
      <c r="AW514">
        <v>1.27</v>
      </c>
      <c r="AX514">
        <v>0.64</v>
      </c>
      <c r="AY514">
        <v>1.08</v>
      </c>
      <c r="AZ514">
        <v>2.42</v>
      </c>
      <c r="BA514" t="s">
        <v>97</v>
      </c>
      <c r="BB514">
        <v>676391</v>
      </c>
      <c r="BC514" t="s">
        <v>97</v>
      </c>
      <c r="BD514">
        <v>1</v>
      </c>
      <c r="BE514" t="s">
        <v>97</v>
      </c>
      <c r="BF514" t="s">
        <v>97</v>
      </c>
      <c r="BG514" t="s">
        <v>97</v>
      </c>
      <c r="BH514" t="s">
        <v>97</v>
      </c>
      <c r="BI514">
        <v>669257</v>
      </c>
      <c r="BJ514">
        <v>669257</v>
      </c>
      <c r="BK514" t="s">
        <v>97</v>
      </c>
      <c r="BL514" t="s">
        <v>97</v>
      </c>
      <c r="BM514">
        <v>-5.6092932480000002</v>
      </c>
      <c r="BN514">
        <v>-126.6003991</v>
      </c>
      <c r="BO514">
        <v>-4.6220928490000004</v>
      </c>
      <c r="BP514">
        <v>14.78631232</v>
      </c>
      <c r="BQ514">
        <v>27.661726040000001</v>
      </c>
      <c r="BR514">
        <v>-24.478716970000001</v>
      </c>
      <c r="BS514">
        <v>3.55</v>
      </c>
      <c r="BT514">
        <v>1.64</v>
      </c>
      <c r="BU514">
        <v>158</v>
      </c>
      <c r="BV514">
        <v>74.900000000000006</v>
      </c>
      <c r="BW514">
        <v>65</v>
      </c>
      <c r="BX514">
        <v>87.5</v>
      </c>
      <c r="BY514">
        <v>1775</v>
      </c>
      <c r="BZ514">
        <v>6.8</v>
      </c>
      <c r="CA514">
        <v>813024</v>
      </c>
      <c r="CB514">
        <v>669257</v>
      </c>
      <c r="CC514">
        <v>669257</v>
      </c>
      <c r="CD514">
        <v>518692</v>
      </c>
      <c r="CE514">
        <v>500743</v>
      </c>
      <c r="CF514">
        <v>571970</v>
      </c>
      <c r="CG514">
        <v>605141</v>
      </c>
      <c r="CH514">
        <v>571771</v>
      </c>
      <c r="CI514">
        <v>669242</v>
      </c>
      <c r="CJ514">
        <v>606192</v>
      </c>
      <c r="CK514">
        <v>53.72</v>
      </c>
      <c r="CL514" t="s">
        <v>97</v>
      </c>
      <c r="CM514" t="s">
        <v>97</v>
      </c>
      <c r="CN514" t="s">
        <v>97</v>
      </c>
      <c r="CO514" t="s">
        <v>97</v>
      </c>
      <c r="CP514" t="s">
        <v>97</v>
      </c>
      <c r="CQ514" t="s">
        <v>97</v>
      </c>
      <c r="CR514" t="s">
        <v>97</v>
      </c>
      <c r="CS514">
        <v>4</v>
      </c>
      <c r="CT514">
        <v>3</v>
      </c>
      <c r="CU514">
        <v>4</v>
      </c>
      <c r="CV514">
        <v>3</v>
      </c>
      <c r="CW514">
        <v>3</v>
      </c>
      <c r="CX514">
        <v>4</v>
      </c>
      <c r="CY514">
        <v>4</v>
      </c>
      <c r="CZ514">
        <v>3</v>
      </c>
      <c r="DA514" t="s">
        <v>168</v>
      </c>
      <c r="DB514" t="s">
        <v>107</v>
      </c>
      <c r="DC514">
        <v>130</v>
      </c>
      <c r="DD514">
        <v>0</v>
      </c>
      <c r="DE514">
        <v>-3.7999999999999999E-2</v>
      </c>
      <c r="DF514">
        <v>73</v>
      </c>
      <c r="DG514">
        <v>7.8</v>
      </c>
    </row>
    <row r="515" spans="1:111" x14ac:dyDescent="0.2">
      <c r="A515">
        <v>2025</v>
      </c>
      <c r="B515" s="1">
        <v>45962</v>
      </c>
      <c r="C515" t="s">
        <v>95</v>
      </c>
      <c r="D515">
        <v>605483</v>
      </c>
      <c r="E515">
        <v>543807</v>
      </c>
      <c r="F515">
        <v>0</v>
      </c>
      <c r="G515">
        <v>1</v>
      </c>
      <c r="H515">
        <v>8</v>
      </c>
      <c r="I515" t="s">
        <v>163</v>
      </c>
      <c r="J515">
        <v>71</v>
      </c>
      <c r="K515">
        <v>2</v>
      </c>
      <c r="L515" t="s">
        <v>97</v>
      </c>
      <c r="M515" t="s">
        <v>132</v>
      </c>
      <c r="N515" t="s">
        <v>133</v>
      </c>
      <c r="O515">
        <f t="shared" ref="O515:O538" si="128">IF(AND(N515="4-Seam Fastball",N516="4-Seam Fastball"),1,0)</f>
        <v>0</v>
      </c>
      <c r="P515">
        <f t="shared" ref="P515:P538" si="129">IF(AND(N515="4-Seam Fastball",N516="Curveball"),1,0)</f>
        <v>0</v>
      </c>
      <c r="Q515">
        <f t="shared" ref="Q515:Q538" si="130">IF(AND(N515="4-Seam Fastball",N516="Changeup"),1,0)</f>
        <v>0</v>
      </c>
      <c r="R515">
        <f t="shared" ref="R515:R538" si="131">IF(AND(N515="4-Seam Fastball",N516="Slider"),1,0)</f>
        <v>0</v>
      </c>
      <c r="S515">
        <f t="shared" ref="S515:S538" si="132">IF(AND(N515="Curveball",N516="Curveball"),1,0)</f>
        <v>0</v>
      </c>
      <c r="T515">
        <f t="shared" ref="T515:T538" si="133">IF(AND(N515="Curveball",N516="4-Seam Fastball"),1,0)</f>
        <v>0</v>
      </c>
      <c r="U515">
        <f t="shared" ref="U515:U538" si="134">IF(AND(N515="Curveball",N516="Changeup"),1,0)</f>
        <v>0</v>
      </c>
      <c r="V515">
        <f t="shared" ref="V515:V538" si="135">IF(AND(N515="Curveball",N516="Slider"),1,0)</f>
        <v>0</v>
      </c>
      <c r="W515">
        <f t="shared" ref="W515:W538" si="136">IF(AND(N515="Changeup",N516="Changeup"),1,0)</f>
        <v>0</v>
      </c>
      <c r="X515">
        <f t="shared" ref="X515:X538" si="137">IF(AND(N515="Changeup",N516="4-Seam Fastball"),1,0)</f>
        <v>0</v>
      </c>
      <c r="Y515">
        <f t="shared" ref="Y515:Y538" si="138">IF(AND(N515="Changeup",N516="Curveball"),1,0)</f>
        <v>0</v>
      </c>
      <c r="Z515">
        <f t="shared" ref="Z515:Z538" si="139">IF(AND(N515="Changeup",N516="Slider"),1,0)</f>
        <v>1</v>
      </c>
      <c r="AA515">
        <f t="shared" ref="AA515:AA538" si="140">IF(AND(N515="Slider",N516="Slider"),1,0)</f>
        <v>0</v>
      </c>
      <c r="AB515">
        <f t="shared" ref="AB515:AB538" si="141">IF(AND(N515="Slider",N516="4-Seam Fastball"),1,0)</f>
        <v>0</v>
      </c>
      <c r="AC515">
        <f t="shared" ref="AC515:AC538" si="142">IF(AND(N515="Slider",N516="Curveball"),1,0)</f>
        <v>0</v>
      </c>
      <c r="AD515">
        <f t="shared" ref="AD515:AD538" si="143">IF(AND(N515="Slider",N516="Changeup"),1,0)</f>
        <v>0</v>
      </c>
      <c r="AE515">
        <v>84.2</v>
      </c>
      <c r="AF515">
        <v>2.4500000000000002</v>
      </c>
      <c r="AG515">
        <v>6.31</v>
      </c>
      <c r="AH515" t="s">
        <v>129</v>
      </c>
      <c r="AI515" t="s">
        <v>97</v>
      </c>
      <c r="AJ515" t="s">
        <v>97</v>
      </c>
      <c r="AK515" t="s">
        <v>97</v>
      </c>
      <c r="AL515" t="s">
        <v>97</v>
      </c>
      <c r="AM515">
        <v>12</v>
      </c>
      <c r="AN515" t="s">
        <v>130</v>
      </c>
      <c r="AO515" t="s">
        <v>213</v>
      </c>
      <c r="AP515" t="s">
        <v>122</v>
      </c>
      <c r="AQ515" t="s">
        <v>103</v>
      </c>
      <c r="AR515" t="s">
        <v>214</v>
      </c>
      <c r="AS515" t="s">
        <v>104</v>
      </c>
      <c r="AT515" t="s">
        <v>110</v>
      </c>
      <c r="AU515" t="s">
        <v>97</v>
      </c>
      <c r="AV515" t="s">
        <v>97</v>
      </c>
      <c r="AW515">
        <v>1.1000000000000001</v>
      </c>
      <c r="AX515">
        <v>0.93</v>
      </c>
      <c r="AY515">
        <v>1.21</v>
      </c>
      <c r="AZ515">
        <v>3.14</v>
      </c>
      <c r="BA515" t="s">
        <v>97</v>
      </c>
      <c r="BB515">
        <v>676391</v>
      </c>
      <c r="BC515" t="s">
        <v>97</v>
      </c>
      <c r="BD515">
        <v>1</v>
      </c>
      <c r="BE515" t="s">
        <v>97</v>
      </c>
      <c r="BF515" t="s">
        <v>97</v>
      </c>
      <c r="BG515" t="s">
        <v>97</v>
      </c>
      <c r="BH515" t="s">
        <v>97</v>
      </c>
      <c r="BI515">
        <v>669257</v>
      </c>
      <c r="BJ515">
        <v>669257</v>
      </c>
      <c r="BK515" t="s">
        <v>97</v>
      </c>
      <c r="BL515" t="s">
        <v>97</v>
      </c>
      <c r="BM515">
        <v>-5.0933479940000002</v>
      </c>
      <c r="BN515">
        <v>-122.41078400000001</v>
      </c>
      <c r="BO515">
        <v>-2.7726968630000002</v>
      </c>
      <c r="BP515">
        <v>12.069709120000001</v>
      </c>
      <c r="BQ515">
        <v>26.20307098</v>
      </c>
      <c r="BR515">
        <v>-22.5562203</v>
      </c>
      <c r="BS515">
        <v>3.55</v>
      </c>
      <c r="BT515">
        <v>1.64</v>
      </c>
      <c r="BU515">
        <v>236</v>
      </c>
      <c r="BV515">
        <v>88.4</v>
      </c>
      <c r="BW515">
        <v>58</v>
      </c>
      <c r="BX515">
        <v>84.4</v>
      </c>
      <c r="BY515">
        <v>2044</v>
      </c>
      <c r="BZ515">
        <v>6.7</v>
      </c>
      <c r="CA515">
        <v>813024</v>
      </c>
      <c r="CB515">
        <v>669257</v>
      </c>
      <c r="CC515">
        <v>669257</v>
      </c>
      <c r="CD515">
        <v>518692</v>
      </c>
      <c r="CE515">
        <v>500743</v>
      </c>
      <c r="CF515">
        <v>571970</v>
      </c>
      <c r="CG515">
        <v>605141</v>
      </c>
      <c r="CH515">
        <v>571771</v>
      </c>
      <c r="CI515">
        <v>669242</v>
      </c>
      <c r="CJ515">
        <v>606192</v>
      </c>
      <c r="CK515">
        <v>53.82</v>
      </c>
      <c r="CL515" t="s">
        <v>97</v>
      </c>
      <c r="CM515" t="s">
        <v>97</v>
      </c>
      <c r="CN515" t="s">
        <v>97</v>
      </c>
      <c r="CO515" t="s">
        <v>97</v>
      </c>
      <c r="CP515" t="s">
        <v>97</v>
      </c>
      <c r="CQ515" t="s">
        <v>97</v>
      </c>
      <c r="CR515" t="s">
        <v>97</v>
      </c>
      <c r="CS515">
        <v>4</v>
      </c>
      <c r="CT515">
        <v>3</v>
      </c>
      <c r="CU515">
        <v>4</v>
      </c>
      <c r="CV515">
        <v>3</v>
      </c>
      <c r="CW515">
        <v>3</v>
      </c>
      <c r="CX515">
        <v>4</v>
      </c>
      <c r="CY515">
        <v>4</v>
      </c>
      <c r="CZ515">
        <v>3</v>
      </c>
      <c r="DA515" t="s">
        <v>107</v>
      </c>
      <c r="DB515" t="s">
        <v>107</v>
      </c>
      <c r="DC515">
        <v>134</v>
      </c>
      <c r="DD515">
        <v>0</v>
      </c>
      <c r="DE515">
        <v>-5.1999999999999998E-2</v>
      </c>
      <c r="DF515">
        <v>71.099999999999994</v>
      </c>
      <c r="DG515">
        <v>7.6</v>
      </c>
    </row>
    <row r="516" spans="1:111" x14ac:dyDescent="0.2">
      <c r="A516">
        <v>2025</v>
      </c>
      <c r="B516" s="1">
        <v>45962</v>
      </c>
      <c r="C516" t="s">
        <v>95</v>
      </c>
      <c r="D516">
        <v>605483</v>
      </c>
      <c r="E516">
        <v>543807</v>
      </c>
      <c r="F516">
        <v>0</v>
      </c>
      <c r="G516">
        <v>2</v>
      </c>
      <c r="H516">
        <v>8</v>
      </c>
      <c r="I516" t="s">
        <v>163</v>
      </c>
      <c r="J516">
        <v>71</v>
      </c>
      <c r="K516">
        <v>3</v>
      </c>
      <c r="L516" t="s">
        <v>116</v>
      </c>
      <c r="M516" t="s">
        <v>138</v>
      </c>
      <c r="N516" t="s">
        <v>139</v>
      </c>
      <c r="O516">
        <f t="shared" si="128"/>
        <v>0</v>
      </c>
      <c r="P516">
        <f t="shared" si="129"/>
        <v>0</v>
      </c>
      <c r="Q516">
        <f t="shared" si="130"/>
        <v>0</v>
      </c>
      <c r="R516">
        <f t="shared" si="131"/>
        <v>0</v>
      </c>
      <c r="S516">
        <f t="shared" si="132"/>
        <v>0</v>
      </c>
      <c r="T516">
        <f t="shared" si="133"/>
        <v>0</v>
      </c>
      <c r="U516">
        <f t="shared" si="134"/>
        <v>0</v>
      </c>
      <c r="V516">
        <f t="shared" si="135"/>
        <v>0</v>
      </c>
      <c r="W516">
        <f t="shared" si="136"/>
        <v>0</v>
      </c>
      <c r="X516">
        <f t="shared" si="137"/>
        <v>0</v>
      </c>
      <c r="Y516">
        <f t="shared" si="138"/>
        <v>0</v>
      </c>
      <c r="Z516">
        <f t="shared" si="139"/>
        <v>0</v>
      </c>
      <c r="AA516">
        <f t="shared" si="140"/>
        <v>0</v>
      </c>
      <c r="AB516">
        <f t="shared" si="141"/>
        <v>0</v>
      </c>
      <c r="AC516">
        <f t="shared" si="142"/>
        <v>0</v>
      </c>
      <c r="AD516">
        <f t="shared" si="143"/>
        <v>1</v>
      </c>
      <c r="AE516">
        <v>90.3</v>
      </c>
      <c r="AF516">
        <v>2.06</v>
      </c>
      <c r="AG516">
        <v>6.57</v>
      </c>
      <c r="AH516" t="s">
        <v>113</v>
      </c>
      <c r="AI516" t="s">
        <v>97</v>
      </c>
      <c r="AJ516" t="s">
        <v>97</v>
      </c>
      <c r="AK516" t="s">
        <v>97</v>
      </c>
      <c r="AL516" t="s">
        <v>97</v>
      </c>
      <c r="AM516">
        <v>7</v>
      </c>
      <c r="AN516" t="s">
        <v>275</v>
      </c>
      <c r="AO516" t="s">
        <v>213</v>
      </c>
      <c r="AP516" t="s">
        <v>122</v>
      </c>
      <c r="AQ516" t="s">
        <v>103</v>
      </c>
      <c r="AR516" t="s">
        <v>214</v>
      </c>
      <c r="AS516" t="s">
        <v>104</v>
      </c>
      <c r="AT516" t="s">
        <v>110</v>
      </c>
      <c r="AU516">
        <v>2</v>
      </c>
      <c r="AV516" t="s">
        <v>97</v>
      </c>
      <c r="AW516">
        <v>-0.36</v>
      </c>
      <c r="AX516">
        <v>0.5</v>
      </c>
      <c r="AY516">
        <v>-0.71</v>
      </c>
      <c r="AZ516">
        <v>2.16</v>
      </c>
      <c r="BA516" t="s">
        <v>97</v>
      </c>
      <c r="BB516">
        <v>676391</v>
      </c>
      <c r="BC516" t="s">
        <v>97</v>
      </c>
      <c r="BD516">
        <v>1</v>
      </c>
      <c r="BE516" t="s">
        <v>97</v>
      </c>
      <c r="BF516" t="s">
        <v>97</v>
      </c>
      <c r="BG516" t="s">
        <v>97</v>
      </c>
      <c r="BH516" t="s">
        <v>97</v>
      </c>
      <c r="BI516">
        <v>669257</v>
      </c>
      <c r="BJ516">
        <v>669257</v>
      </c>
      <c r="BK516" t="s">
        <v>97</v>
      </c>
      <c r="BL516" t="s">
        <v>97</v>
      </c>
      <c r="BM516">
        <v>-6.144060649</v>
      </c>
      <c r="BN516">
        <v>-131.22528589999999</v>
      </c>
      <c r="BO516">
        <v>-6.0864184860000003</v>
      </c>
      <c r="BP516">
        <v>-2.7902515079999999</v>
      </c>
      <c r="BQ516">
        <v>29.12761583</v>
      </c>
      <c r="BR516">
        <v>-25.226979579999998</v>
      </c>
      <c r="BS516">
        <v>3.55</v>
      </c>
      <c r="BT516">
        <v>1.64</v>
      </c>
      <c r="BU516" t="s">
        <v>97</v>
      </c>
      <c r="BV516" t="s">
        <v>97</v>
      </c>
      <c r="BW516" t="s">
        <v>97</v>
      </c>
      <c r="BX516">
        <v>90.6</v>
      </c>
      <c r="BY516">
        <v>2453</v>
      </c>
      <c r="BZ516">
        <v>6.6</v>
      </c>
      <c r="CA516">
        <v>813024</v>
      </c>
      <c r="CB516">
        <v>669257</v>
      </c>
      <c r="CC516">
        <v>669257</v>
      </c>
      <c r="CD516">
        <v>518692</v>
      </c>
      <c r="CE516">
        <v>500743</v>
      </c>
      <c r="CF516">
        <v>571970</v>
      </c>
      <c r="CG516">
        <v>605141</v>
      </c>
      <c r="CH516">
        <v>571771</v>
      </c>
      <c r="CI516">
        <v>669242</v>
      </c>
      <c r="CJ516">
        <v>606192</v>
      </c>
      <c r="CK516">
        <v>53.87</v>
      </c>
      <c r="CL516" t="s">
        <v>97</v>
      </c>
      <c r="CM516">
        <v>0</v>
      </c>
      <c r="CN516">
        <v>0</v>
      </c>
      <c r="CO516">
        <v>1</v>
      </c>
      <c r="CP516">
        <v>0</v>
      </c>
      <c r="CQ516">
        <v>0</v>
      </c>
      <c r="CR516" t="s">
        <v>97</v>
      </c>
      <c r="CS516">
        <v>4</v>
      </c>
      <c r="CT516">
        <v>3</v>
      </c>
      <c r="CU516">
        <v>4</v>
      </c>
      <c r="CV516">
        <v>3</v>
      </c>
      <c r="CW516">
        <v>3</v>
      </c>
      <c r="CX516">
        <v>4</v>
      </c>
      <c r="CY516">
        <v>4</v>
      </c>
      <c r="CZ516">
        <v>3</v>
      </c>
      <c r="DA516" t="s">
        <v>107</v>
      </c>
      <c r="DB516" t="s">
        <v>107</v>
      </c>
      <c r="DC516">
        <v>175</v>
      </c>
      <c r="DD516">
        <v>-0.02</v>
      </c>
      <c r="DE516">
        <v>-0.186</v>
      </c>
      <c r="DF516">
        <v>74.7</v>
      </c>
      <c r="DG516">
        <v>7.5</v>
      </c>
    </row>
    <row r="517" spans="1:111" x14ac:dyDescent="0.2">
      <c r="A517">
        <v>2025</v>
      </c>
      <c r="B517" s="1">
        <v>45962</v>
      </c>
      <c r="C517" t="s">
        <v>95</v>
      </c>
      <c r="D517">
        <v>605483</v>
      </c>
      <c r="E517">
        <v>676914</v>
      </c>
      <c r="F517">
        <v>0</v>
      </c>
      <c r="G517">
        <v>0</v>
      </c>
      <c r="H517">
        <v>8</v>
      </c>
      <c r="I517" t="s">
        <v>163</v>
      </c>
      <c r="J517">
        <v>72</v>
      </c>
      <c r="K517">
        <v>1</v>
      </c>
      <c r="L517" t="s">
        <v>97</v>
      </c>
      <c r="M517" t="s">
        <v>132</v>
      </c>
      <c r="N517" t="s">
        <v>133</v>
      </c>
      <c r="O517">
        <f t="shared" si="128"/>
        <v>0</v>
      </c>
      <c r="P517">
        <f t="shared" si="129"/>
        <v>0</v>
      </c>
      <c r="Q517">
        <f t="shared" si="130"/>
        <v>0</v>
      </c>
      <c r="R517">
        <f t="shared" si="131"/>
        <v>0</v>
      </c>
      <c r="S517">
        <f t="shared" si="132"/>
        <v>0</v>
      </c>
      <c r="T517">
        <f t="shared" si="133"/>
        <v>0</v>
      </c>
      <c r="U517">
        <f t="shared" si="134"/>
        <v>0</v>
      </c>
      <c r="V517">
        <f t="shared" si="135"/>
        <v>0</v>
      </c>
      <c r="W517">
        <f t="shared" si="136"/>
        <v>0</v>
      </c>
      <c r="X517">
        <f t="shared" si="137"/>
        <v>0</v>
      </c>
      <c r="Y517">
        <f t="shared" si="138"/>
        <v>0</v>
      </c>
      <c r="Z517">
        <f t="shared" si="139"/>
        <v>1</v>
      </c>
      <c r="AA517">
        <f t="shared" si="140"/>
        <v>0</v>
      </c>
      <c r="AB517">
        <f t="shared" si="141"/>
        <v>0</v>
      </c>
      <c r="AC517">
        <f t="shared" si="142"/>
        <v>0</v>
      </c>
      <c r="AD517">
        <f t="shared" si="143"/>
        <v>0</v>
      </c>
      <c r="AE517">
        <v>84.4</v>
      </c>
      <c r="AF517">
        <v>2.2799999999999998</v>
      </c>
      <c r="AG517">
        <v>6.33</v>
      </c>
      <c r="AH517" t="s">
        <v>108</v>
      </c>
      <c r="AI517" t="s">
        <v>97</v>
      </c>
      <c r="AJ517" t="s">
        <v>97</v>
      </c>
      <c r="AK517" t="s">
        <v>97</v>
      </c>
      <c r="AL517" t="s">
        <v>97</v>
      </c>
      <c r="AM517">
        <v>6</v>
      </c>
      <c r="AN517" t="s">
        <v>109</v>
      </c>
      <c r="AO517" t="s">
        <v>213</v>
      </c>
      <c r="AP517" t="s">
        <v>122</v>
      </c>
      <c r="AQ517" t="s">
        <v>103</v>
      </c>
      <c r="AR517" t="s">
        <v>214</v>
      </c>
      <c r="AS517" t="s">
        <v>104</v>
      </c>
      <c r="AT517" t="s">
        <v>110</v>
      </c>
      <c r="AU517" t="s">
        <v>97</v>
      </c>
      <c r="AV517" t="s">
        <v>97</v>
      </c>
      <c r="AW517">
        <v>1.1599999999999999</v>
      </c>
      <c r="AX517">
        <v>0.63</v>
      </c>
      <c r="AY517">
        <v>0.71</v>
      </c>
      <c r="AZ517">
        <v>2.2799999999999998</v>
      </c>
      <c r="BA517" t="s">
        <v>97</v>
      </c>
      <c r="BB517">
        <v>676391</v>
      </c>
      <c r="BC517" t="s">
        <v>97</v>
      </c>
      <c r="BD517">
        <v>2</v>
      </c>
      <c r="BE517" t="s">
        <v>97</v>
      </c>
      <c r="BF517" t="s">
        <v>97</v>
      </c>
      <c r="BG517" t="s">
        <v>97</v>
      </c>
      <c r="BH517" t="s">
        <v>97</v>
      </c>
      <c r="BI517">
        <v>669257</v>
      </c>
      <c r="BJ517">
        <v>669257</v>
      </c>
      <c r="BK517" t="s">
        <v>97</v>
      </c>
      <c r="BL517" t="s">
        <v>97</v>
      </c>
      <c r="BM517">
        <v>-5.9878507220000001</v>
      </c>
      <c r="BN517">
        <v>-122.66379139999999</v>
      </c>
      <c r="BO517">
        <v>-4.3121254640000002</v>
      </c>
      <c r="BP517">
        <v>12.91234397</v>
      </c>
      <c r="BQ517">
        <v>25.77765028</v>
      </c>
      <c r="BR517">
        <v>-25.11616459</v>
      </c>
      <c r="BS517">
        <v>3.12</v>
      </c>
      <c r="BT517">
        <v>1.5</v>
      </c>
      <c r="BU517" t="s">
        <v>97</v>
      </c>
      <c r="BV517" t="s">
        <v>97</v>
      </c>
      <c r="BW517" t="s">
        <v>97</v>
      </c>
      <c r="BX517">
        <v>84.8</v>
      </c>
      <c r="BY517">
        <v>1725</v>
      </c>
      <c r="BZ517">
        <v>6.7</v>
      </c>
      <c r="CA517">
        <v>813024</v>
      </c>
      <c r="CB517">
        <v>669257</v>
      </c>
      <c r="CC517">
        <v>669257</v>
      </c>
      <c r="CD517">
        <v>518692</v>
      </c>
      <c r="CE517">
        <v>500743</v>
      </c>
      <c r="CF517">
        <v>571970</v>
      </c>
      <c r="CG517">
        <v>605141</v>
      </c>
      <c r="CH517">
        <v>571771</v>
      </c>
      <c r="CI517">
        <v>669242</v>
      </c>
      <c r="CJ517">
        <v>606192</v>
      </c>
      <c r="CK517">
        <v>53.77</v>
      </c>
      <c r="CL517" t="s">
        <v>97</v>
      </c>
      <c r="CM517" t="s">
        <v>97</v>
      </c>
      <c r="CN517" t="s">
        <v>97</v>
      </c>
      <c r="CO517" t="s">
        <v>97</v>
      </c>
      <c r="CP517" t="s">
        <v>97</v>
      </c>
      <c r="CQ517" t="s">
        <v>97</v>
      </c>
      <c r="CR517" t="s">
        <v>97</v>
      </c>
      <c r="CS517">
        <v>4</v>
      </c>
      <c r="CT517">
        <v>3</v>
      </c>
      <c r="CU517">
        <v>4</v>
      </c>
      <c r="CV517">
        <v>3</v>
      </c>
      <c r="CW517">
        <v>3</v>
      </c>
      <c r="CX517">
        <v>4</v>
      </c>
      <c r="CY517">
        <v>4</v>
      </c>
      <c r="CZ517">
        <v>3</v>
      </c>
      <c r="DA517" t="s">
        <v>107</v>
      </c>
      <c r="DB517" t="s">
        <v>107</v>
      </c>
      <c r="DC517">
        <v>127</v>
      </c>
      <c r="DD517">
        <v>0</v>
      </c>
      <c r="DE517">
        <v>-0.04</v>
      </c>
      <c r="DF517" t="s">
        <v>97</v>
      </c>
      <c r="DG517" t="s">
        <v>97</v>
      </c>
    </row>
    <row r="518" spans="1:111" x14ac:dyDescent="0.2">
      <c r="A518">
        <v>2025</v>
      </c>
      <c r="B518" s="1">
        <v>45962</v>
      </c>
      <c r="C518" t="s">
        <v>95</v>
      </c>
      <c r="D518">
        <v>605483</v>
      </c>
      <c r="E518">
        <v>676914</v>
      </c>
      <c r="F518">
        <v>0</v>
      </c>
      <c r="G518">
        <v>1</v>
      </c>
      <c r="H518">
        <v>8</v>
      </c>
      <c r="I518" t="s">
        <v>163</v>
      </c>
      <c r="J518">
        <v>72</v>
      </c>
      <c r="K518">
        <v>2</v>
      </c>
      <c r="L518" t="s">
        <v>97</v>
      </c>
      <c r="M518" t="s">
        <v>138</v>
      </c>
      <c r="N518" t="s">
        <v>139</v>
      </c>
      <c r="O518">
        <f t="shared" si="128"/>
        <v>0</v>
      </c>
      <c r="P518">
        <f t="shared" si="129"/>
        <v>0</v>
      </c>
      <c r="Q518">
        <f t="shared" si="130"/>
        <v>0</v>
      </c>
      <c r="R518">
        <f t="shared" si="131"/>
        <v>0</v>
      </c>
      <c r="S518">
        <f t="shared" si="132"/>
        <v>0</v>
      </c>
      <c r="T518">
        <f t="shared" si="133"/>
        <v>0</v>
      </c>
      <c r="U518">
        <f t="shared" si="134"/>
        <v>0</v>
      </c>
      <c r="V518">
        <f t="shared" si="135"/>
        <v>0</v>
      </c>
      <c r="W518">
        <f t="shared" si="136"/>
        <v>0</v>
      </c>
      <c r="X518">
        <f t="shared" si="137"/>
        <v>0</v>
      </c>
      <c r="Y518">
        <f t="shared" si="138"/>
        <v>0</v>
      </c>
      <c r="Z518">
        <f t="shared" si="139"/>
        <v>0</v>
      </c>
      <c r="AA518">
        <f t="shared" si="140"/>
        <v>1</v>
      </c>
      <c r="AB518">
        <f t="shared" si="141"/>
        <v>0</v>
      </c>
      <c r="AC518">
        <f t="shared" si="142"/>
        <v>0</v>
      </c>
      <c r="AD518">
        <f t="shared" si="143"/>
        <v>0</v>
      </c>
      <c r="AE518">
        <v>89</v>
      </c>
      <c r="AF518">
        <v>1.97</v>
      </c>
      <c r="AG518">
        <v>6.44</v>
      </c>
      <c r="AH518" t="s">
        <v>140</v>
      </c>
      <c r="AI518" t="s">
        <v>97</v>
      </c>
      <c r="AJ518" t="s">
        <v>97</v>
      </c>
      <c r="AK518" t="s">
        <v>97</v>
      </c>
      <c r="AL518" t="s">
        <v>97</v>
      </c>
      <c r="AM518">
        <v>13</v>
      </c>
      <c r="AN518" t="s">
        <v>141</v>
      </c>
      <c r="AO518" t="s">
        <v>213</v>
      </c>
      <c r="AP518" t="s">
        <v>122</v>
      </c>
      <c r="AQ518" t="s">
        <v>103</v>
      </c>
      <c r="AR518" t="s">
        <v>214</v>
      </c>
      <c r="AS518" t="s">
        <v>104</v>
      </c>
      <c r="AT518" t="s">
        <v>106</v>
      </c>
      <c r="AU518" t="s">
        <v>97</v>
      </c>
      <c r="AV518" t="s">
        <v>97</v>
      </c>
      <c r="AW518">
        <v>-0.12</v>
      </c>
      <c r="AX518">
        <v>0.56999999999999995</v>
      </c>
      <c r="AY518">
        <v>-1.05</v>
      </c>
      <c r="AZ518">
        <v>-0.61</v>
      </c>
      <c r="BA518" t="s">
        <v>97</v>
      </c>
      <c r="BB518">
        <v>676391</v>
      </c>
      <c r="BC518" t="s">
        <v>97</v>
      </c>
      <c r="BD518">
        <v>2</v>
      </c>
      <c r="BE518" t="s">
        <v>97</v>
      </c>
      <c r="BF518" t="s">
        <v>97</v>
      </c>
      <c r="BG518" t="s">
        <v>97</v>
      </c>
      <c r="BH518" t="s">
        <v>97</v>
      </c>
      <c r="BI518">
        <v>669257</v>
      </c>
      <c r="BJ518">
        <v>669257</v>
      </c>
      <c r="BK518" t="s">
        <v>97</v>
      </c>
      <c r="BL518" t="s">
        <v>97</v>
      </c>
      <c r="BM518">
        <v>-7.1881558620000003</v>
      </c>
      <c r="BN518">
        <v>-128.85730760000001</v>
      </c>
      <c r="BO518">
        <v>-12.44700838</v>
      </c>
      <c r="BP518">
        <v>0.218765816</v>
      </c>
      <c r="BQ518">
        <v>28.20947013</v>
      </c>
      <c r="BR518">
        <v>-23.303762209999999</v>
      </c>
      <c r="BS518">
        <v>3.12</v>
      </c>
      <c r="BT518">
        <v>1.49</v>
      </c>
      <c r="BU518" t="s">
        <v>97</v>
      </c>
      <c r="BV518" t="s">
        <v>97</v>
      </c>
      <c r="BW518" t="s">
        <v>97</v>
      </c>
      <c r="BX518">
        <v>89.4</v>
      </c>
      <c r="BY518">
        <v>2317</v>
      </c>
      <c r="BZ518">
        <v>6.9</v>
      </c>
      <c r="CA518">
        <v>813024</v>
      </c>
      <c r="CB518">
        <v>669257</v>
      </c>
      <c r="CC518">
        <v>669257</v>
      </c>
      <c r="CD518">
        <v>518692</v>
      </c>
      <c r="CE518">
        <v>500743</v>
      </c>
      <c r="CF518">
        <v>571970</v>
      </c>
      <c r="CG518">
        <v>605141</v>
      </c>
      <c r="CH518">
        <v>571771</v>
      </c>
      <c r="CI518">
        <v>669242</v>
      </c>
      <c r="CJ518">
        <v>606192</v>
      </c>
      <c r="CK518">
        <v>53.59</v>
      </c>
      <c r="CL518" t="s">
        <v>97</v>
      </c>
      <c r="CM518" t="s">
        <v>97</v>
      </c>
      <c r="CN518" t="s">
        <v>97</v>
      </c>
      <c r="CO518" t="s">
        <v>97</v>
      </c>
      <c r="CP518" t="s">
        <v>97</v>
      </c>
      <c r="CQ518" t="s">
        <v>97</v>
      </c>
      <c r="CR518" t="s">
        <v>97</v>
      </c>
      <c r="CS518">
        <v>4</v>
      </c>
      <c r="CT518">
        <v>3</v>
      </c>
      <c r="CU518">
        <v>4</v>
      </c>
      <c r="CV518">
        <v>3</v>
      </c>
      <c r="CW518">
        <v>3</v>
      </c>
      <c r="CX518">
        <v>4</v>
      </c>
      <c r="CY518">
        <v>4</v>
      </c>
      <c r="CZ518">
        <v>3</v>
      </c>
      <c r="DA518" t="s">
        <v>107</v>
      </c>
      <c r="DB518" t="s">
        <v>107</v>
      </c>
      <c r="DC518">
        <v>164</v>
      </c>
      <c r="DD518">
        <v>0</v>
      </c>
      <c r="DE518">
        <v>1.4999999999999999E-2</v>
      </c>
      <c r="DF518" t="s">
        <v>97</v>
      </c>
      <c r="DG518" t="s">
        <v>97</v>
      </c>
    </row>
    <row r="519" spans="1:111" x14ac:dyDescent="0.2">
      <c r="A519">
        <v>2025</v>
      </c>
      <c r="B519" s="1">
        <v>45962</v>
      </c>
      <c r="C519" t="s">
        <v>95</v>
      </c>
      <c r="D519">
        <v>605483</v>
      </c>
      <c r="E519">
        <v>676914</v>
      </c>
      <c r="F519">
        <v>1</v>
      </c>
      <c r="G519">
        <v>1</v>
      </c>
      <c r="H519">
        <v>8</v>
      </c>
      <c r="I519" t="s">
        <v>163</v>
      </c>
      <c r="J519">
        <v>72</v>
      </c>
      <c r="K519">
        <v>3</v>
      </c>
      <c r="L519" t="s">
        <v>97</v>
      </c>
      <c r="M519" t="s">
        <v>138</v>
      </c>
      <c r="N519" t="s">
        <v>139</v>
      </c>
      <c r="O519">
        <f t="shared" si="128"/>
        <v>0</v>
      </c>
      <c r="P519">
        <f t="shared" si="129"/>
        <v>0</v>
      </c>
      <c r="Q519">
        <f t="shared" si="130"/>
        <v>0</v>
      </c>
      <c r="R519">
        <f t="shared" si="131"/>
        <v>0</v>
      </c>
      <c r="S519">
        <f t="shared" si="132"/>
        <v>0</v>
      </c>
      <c r="T519">
        <f t="shared" si="133"/>
        <v>0</v>
      </c>
      <c r="U519">
        <f t="shared" si="134"/>
        <v>0</v>
      </c>
      <c r="V519">
        <f t="shared" si="135"/>
        <v>0</v>
      </c>
      <c r="W519">
        <f t="shared" si="136"/>
        <v>0</v>
      </c>
      <c r="X519">
        <f t="shared" si="137"/>
        <v>0</v>
      </c>
      <c r="Y519">
        <f t="shared" si="138"/>
        <v>0</v>
      </c>
      <c r="Z519">
        <f t="shared" si="139"/>
        <v>0</v>
      </c>
      <c r="AA519">
        <f t="shared" si="140"/>
        <v>0</v>
      </c>
      <c r="AB519">
        <f t="shared" si="141"/>
        <v>0</v>
      </c>
      <c r="AC519">
        <f t="shared" si="142"/>
        <v>0</v>
      </c>
      <c r="AD519">
        <f t="shared" si="143"/>
        <v>1</v>
      </c>
      <c r="AE519">
        <v>88.8</v>
      </c>
      <c r="AF519">
        <v>1.95</v>
      </c>
      <c r="AG519">
        <v>6.52</v>
      </c>
      <c r="AH519" t="s">
        <v>140</v>
      </c>
      <c r="AI519" t="s">
        <v>97</v>
      </c>
      <c r="AJ519" t="s">
        <v>97</v>
      </c>
      <c r="AK519" t="s">
        <v>97</v>
      </c>
      <c r="AL519" t="s">
        <v>97</v>
      </c>
      <c r="AM519">
        <v>13</v>
      </c>
      <c r="AN519" t="s">
        <v>141</v>
      </c>
      <c r="AO519" t="s">
        <v>213</v>
      </c>
      <c r="AP519" t="s">
        <v>122</v>
      </c>
      <c r="AQ519" t="s">
        <v>103</v>
      </c>
      <c r="AR519" t="s">
        <v>214</v>
      </c>
      <c r="AS519" t="s">
        <v>104</v>
      </c>
      <c r="AT519" t="s">
        <v>106</v>
      </c>
      <c r="AU519" t="s">
        <v>97</v>
      </c>
      <c r="AV519" t="s">
        <v>97</v>
      </c>
      <c r="AW519">
        <v>-0.23</v>
      </c>
      <c r="AX519">
        <v>0.49</v>
      </c>
      <c r="AY519">
        <v>-1.21</v>
      </c>
      <c r="AZ519">
        <v>0.61</v>
      </c>
      <c r="BA519" t="s">
        <v>97</v>
      </c>
      <c r="BB519">
        <v>676391</v>
      </c>
      <c r="BC519" t="s">
        <v>97</v>
      </c>
      <c r="BD519">
        <v>2</v>
      </c>
      <c r="BE519" t="s">
        <v>97</v>
      </c>
      <c r="BF519" t="s">
        <v>97</v>
      </c>
      <c r="BG519" t="s">
        <v>97</v>
      </c>
      <c r="BH519" t="s">
        <v>97</v>
      </c>
      <c r="BI519">
        <v>669257</v>
      </c>
      <c r="BJ519">
        <v>669257</v>
      </c>
      <c r="BK519" t="s">
        <v>97</v>
      </c>
      <c r="BL519" t="s">
        <v>97</v>
      </c>
      <c r="BM519">
        <v>-7.2917323209999996</v>
      </c>
      <c r="BN519">
        <v>-128.92639349999999</v>
      </c>
      <c r="BO519">
        <v>-9.4756097389999994</v>
      </c>
      <c r="BP519">
        <v>-1.0683000979999999</v>
      </c>
      <c r="BQ519">
        <v>26.943944200000001</v>
      </c>
      <c r="BR519">
        <v>-24.879315600000002</v>
      </c>
      <c r="BS519">
        <v>3.12</v>
      </c>
      <c r="BT519">
        <v>1.57</v>
      </c>
      <c r="BU519" t="s">
        <v>97</v>
      </c>
      <c r="BV519" t="s">
        <v>97</v>
      </c>
      <c r="BW519" t="s">
        <v>97</v>
      </c>
      <c r="BX519">
        <v>89.4</v>
      </c>
      <c r="BY519">
        <v>2510</v>
      </c>
      <c r="BZ519">
        <v>6.8</v>
      </c>
      <c r="CA519">
        <v>813024</v>
      </c>
      <c r="CB519">
        <v>669257</v>
      </c>
      <c r="CC519">
        <v>669257</v>
      </c>
      <c r="CD519">
        <v>518692</v>
      </c>
      <c r="CE519">
        <v>500743</v>
      </c>
      <c r="CF519">
        <v>571970</v>
      </c>
      <c r="CG519">
        <v>605141</v>
      </c>
      <c r="CH519">
        <v>571771</v>
      </c>
      <c r="CI519">
        <v>669242</v>
      </c>
      <c r="CJ519">
        <v>606192</v>
      </c>
      <c r="CK519">
        <v>53.72</v>
      </c>
      <c r="CL519" t="s">
        <v>97</v>
      </c>
      <c r="CM519" t="s">
        <v>97</v>
      </c>
      <c r="CN519" t="s">
        <v>97</v>
      </c>
      <c r="CO519" t="s">
        <v>97</v>
      </c>
      <c r="CP519" t="s">
        <v>97</v>
      </c>
      <c r="CQ519" t="s">
        <v>97</v>
      </c>
      <c r="CR519" t="s">
        <v>97</v>
      </c>
      <c r="CS519">
        <v>4</v>
      </c>
      <c r="CT519">
        <v>3</v>
      </c>
      <c r="CU519">
        <v>4</v>
      </c>
      <c r="CV519">
        <v>3</v>
      </c>
      <c r="CW519">
        <v>3</v>
      </c>
      <c r="CX519">
        <v>4</v>
      </c>
      <c r="CY519">
        <v>4</v>
      </c>
      <c r="CZ519">
        <v>3</v>
      </c>
      <c r="DA519" t="s">
        <v>107</v>
      </c>
      <c r="DB519" t="s">
        <v>107</v>
      </c>
      <c r="DC519">
        <v>171</v>
      </c>
      <c r="DD519">
        <v>0</v>
      </c>
      <c r="DE519">
        <v>2.1000000000000001E-2</v>
      </c>
      <c r="DF519" t="s">
        <v>97</v>
      </c>
      <c r="DG519" t="s">
        <v>97</v>
      </c>
    </row>
    <row r="520" spans="1:111" x14ac:dyDescent="0.2">
      <c r="A520">
        <v>2025</v>
      </c>
      <c r="B520" s="1">
        <v>45962</v>
      </c>
      <c r="C520" t="s">
        <v>95</v>
      </c>
      <c r="D520">
        <v>605483</v>
      </c>
      <c r="E520">
        <v>676914</v>
      </c>
      <c r="F520">
        <v>2</v>
      </c>
      <c r="G520">
        <v>1</v>
      </c>
      <c r="H520">
        <v>8</v>
      </c>
      <c r="I520" t="s">
        <v>163</v>
      </c>
      <c r="J520">
        <v>72</v>
      </c>
      <c r="K520">
        <v>4</v>
      </c>
      <c r="L520" t="s">
        <v>97</v>
      </c>
      <c r="M520" t="s">
        <v>132</v>
      </c>
      <c r="N520" t="s">
        <v>133</v>
      </c>
      <c r="O520">
        <f t="shared" si="128"/>
        <v>0</v>
      </c>
      <c r="P520">
        <f t="shared" si="129"/>
        <v>0</v>
      </c>
      <c r="Q520">
        <f t="shared" si="130"/>
        <v>0</v>
      </c>
      <c r="R520">
        <f t="shared" si="131"/>
        <v>0</v>
      </c>
      <c r="S520">
        <f t="shared" si="132"/>
        <v>0</v>
      </c>
      <c r="T520">
        <f t="shared" si="133"/>
        <v>0</v>
      </c>
      <c r="U520">
        <f t="shared" si="134"/>
        <v>0</v>
      </c>
      <c r="V520">
        <f t="shared" si="135"/>
        <v>0</v>
      </c>
      <c r="W520">
        <f t="shared" si="136"/>
        <v>0</v>
      </c>
      <c r="X520">
        <f t="shared" si="137"/>
        <v>0</v>
      </c>
      <c r="Y520">
        <f t="shared" si="138"/>
        <v>1</v>
      </c>
      <c r="Z520">
        <f t="shared" si="139"/>
        <v>0</v>
      </c>
      <c r="AA520">
        <f t="shared" si="140"/>
        <v>0</v>
      </c>
      <c r="AB520">
        <f t="shared" si="141"/>
        <v>0</v>
      </c>
      <c r="AC520">
        <f t="shared" si="142"/>
        <v>0</v>
      </c>
      <c r="AD520">
        <f t="shared" si="143"/>
        <v>0</v>
      </c>
      <c r="AE520">
        <v>81.8</v>
      </c>
      <c r="AF520">
        <v>2.3199999999999998</v>
      </c>
      <c r="AG520">
        <v>6.38</v>
      </c>
      <c r="AH520" t="s">
        <v>108</v>
      </c>
      <c r="AI520" t="s">
        <v>97</v>
      </c>
      <c r="AJ520" t="s">
        <v>97</v>
      </c>
      <c r="AK520" t="s">
        <v>97</v>
      </c>
      <c r="AL520" t="s">
        <v>97</v>
      </c>
      <c r="AM520">
        <v>12</v>
      </c>
      <c r="AN520" t="s">
        <v>109</v>
      </c>
      <c r="AO520" t="s">
        <v>213</v>
      </c>
      <c r="AP520" t="s">
        <v>122</v>
      </c>
      <c r="AQ520" t="s">
        <v>103</v>
      </c>
      <c r="AR520" t="s">
        <v>214</v>
      </c>
      <c r="AS520" t="s">
        <v>104</v>
      </c>
      <c r="AT520" t="s">
        <v>110</v>
      </c>
      <c r="AU520" t="s">
        <v>97</v>
      </c>
      <c r="AV520" t="s">
        <v>97</v>
      </c>
      <c r="AW520">
        <v>1.1399999999999999</v>
      </c>
      <c r="AX520">
        <v>0.96</v>
      </c>
      <c r="AY520">
        <v>0.91</v>
      </c>
      <c r="AZ520">
        <v>2.83</v>
      </c>
      <c r="BA520" t="s">
        <v>97</v>
      </c>
      <c r="BB520">
        <v>676391</v>
      </c>
      <c r="BC520" t="s">
        <v>97</v>
      </c>
      <c r="BD520">
        <v>2</v>
      </c>
      <c r="BE520" t="s">
        <v>97</v>
      </c>
      <c r="BF520" t="s">
        <v>97</v>
      </c>
      <c r="BG520" t="s">
        <v>97</v>
      </c>
      <c r="BH520" t="s">
        <v>97</v>
      </c>
      <c r="BI520">
        <v>669257</v>
      </c>
      <c r="BJ520">
        <v>669257</v>
      </c>
      <c r="BK520" t="s">
        <v>97</v>
      </c>
      <c r="BL520" t="s">
        <v>97</v>
      </c>
      <c r="BM520">
        <v>-5.3983146929999997</v>
      </c>
      <c r="BN520">
        <v>-118.9989697</v>
      </c>
      <c r="BO520">
        <v>-3.2636230679999998</v>
      </c>
      <c r="BP520">
        <v>11.888126400000001</v>
      </c>
      <c r="BQ520">
        <v>23.48204131</v>
      </c>
      <c r="BR520">
        <v>-22.662769910000002</v>
      </c>
      <c r="BS520">
        <v>3.12</v>
      </c>
      <c r="BT520">
        <v>1.58</v>
      </c>
      <c r="BU520" t="s">
        <v>97</v>
      </c>
      <c r="BV520" t="s">
        <v>97</v>
      </c>
      <c r="BW520" t="s">
        <v>97</v>
      </c>
      <c r="BX520">
        <v>82.2</v>
      </c>
      <c r="BY520">
        <v>1889</v>
      </c>
      <c r="BZ520">
        <v>6.7</v>
      </c>
      <c r="CA520">
        <v>813024</v>
      </c>
      <c r="CB520">
        <v>669257</v>
      </c>
      <c r="CC520">
        <v>669257</v>
      </c>
      <c r="CD520">
        <v>518692</v>
      </c>
      <c r="CE520">
        <v>500743</v>
      </c>
      <c r="CF520">
        <v>571970</v>
      </c>
      <c r="CG520">
        <v>605141</v>
      </c>
      <c r="CH520">
        <v>571771</v>
      </c>
      <c r="CI520">
        <v>669242</v>
      </c>
      <c r="CJ520">
        <v>606192</v>
      </c>
      <c r="CK520">
        <v>53.85</v>
      </c>
      <c r="CL520" t="s">
        <v>97</v>
      </c>
      <c r="CM520" t="s">
        <v>97</v>
      </c>
      <c r="CN520" t="s">
        <v>97</v>
      </c>
      <c r="CO520" t="s">
        <v>97</v>
      </c>
      <c r="CP520" t="s">
        <v>97</v>
      </c>
      <c r="CQ520" t="s">
        <v>97</v>
      </c>
      <c r="CR520" t="s">
        <v>97</v>
      </c>
      <c r="CS520">
        <v>4</v>
      </c>
      <c r="CT520">
        <v>3</v>
      </c>
      <c r="CU520">
        <v>4</v>
      </c>
      <c r="CV520">
        <v>3</v>
      </c>
      <c r="CW520">
        <v>3</v>
      </c>
      <c r="CX520">
        <v>4</v>
      </c>
      <c r="CY520">
        <v>4</v>
      </c>
      <c r="CZ520">
        <v>3</v>
      </c>
      <c r="DA520" t="s">
        <v>107</v>
      </c>
      <c r="DB520" t="s">
        <v>107</v>
      </c>
      <c r="DC520">
        <v>135</v>
      </c>
      <c r="DD520">
        <v>0</v>
      </c>
      <c r="DE520">
        <v>-6.4000000000000001E-2</v>
      </c>
      <c r="DF520" t="s">
        <v>97</v>
      </c>
      <c r="DG520" t="s">
        <v>97</v>
      </c>
    </row>
    <row r="521" spans="1:111" x14ac:dyDescent="0.2">
      <c r="A521">
        <v>2025</v>
      </c>
      <c r="B521" s="1">
        <v>45962</v>
      </c>
      <c r="C521" t="s">
        <v>95</v>
      </c>
      <c r="D521">
        <v>605483</v>
      </c>
      <c r="E521">
        <v>676914</v>
      </c>
      <c r="F521">
        <v>2</v>
      </c>
      <c r="G521">
        <v>2</v>
      </c>
      <c r="H521">
        <v>8</v>
      </c>
      <c r="I521" t="s">
        <v>163</v>
      </c>
      <c r="J521">
        <v>72</v>
      </c>
      <c r="K521">
        <v>5</v>
      </c>
      <c r="L521" t="s">
        <v>116</v>
      </c>
      <c r="M521" t="s">
        <v>111</v>
      </c>
      <c r="N521" t="s">
        <v>112</v>
      </c>
      <c r="O521">
        <f t="shared" si="128"/>
        <v>0</v>
      </c>
      <c r="P521">
        <f t="shared" si="129"/>
        <v>0</v>
      </c>
      <c r="Q521">
        <f t="shared" si="130"/>
        <v>0</v>
      </c>
      <c r="R521">
        <f t="shared" si="131"/>
        <v>0</v>
      </c>
      <c r="S521">
        <f t="shared" si="132"/>
        <v>0</v>
      </c>
      <c r="T521">
        <f t="shared" si="133"/>
        <v>0</v>
      </c>
      <c r="U521">
        <f t="shared" si="134"/>
        <v>1</v>
      </c>
      <c r="V521">
        <f t="shared" si="135"/>
        <v>0</v>
      </c>
      <c r="W521">
        <f t="shared" si="136"/>
        <v>0</v>
      </c>
      <c r="X521">
        <f t="shared" si="137"/>
        <v>0</v>
      </c>
      <c r="Y521">
        <f t="shared" si="138"/>
        <v>0</v>
      </c>
      <c r="Z521">
        <f t="shared" si="139"/>
        <v>0</v>
      </c>
      <c r="AA521">
        <f t="shared" si="140"/>
        <v>0</v>
      </c>
      <c r="AB521">
        <f t="shared" si="141"/>
        <v>0</v>
      </c>
      <c r="AC521">
        <f t="shared" si="142"/>
        <v>0</v>
      </c>
      <c r="AD521">
        <f t="shared" si="143"/>
        <v>0</v>
      </c>
      <c r="AE521">
        <v>82.1</v>
      </c>
      <c r="AF521">
        <v>2.04</v>
      </c>
      <c r="AG521">
        <v>6.51</v>
      </c>
      <c r="AH521" t="s">
        <v>113</v>
      </c>
      <c r="AI521" t="s">
        <v>97</v>
      </c>
      <c r="AJ521" t="s">
        <v>97</v>
      </c>
      <c r="AK521" t="s">
        <v>97</v>
      </c>
      <c r="AL521" t="s">
        <v>97</v>
      </c>
      <c r="AM521">
        <v>7</v>
      </c>
      <c r="AN521" t="s">
        <v>226</v>
      </c>
      <c r="AO521" t="s">
        <v>213</v>
      </c>
      <c r="AP521" t="s">
        <v>122</v>
      </c>
      <c r="AQ521" t="s">
        <v>103</v>
      </c>
      <c r="AR521" t="s">
        <v>214</v>
      </c>
      <c r="AS521" t="s">
        <v>104</v>
      </c>
      <c r="AT521" t="s">
        <v>110</v>
      </c>
      <c r="AU521">
        <v>2</v>
      </c>
      <c r="AV521" t="s">
        <v>97</v>
      </c>
      <c r="AW521">
        <v>-1.22</v>
      </c>
      <c r="AX521">
        <v>-0.62</v>
      </c>
      <c r="AY521">
        <v>-0.3</v>
      </c>
      <c r="AZ521">
        <v>1.45</v>
      </c>
      <c r="BA521" t="s">
        <v>97</v>
      </c>
      <c r="BB521">
        <v>676391</v>
      </c>
      <c r="BC521" t="s">
        <v>97</v>
      </c>
      <c r="BD521">
        <v>2</v>
      </c>
      <c r="BE521" t="s">
        <v>97</v>
      </c>
      <c r="BF521" t="s">
        <v>97</v>
      </c>
      <c r="BG521" t="s">
        <v>97</v>
      </c>
      <c r="BH521" t="s">
        <v>97</v>
      </c>
      <c r="BI521">
        <v>669257</v>
      </c>
      <c r="BJ521">
        <v>669257</v>
      </c>
      <c r="BK521" t="s">
        <v>97</v>
      </c>
      <c r="BL521" t="s">
        <v>97</v>
      </c>
      <c r="BM521">
        <v>-2.9643582199999998</v>
      </c>
      <c r="BN521">
        <v>-119.4598841</v>
      </c>
      <c r="BO521">
        <v>-3.6551054770000002</v>
      </c>
      <c r="BP521">
        <v>-10.92125278</v>
      </c>
      <c r="BQ521">
        <v>25.81821549</v>
      </c>
      <c r="BR521">
        <v>-37.48610249</v>
      </c>
      <c r="BS521">
        <v>3.12</v>
      </c>
      <c r="BT521">
        <v>1.51</v>
      </c>
      <c r="BU521" t="s">
        <v>97</v>
      </c>
      <c r="BV521" t="s">
        <v>97</v>
      </c>
      <c r="BW521" t="s">
        <v>97</v>
      </c>
      <c r="BX521">
        <v>82.1</v>
      </c>
      <c r="BY521">
        <v>2738</v>
      </c>
      <c r="BZ521">
        <v>6.6</v>
      </c>
      <c r="CA521">
        <v>813024</v>
      </c>
      <c r="CB521">
        <v>669257</v>
      </c>
      <c r="CC521">
        <v>669257</v>
      </c>
      <c r="CD521">
        <v>518692</v>
      </c>
      <c r="CE521">
        <v>500743</v>
      </c>
      <c r="CF521">
        <v>571970</v>
      </c>
      <c r="CG521">
        <v>605141</v>
      </c>
      <c r="CH521">
        <v>571771</v>
      </c>
      <c r="CI521">
        <v>669242</v>
      </c>
      <c r="CJ521">
        <v>606192</v>
      </c>
      <c r="CK521">
        <v>53.92</v>
      </c>
      <c r="CL521" t="s">
        <v>97</v>
      </c>
      <c r="CM521">
        <v>0</v>
      </c>
      <c r="CN521">
        <v>0</v>
      </c>
      <c r="CO521">
        <v>1</v>
      </c>
      <c r="CP521">
        <v>0</v>
      </c>
      <c r="CQ521">
        <v>0</v>
      </c>
      <c r="CR521" t="s">
        <v>97</v>
      </c>
      <c r="CS521">
        <v>4</v>
      </c>
      <c r="CT521">
        <v>3</v>
      </c>
      <c r="CU521">
        <v>4</v>
      </c>
      <c r="CV521">
        <v>3</v>
      </c>
      <c r="CW521">
        <v>3</v>
      </c>
      <c r="CX521">
        <v>4</v>
      </c>
      <c r="CY521">
        <v>4</v>
      </c>
      <c r="CZ521">
        <v>3</v>
      </c>
      <c r="DA521" t="s">
        <v>107</v>
      </c>
      <c r="DB521" t="s">
        <v>107</v>
      </c>
      <c r="DC521">
        <v>324</v>
      </c>
      <c r="DD521">
        <v>-2.1999999999999999E-2</v>
      </c>
      <c r="DE521">
        <v>-0.22</v>
      </c>
      <c r="DF521">
        <v>69.7</v>
      </c>
      <c r="DG521">
        <v>8.1</v>
      </c>
    </row>
    <row r="522" spans="1:111" x14ac:dyDescent="0.2">
      <c r="A522">
        <v>2025</v>
      </c>
      <c r="B522" s="1">
        <v>45962</v>
      </c>
      <c r="C522" t="s">
        <v>95</v>
      </c>
      <c r="D522">
        <v>605483</v>
      </c>
      <c r="E522">
        <v>665489</v>
      </c>
      <c r="F522">
        <v>0</v>
      </c>
      <c r="G522">
        <v>0</v>
      </c>
      <c r="H522">
        <v>9</v>
      </c>
      <c r="I522" t="s">
        <v>163</v>
      </c>
      <c r="J522">
        <v>77</v>
      </c>
      <c r="K522">
        <v>1</v>
      </c>
      <c r="L522" t="s">
        <v>97</v>
      </c>
      <c r="M522" t="s">
        <v>132</v>
      </c>
      <c r="N522" t="s">
        <v>133</v>
      </c>
      <c r="O522">
        <f t="shared" si="128"/>
        <v>0</v>
      </c>
      <c r="P522">
        <f t="shared" si="129"/>
        <v>0</v>
      </c>
      <c r="Q522">
        <f t="shared" si="130"/>
        <v>0</v>
      </c>
      <c r="R522">
        <f t="shared" si="131"/>
        <v>0</v>
      </c>
      <c r="S522">
        <f t="shared" si="132"/>
        <v>0</v>
      </c>
      <c r="T522">
        <f t="shared" si="133"/>
        <v>0</v>
      </c>
      <c r="U522">
        <f t="shared" si="134"/>
        <v>0</v>
      </c>
      <c r="V522">
        <f t="shared" si="135"/>
        <v>0</v>
      </c>
      <c r="W522">
        <f t="shared" si="136"/>
        <v>0</v>
      </c>
      <c r="X522">
        <f t="shared" si="137"/>
        <v>0</v>
      </c>
      <c r="Y522">
        <f t="shared" si="138"/>
        <v>0</v>
      </c>
      <c r="Z522">
        <f t="shared" si="139"/>
        <v>1</v>
      </c>
      <c r="AA522">
        <f t="shared" si="140"/>
        <v>0</v>
      </c>
      <c r="AB522">
        <f t="shared" si="141"/>
        <v>0</v>
      </c>
      <c r="AC522">
        <f t="shared" si="142"/>
        <v>0</v>
      </c>
      <c r="AD522">
        <f t="shared" si="143"/>
        <v>0</v>
      </c>
      <c r="AE522">
        <v>83.9</v>
      </c>
      <c r="AF522">
        <v>2.33</v>
      </c>
      <c r="AG522">
        <v>6.36</v>
      </c>
      <c r="AH522" t="s">
        <v>100</v>
      </c>
      <c r="AI522" t="s">
        <v>97</v>
      </c>
      <c r="AJ522" t="s">
        <v>97</v>
      </c>
      <c r="AK522" t="s">
        <v>97</v>
      </c>
      <c r="AL522" t="s">
        <v>97</v>
      </c>
      <c r="AM522">
        <v>14</v>
      </c>
      <c r="AN522" t="s">
        <v>101</v>
      </c>
      <c r="AO522" t="s">
        <v>213</v>
      </c>
      <c r="AP522" t="s">
        <v>122</v>
      </c>
      <c r="AQ522" t="s">
        <v>103</v>
      </c>
      <c r="AR522" t="s">
        <v>214</v>
      </c>
      <c r="AS522" t="s">
        <v>104</v>
      </c>
      <c r="AT522" t="s">
        <v>106</v>
      </c>
      <c r="AU522" t="s">
        <v>97</v>
      </c>
      <c r="AV522" t="s">
        <v>97</v>
      </c>
      <c r="AW522">
        <v>1.22</v>
      </c>
      <c r="AX522">
        <v>0.7</v>
      </c>
      <c r="AY522">
        <v>1.42</v>
      </c>
      <c r="AZ522">
        <v>2.5099999999999998</v>
      </c>
      <c r="BA522" t="s">
        <v>97</v>
      </c>
      <c r="BB522" t="s">
        <v>97</v>
      </c>
      <c r="BC522" t="s">
        <v>97</v>
      </c>
      <c r="BD522">
        <v>0</v>
      </c>
      <c r="BE522" t="s">
        <v>97</v>
      </c>
      <c r="BF522" t="s">
        <v>97</v>
      </c>
      <c r="BG522" t="s">
        <v>97</v>
      </c>
      <c r="BH522" t="s">
        <v>97</v>
      </c>
      <c r="BI522">
        <v>669257</v>
      </c>
      <c r="BJ522">
        <v>669257</v>
      </c>
      <c r="BK522" t="s">
        <v>97</v>
      </c>
      <c r="BL522" t="s">
        <v>97</v>
      </c>
      <c r="BM522">
        <v>-4.5351618489999996</v>
      </c>
      <c r="BN522">
        <v>-122.0134978</v>
      </c>
      <c r="BO522">
        <v>-3.8285679739999998</v>
      </c>
      <c r="BP522">
        <v>13.0438677</v>
      </c>
      <c r="BQ522">
        <v>26.992524240000002</v>
      </c>
      <c r="BR522">
        <v>-24.676958920000001</v>
      </c>
      <c r="BS522">
        <v>3.67</v>
      </c>
      <c r="BT522">
        <v>1.75</v>
      </c>
      <c r="BU522" t="s">
        <v>97</v>
      </c>
      <c r="BV522" t="s">
        <v>97</v>
      </c>
      <c r="BW522" t="s">
        <v>97</v>
      </c>
      <c r="BX522">
        <v>84.1</v>
      </c>
      <c r="BY522">
        <v>1754</v>
      </c>
      <c r="BZ522">
        <v>6.7</v>
      </c>
      <c r="CA522">
        <v>813024</v>
      </c>
      <c r="CB522">
        <v>669257</v>
      </c>
      <c r="CC522">
        <v>669257</v>
      </c>
      <c r="CD522">
        <v>518692</v>
      </c>
      <c r="CE522">
        <v>500743</v>
      </c>
      <c r="CF522">
        <v>571970</v>
      </c>
      <c r="CG522">
        <v>605141</v>
      </c>
      <c r="CH522">
        <v>571771</v>
      </c>
      <c r="CI522">
        <v>669242</v>
      </c>
      <c r="CJ522">
        <v>606192</v>
      </c>
      <c r="CK522">
        <v>53.76</v>
      </c>
      <c r="CL522" t="s">
        <v>97</v>
      </c>
      <c r="CM522" t="s">
        <v>97</v>
      </c>
      <c r="CN522" t="s">
        <v>97</v>
      </c>
      <c r="CO522" t="s">
        <v>97</v>
      </c>
      <c r="CP522" t="s">
        <v>97</v>
      </c>
      <c r="CQ522" t="s">
        <v>97</v>
      </c>
      <c r="CR522" t="s">
        <v>97</v>
      </c>
      <c r="CS522">
        <v>4</v>
      </c>
      <c r="CT522">
        <v>4</v>
      </c>
      <c r="CU522">
        <v>4</v>
      </c>
      <c r="CV522">
        <v>4</v>
      </c>
      <c r="CW522">
        <v>4</v>
      </c>
      <c r="CX522">
        <v>4</v>
      </c>
      <c r="CY522">
        <v>4</v>
      </c>
      <c r="CZ522">
        <v>4</v>
      </c>
      <c r="DA522" t="s">
        <v>107</v>
      </c>
      <c r="DB522" t="s">
        <v>107</v>
      </c>
      <c r="DC522">
        <v>127</v>
      </c>
      <c r="DD522">
        <v>0</v>
      </c>
      <c r="DE522">
        <v>4.1000000000000002E-2</v>
      </c>
      <c r="DF522" t="s">
        <v>97</v>
      </c>
      <c r="DG522" t="s">
        <v>97</v>
      </c>
    </row>
    <row r="523" spans="1:111" x14ac:dyDescent="0.2">
      <c r="A523">
        <v>2025</v>
      </c>
      <c r="B523" s="1">
        <v>45962</v>
      </c>
      <c r="C523" t="s">
        <v>95</v>
      </c>
      <c r="D523">
        <v>605483</v>
      </c>
      <c r="E523">
        <v>665489</v>
      </c>
      <c r="F523">
        <v>1</v>
      </c>
      <c r="G523">
        <v>0</v>
      </c>
      <c r="H523">
        <v>9</v>
      </c>
      <c r="I523" t="s">
        <v>163</v>
      </c>
      <c r="J523">
        <v>77</v>
      </c>
      <c r="K523">
        <v>2</v>
      </c>
      <c r="L523" t="s">
        <v>97</v>
      </c>
      <c r="M523" t="s">
        <v>138</v>
      </c>
      <c r="N523" t="s">
        <v>139</v>
      </c>
      <c r="O523">
        <f t="shared" si="128"/>
        <v>0</v>
      </c>
      <c r="P523">
        <f t="shared" si="129"/>
        <v>0</v>
      </c>
      <c r="Q523">
        <f t="shared" si="130"/>
        <v>0</v>
      </c>
      <c r="R523">
        <f t="shared" si="131"/>
        <v>0</v>
      </c>
      <c r="S523">
        <f t="shared" si="132"/>
        <v>0</v>
      </c>
      <c r="T523">
        <f t="shared" si="133"/>
        <v>0</v>
      </c>
      <c r="U523">
        <f t="shared" si="134"/>
        <v>0</v>
      </c>
      <c r="V523">
        <f t="shared" si="135"/>
        <v>0</v>
      </c>
      <c r="W523">
        <f t="shared" si="136"/>
        <v>0</v>
      </c>
      <c r="X523">
        <f t="shared" si="137"/>
        <v>0</v>
      </c>
      <c r="Y523">
        <f t="shared" si="138"/>
        <v>0</v>
      </c>
      <c r="Z523">
        <f t="shared" si="139"/>
        <v>0</v>
      </c>
      <c r="AA523">
        <f t="shared" si="140"/>
        <v>1</v>
      </c>
      <c r="AB523">
        <f t="shared" si="141"/>
        <v>0</v>
      </c>
      <c r="AC523">
        <f t="shared" si="142"/>
        <v>0</v>
      </c>
      <c r="AD523">
        <f t="shared" si="143"/>
        <v>0</v>
      </c>
      <c r="AE523">
        <v>90.1</v>
      </c>
      <c r="AF523">
        <v>2</v>
      </c>
      <c r="AG523">
        <v>6.51</v>
      </c>
      <c r="AH523" t="s">
        <v>100</v>
      </c>
      <c r="AI523" t="s">
        <v>97</v>
      </c>
      <c r="AJ523" t="s">
        <v>97</v>
      </c>
      <c r="AK523" t="s">
        <v>97</v>
      </c>
      <c r="AL523" t="s">
        <v>97</v>
      </c>
      <c r="AM523">
        <v>14</v>
      </c>
      <c r="AN523" t="s">
        <v>101</v>
      </c>
      <c r="AO523" t="s">
        <v>213</v>
      </c>
      <c r="AP523" t="s">
        <v>122</v>
      </c>
      <c r="AQ523" t="s">
        <v>103</v>
      </c>
      <c r="AR523" t="s">
        <v>214</v>
      </c>
      <c r="AS523" t="s">
        <v>104</v>
      </c>
      <c r="AT523" t="s">
        <v>106</v>
      </c>
      <c r="AU523" t="s">
        <v>97</v>
      </c>
      <c r="AV523" t="s">
        <v>97</v>
      </c>
      <c r="AW523">
        <v>0.01</v>
      </c>
      <c r="AX523">
        <v>0.56999999999999995</v>
      </c>
      <c r="AY523">
        <v>0.65</v>
      </c>
      <c r="AZ523">
        <v>1.21</v>
      </c>
      <c r="BA523" t="s">
        <v>97</v>
      </c>
      <c r="BB523" t="s">
        <v>97</v>
      </c>
      <c r="BC523" t="s">
        <v>97</v>
      </c>
      <c r="BD523">
        <v>0</v>
      </c>
      <c r="BE523" t="s">
        <v>97</v>
      </c>
      <c r="BF523" t="s">
        <v>97</v>
      </c>
      <c r="BG523" t="s">
        <v>97</v>
      </c>
      <c r="BH523" t="s">
        <v>97</v>
      </c>
      <c r="BI523">
        <v>669257</v>
      </c>
      <c r="BJ523">
        <v>669257</v>
      </c>
      <c r="BK523" t="s">
        <v>97</v>
      </c>
      <c r="BL523" t="s">
        <v>97</v>
      </c>
      <c r="BM523">
        <v>-3.3886712430000001</v>
      </c>
      <c r="BN523">
        <v>-130.96510409999999</v>
      </c>
      <c r="BO523">
        <v>-8.423480648</v>
      </c>
      <c r="BP523">
        <v>0.92921496000000003</v>
      </c>
      <c r="BQ523">
        <v>29.654089670000001</v>
      </c>
      <c r="BR523">
        <v>-23.98120918</v>
      </c>
      <c r="BS523">
        <v>3.67</v>
      </c>
      <c r="BT523">
        <v>1.66</v>
      </c>
      <c r="BU523" t="s">
        <v>97</v>
      </c>
      <c r="BV523" t="s">
        <v>97</v>
      </c>
      <c r="BW523" t="s">
        <v>97</v>
      </c>
      <c r="BX523">
        <v>90.5</v>
      </c>
      <c r="BY523">
        <v>2416</v>
      </c>
      <c r="BZ523">
        <v>6.7</v>
      </c>
      <c r="CA523">
        <v>813024</v>
      </c>
      <c r="CB523">
        <v>669257</v>
      </c>
      <c r="CC523">
        <v>669257</v>
      </c>
      <c r="CD523">
        <v>518692</v>
      </c>
      <c r="CE523">
        <v>500743</v>
      </c>
      <c r="CF523">
        <v>571970</v>
      </c>
      <c r="CG523">
        <v>605141</v>
      </c>
      <c r="CH523">
        <v>571771</v>
      </c>
      <c r="CI523">
        <v>669242</v>
      </c>
      <c r="CJ523">
        <v>606192</v>
      </c>
      <c r="CK523">
        <v>53.76</v>
      </c>
      <c r="CL523" t="s">
        <v>97</v>
      </c>
      <c r="CM523" t="s">
        <v>97</v>
      </c>
      <c r="CN523" t="s">
        <v>97</v>
      </c>
      <c r="CO523" t="s">
        <v>97</v>
      </c>
      <c r="CP523" t="s">
        <v>97</v>
      </c>
      <c r="CQ523" t="s">
        <v>97</v>
      </c>
      <c r="CR523" t="s">
        <v>97</v>
      </c>
      <c r="CS523">
        <v>4</v>
      </c>
      <c r="CT523">
        <v>4</v>
      </c>
      <c r="CU523">
        <v>4</v>
      </c>
      <c r="CV523">
        <v>4</v>
      </c>
      <c r="CW523">
        <v>4</v>
      </c>
      <c r="CX523">
        <v>4</v>
      </c>
      <c r="CY523">
        <v>4</v>
      </c>
      <c r="CZ523">
        <v>4</v>
      </c>
      <c r="DA523" t="s">
        <v>107</v>
      </c>
      <c r="DB523" t="s">
        <v>107</v>
      </c>
      <c r="DC523">
        <v>162</v>
      </c>
      <c r="DD523">
        <v>0</v>
      </c>
      <c r="DE523">
        <v>7.6999999999999999E-2</v>
      </c>
      <c r="DF523" t="s">
        <v>97</v>
      </c>
      <c r="DG523" t="s">
        <v>97</v>
      </c>
    </row>
    <row r="524" spans="1:111" x14ac:dyDescent="0.2">
      <c r="A524">
        <v>2025</v>
      </c>
      <c r="B524" s="1">
        <v>45962</v>
      </c>
      <c r="C524" t="s">
        <v>95</v>
      </c>
      <c r="D524">
        <v>605483</v>
      </c>
      <c r="E524">
        <v>665489</v>
      </c>
      <c r="F524">
        <v>2</v>
      </c>
      <c r="G524">
        <v>0</v>
      </c>
      <c r="H524">
        <v>9</v>
      </c>
      <c r="I524" t="s">
        <v>163</v>
      </c>
      <c r="J524">
        <v>77</v>
      </c>
      <c r="K524">
        <v>3</v>
      </c>
      <c r="L524" t="s">
        <v>97</v>
      </c>
      <c r="M524" t="s">
        <v>138</v>
      </c>
      <c r="N524" t="s">
        <v>139</v>
      </c>
      <c r="O524">
        <f t="shared" si="128"/>
        <v>0</v>
      </c>
      <c r="P524">
        <f t="shared" si="129"/>
        <v>0</v>
      </c>
      <c r="Q524">
        <f t="shared" si="130"/>
        <v>0</v>
      </c>
      <c r="R524">
        <f t="shared" si="131"/>
        <v>0</v>
      </c>
      <c r="S524">
        <f t="shared" si="132"/>
        <v>0</v>
      </c>
      <c r="T524">
        <f t="shared" si="133"/>
        <v>0</v>
      </c>
      <c r="U524">
        <f t="shared" si="134"/>
        <v>0</v>
      </c>
      <c r="V524">
        <f t="shared" si="135"/>
        <v>0</v>
      </c>
      <c r="W524">
        <f t="shared" si="136"/>
        <v>0</v>
      </c>
      <c r="X524">
        <f t="shared" si="137"/>
        <v>0</v>
      </c>
      <c r="Y524">
        <f t="shared" si="138"/>
        <v>0</v>
      </c>
      <c r="Z524">
        <f t="shared" si="139"/>
        <v>0</v>
      </c>
      <c r="AA524">
        <f t="shared" si="140"/>
        <v>0</v>
      </c>
      <c r="AB524">
        <f t="shared" si="141"/>
        <v>0</v>
      </c>
      <c r="AC524">
        <f t="shared" si="142"/>
        <v>0</v>
      </c>
      <c r="AD524">
        <f t="shared" si="143"/>
        <v>1</v>
      </c>
      <c r="AE524">
        <v>88.8</v>
      </c>
      <c r="AF524">
        <v>2.0099999999999998</v>
      </c>
      <c r="AG524">
        <v>6.47</v>
      </c>
      <c r="AH524" t="s">
        <v>100</v>
      </c>
      <c r="AI524" t="s">
        <v>97</v>
      </c>
      <c r="AJ524" t="s">
        <v>97</v>
      </c>
      <c r="AK524" t="s">
        <v>97</v>
      </c>
      <c r="AL524" t="s">
        <v>97</v>
      </c>
      <c r="AM524">
        <v>13</v>
      </c>
      <c r="AN524" t="s">
        <v>101</v>
      </c>
      <c r="AO524" t="s">
        <v>213</v>
      </c>
      <c r="AP524" t="s">
        <v>122</v>
      </c>
      <c r="AQ524" t="s">
        <v>103</v>
      </c>
      <c r="AR524" t="s">
        <v>214</v>
      </c>
      <c r="AS524" t="s">
        <v>104</v>
      </c>
      <c r="AT524" t="s">
        <v>106</v>
      </c>
      <c r="AU524" t="s">
        <v>97</v>
      </c>
      <c r="AV524" t="s">
        <v>97</v>
      </c>
      <c r="AW524">
        <v>-0.14000000000000001</v>
      </c>
      <c r="AX524">
        <v>0.46</v>
      </c>
      <c r="AY524">
        <v>-0.89</v>
      </c>
      <c r="AZ524">
        <v>1.08</v>
      </c>
      <c r="BA524" t="s">
        <v>97</v>
      </c>
      <c r="BB524" t="s">
        <v>97</v>
      </c>
      <c r="BC524" t="s">
        <v>97</v>
      </c>
      <c r="BD524">
        <v>0</v>
      </c>
      <c r="BE524" t="s">
        <v>97</v>
      </c>
      <c r="BF524" t="s">
        <v>97</v>
      </c>
      <c r="BG524" t="s">
        <v>97</v>
      </c>
      <c r="BH524" t="s">
        <v>97</v>
      </c>
      <c r="BI524">
        <v>669257</v>
      </c>
      <c r="BJ524">
        <v>669257</v>
      </c>
      <c r="BK524" t="s">
        <v>97</v>
      </c>
      <c r="BL524" t="s">
        <v>97</v>
      </c>
      <c r="BM524">
        <v>-6.866321611</v>
      </c>
      <c r="BN524">
        <v>-128.95646690000001</v>
      </c>
      <c r="BO524">
        <v>-8.1492844459999993</v>
      </c>
      <c r="BP524">
        <v>-3.7645887000000003E-2</v>
      </c>
      <c r="BQ524">
        <v>27.556693460000002</v>
      </c>
      <c r="BR524">
        <v>-25.45845096</v>
      </c>
      <c r="BS524">
        <v>3.67</v>
      </c>
      <c r="BT524">
        <v>1.64</v>
      </c>
      <c r="BU524" t="s">
        <v>97</v>
      </c>
      <c r="BV524" t="s">
        <v>97</v>
      </c>
      <c r="BW524" t="s">
        <v>97</v>
      </c>
      <c r="BX524">
        <v>89.4</v>
      </c>
      <c r="BY524">
        <v>2468</v>
      </c>
      <c r="BZ524">
        <v>6.8</v>
      </c>
      <c r="CA524">
        <v>813024</v>
      </c>
      <c r="CB524">
        <v>669257</v>
      </c>
      <c r="CC524">
        <v>669257</v>
      </c>
      <c r="CD524">
        <v>518692</v>
      </c>
      <c r="CE524">
        <v>500743</v>
      </c>
      <c r="CF524">
        <v>571970</v>
      </c>
      <c r="CG524">
        <v>605141</v>
      </c>
      <c r="CH524">
        <v>571771</v>
      </c>
      <c r="CI524">
        <v>669242</v>
      </c>
      <c r="CJ524">
        <v>606192</v>
      </c>
      <c r="CK524">
        <v>53.68</v>
      </c>
      <c r="CL524" t="s">
        <v>97</v>
      </c>
      <c r="CM524" t="s">
        <v>97</v>
      </c>
      <c r="CN524" t="s">
        <v>97</v>
      </c>
      <c r="CO524" t="s">
        <v>97</v>
      </c>
      <c r="CP524" t="s">
        <v>97</v>
      </c>
      <c r="CQ524" t="s">
        <v>97</v>
      </c>
      <c r="CR524" t="s">
        <v>97</v>
      </c>
      <c r="CS524">
        <v>4</v>
      </c>
      <c r="CT524">
        <v>4</v>
      </c>
      <c r="CU524">
        <v>4</v>
      </c>
      <c r="CV524">
        <v>4</v>
      </c>
      <c r="CW524">
        <v>4</v>
      </c>
      <c r="CX524">
        <v>4</v>
      </c>
      <c r="CY524">
        <v>4</v>
      </c>
      <c r="CZ524">
        <v>4</v>
      </c>
      <c r="DA524" t="s">
        <v>107</v>
      </c>
      <c r="DB524" t="s">
        <v>107</v>
      </c>
      <c r="DC524">
        <v>181</v>
      </c>
      <c r="DD524">
        <v>0</v>
      </c>
      <c r="DE524">
        <v>0.152</v>
      </c>
      <c r="DF524" t="s">
        <v>97</v>
      </c>
      <c r="DG524" t="s">
        <v>97</v>
      </c>
    </row>
    <row r="525" spans="1:111" x14ac:dyDescent="0.2">
      <c r="A525">
        <v>2025</v>
      </c>
      <c r="B525" s="1">
        <v>45962</v>
      </c>
      <c r="C525" t="s">
        <v>95</v>
      </c>
      <c r="D525">
        <v>605483</v>
      </c>
      <c r="E525">
        <v>665489</v>
      </c>
      <c r="F525">
        <v>3</v>
      </c>
      <c r="G525">
        <v>0</v>
      </c>
      <c r="H525">
        <v>9</v>
      </c>
      <c r="I525" t="s">
        <v>163</v>
      </c>
      <c r="J525">
        <v>77</v>
      </c>
      <c r="K525">
        <v>4</v>
      </c>
      <c r="L525" t="s">
        <v>119</v>
      </c>
      <c r="M525" t="s">
        <v>132</v>
      </c>
      <c r="N525" t="s">
        <v>133</v>
      </c>
      <c r="O525">
        <f t="shared" si="128"/>
        <v>0</v>
      </c>
      <c r="P525">
        <f t="shared" si="129"/>
        <v>0</v>
      </c>
      <c r="Q525">
        <f t="shared" si="130"/>
        <v>0</v>
      </c>
      <c r="R525">
        <f t="shared" si="131"/>
        <v>0</v>
      </c>
      <c r="S525">
        <f t="shared" si="132"/>
        <v>0</v>
      </c>
      <c r="T525">
        <f t="shared" si="133"/>
        <v>0</v>
      </c>
      <c r="U525">
        <f t="shared" si="134"/>
        <v>0</v>
      </c>
      <c r="V525">
        <f t="shared" si="135"/>
        <v>0</v>
      </c>
      <c r="W525">
        <f t="shared" si="136"/>
        <v>0</v>
      </c>
      <c r="X525">
        <f t="shared" si="137"/>
        <v>0</v>
      </c>
      <c r="Y525">
        <f t="shared" si="138"/>
        <v>0</v>
      </c>
      <c r="Z525">
        <f t="shared" si="139"/>
        <v>1</v>
      </c>
      <c r="AA525">
        <f t="shared" si="140"/>
        <v>0</v>
      </c>
      <c r="AB525">
        <f t="shared" si="141"/>
        <v>0</v>
      </c>
      <c r="AC525">
        <f t="shared" si="142"/>
        <v>0</v>
      </c>
      <c r="AD525">
        <f t="shared" si="143"/>
        <v>0</v>
      </c>
      <c r="AE525">
        <v>85.5</v>
      </c>
      <c r="AF525">
        <v>2.17</v>
      </c>
      <c r="AG525">
        <v>6.44</v>
      </c>
      <c r="AH525" t="s">
        <v>120</v>
      </c>
      <c r="AI525" t="s">
        <v>97</v>
      </c>
      <c r="AJ525" t="s">
        <v>97</v>
      </c>
      <c r="AK525" t="s">
        <v>97</v>
      </c>
      <c r="AL525" t="s">
        <v>97</v>
      </c>
      <c r="AM525">
        <v>12</v>
      </c>
      <c r="AN525" t="s">
        <v>276</v>
      </c>
      <c r="AO525" t="s">
        <v>213</v>
      </c>
      <c r="AP525" t="s">
        <v>122</v>
      </c>
      <c r="AQ525" t="s">
        <v>103</v>
      </c>
      <c r="AR525" t="s">
        <v>214</v>
      </c>
      <c r="AS525" t="s">
        <v>104</v>
      </c>
      <c r="AT525" t="s">
        <v>123</v>
      </c>
      <c r="AU525">
        <v>8</v>
      </c>
      <c r="AV525" t="s">
        <v>124</v>
      </c>
      <c r="AW525">
        <v>1.17</v>
      </c>
      <c r="AX525">
        <v>0.87</v>
      </c>
      <c r="AY525">
        <v>0.87</v>
      </c>
      <c r="AZ525">
        <v>3.1</v>
      </c>
      <c r="BA525" t="s">
        <v>97</v>
      </c>
      <c r="BB525" t="s">
        <v>97</v>
      </c>
      <c r="BC525" t="s">
        <v>97</v>
      </c>
      <c r="BD525">
        <v>0</v>
      </c>
      <c r="BE525">
        <v>131.84</v>
      </c>
      <c r="BF525">
        <v>47.27</v>
      </c>
      <c r="BG525" t="s">
        <v>97</v>
      </c>
      <c r="BH525" t="s">
        <v>97</v>
      </c>
      <c r="BI525">
        <v>669257</v>
      </c>
      <c r="BJ525">
        <v>669257</v>
      </c>
      <c r="BK525" t="s">
        <v>97</v>
      </c>
      <c r="BL525" t="s">
        <v>97</v>
      </c>
      <c r="BM525">
        <v>-5.473737775</v>
      </c>
      <c r="BN525">
        <v>-124.2873278</v>
      </c>
      <c r="BO525">
        <v>-3.3001689270000001</v>
      </c>
      <c r="BP525">
        <v>13.261862580000001</v>
      </c>
      <c r="BQ525">
        <v>27.05607612</v>
      </c>
      <c r="BR525">
        <v>-22.76069425</v>
      </c>
      <c r="BS525">
        <v>3.67</v>
      </c>
      <c r="BT525">
        <v>1.61</v>
      </c>
      <c r="BU525">
        <v>375</v>
      </c>
      <c r="BV525">
        <v>100.5</v>
      </c>
      <c r="BW525">
        <v>32</v>
      </c>
      <c r="BX525">
        <v>85.8</v>
      </c>
      <c r="BY525">
        <v>1813</v>
      </c>
      <c r="BZ525">
        <v>6.7</v>
      </c>
      <c r="CA525">
        <v>813024</v>
      </c>
      <c r="CB525">
        <v>669257</v>
      </c>
      <c r="CC525">
        <v>669257</v>
      </c>
      <c r="CD525">
        <v>518692</v>
      </c>
      <c r="CE525">
        <v>500743</v>
      </c>
      <c r="CF525">
        <v>571970</v>
      </c>
      <c r="CG525">
        <v>605141</v>
      </c>
      <c r="CH525">
        <v>571771</v>
      </c>
      <c r="CI525">
        <v>669242</v>
      </c>
      <c r="CJ525">
        <v>606192</v>
      </c>
      <c r="CK525">
        <v>53.79</v>
      </c>
      <c r="CL525">
        <v>0.46899999999999997</v>
      </c>
      <c r="CM525">
        <v>0.88700000000000001</v>
      </c>
      <c r="CN525">
        <v>0</v>
      </c>
      <c r="CO525">
        <v>1</v>
      </c>
      <c r="CP525">
        <v>0</v>
      </c>
      <c r="CQ525">
        <v>0</v>
      </c>
      <c r="CR525">
        <v>6</v>
      </c>
      <c r="CS525">
        <v>4</v>
      </c>
      <c r="CT525">
        <v>4</v>
      </c>
      <c r="CU525">
        <v>4</v>
      </c>
      <c r="CV525">
        <v>4</v>
      </c>
      <c r="CW525">
        <v>4</v>
      </c>
      <c r="CX525">
        <v>4</v>
      </c>
      <c r="CY525">
        <v>4</v>
      </c>
      <c r="CZ525">
        <v>4</v>
      </c>
      <c r="DA525" t="s">
        <v>107</v>
      </c>
      <c r="DB525" t="s">
        <v>107</v>
      </c>
      <c r="DC525">
        <v>133</v>
      </c>
      <c r="DD525">
        <v>-5.7000000000000002E-2</v>
      </c>
      <c r="DE525">
        <v>-0.53</v>
      </c>
      <c r="DF525">
        <v>78.8</v>
      </c>
      <c r="DG525">
        <v>7.4</v>
      </c>
    </row>
    <row r="526" spans="1:111" x14ac:dyDescent="0.2">
      <c r="A526">
        <v>2025</v>
      </c>
      <c r="B526" s="1">
        <v>45962</v>
      </c>
      <c r="C526" t="s">
        <v>95</v>
      </c>
      <c r="D526">
        <v>605483</v>
      </c>
      <c r="E526">
        <v>666182</v>
      </c>
      <c r="F526">
        <v>0</v>
      </c>
      <c r="G526">
        <v>0</v>
      </c>
      <c r="H526">
        <v>9</v>
      </c>
      <c r="I526" t="s">
        <v>163</v>
      </c>
      <c r="J526">
        <v>78</v>
      </c>
      <c r="K526">
        <v>1</v>
      </c>
      <c r="L526" t="s">
        <v>97</v>
      </c>
      <c r="M526" t="s">
        <v>138</v>
      </c>
      <c r="N526" t="s">
        <v>139</v>
      </c>
      <c r="O526">
        <f t="shared" si="128"/>
        <v>0</v>
      </c>
      <c r="P526">
        <f t="shared" si="129"/>
        <v>0</v>
      </c>
      <c r="Q526">
        <f t="shared" si="130"/>
        <v>0</v>
      </c>
      <c r="R526">
        <f t="shared" si="131"/>
        <v>0</v>
      </c>
      <c r="S526">
        <f t="shared" si="132"/>
        <v>0</v>
      </c>
      <c r="T526">
        <f t="shared" si="133"/>
        <v>0</v>
      </c>
      <c r="U526">
        <f t="shared" si="134"/>
        <v>0</v>
      </c>
      <c r="V526">
        <f t="shared" si="135"/>
        <v>0</v>
      </c>
      <c r="W526">
        <f t="shared" si="136"/>
        <v>0</v>
      </c>
      <c r="X526">
        <f t="shared" si="137"/>
        <v>0</v>
      </c>
      <c r="Y526">
        <f t="shared" si="138"/>
        <v>0</v>
      </c>
      <c r="Z526">
        <f t="shared" si="139"/>
        <v>0</v>
      </c>
      <c r="AA526">
        <f t="shared" si="140"/>
        <v>0</v>
      </c>
      <c r="AB526">
        <f t="shared" si="141"/>
        <v>0</v>
      </c>
      <c r="AC526">
        <f t="shared" si="142"/>
        <v>0</v>
      </c>
      <c r="AD526">
        <f t="shared" si="143"/>
        <v>1</v>
      </c>
      <c r="AE526">
        <v>90.6</v>
      </c>
      <c r="AF526">
        <v>2.0099999999999998</v>
      </c>
      <c r="AG526">
        <v>6.51</v>
      </c>
      <c r="AH526" t="s">
        <v>108</v>
      </c>
      <c r="AI526" t="s">
        <v>97</v>
      </c>
      <c r="AJ526" t="s">
        <v>97</v>
      </c>
      <c r="AK526" t="s">
        <v>97</v>
      </c>
      <c r="AL526" t="s">
        <v>97</v>
      </c>
      <c r="AM526">
        <v>5</v>
      </c>
      <c r="AN526" t="s">
        <v>109</v>
      </c>
      <c r="AO526" t="s">
        <v>213</v>
      </c>
      <c r="AP526" t="s">
        <v>122</v>
      </c>
      <c r="AQ526" t="s">
        <v>103</v>
      </c>
      <c r="AR526" t="s">
        <v>214</v>
      </c>
      <c r="AS526" t="s">
        <v>104</v>
      </c>
      <c r="AT526" t="s">
        <v>110</v>
      </c>
      <c r="AU526" t="s">
        <v>97</v>
      </c>
      <c r="AV526" t="s">
        <v>97</v>
      </c>
      <c r="AW526">
        <v>-0.11</v>
      </c>
      <c r="AX526">
        <v>0.69</v>
      </c>
      <c r="AY526">
        <v>-0.17</v>
      </c>
      <c r="AZ526">
        <v>2.67</v>
      </c>
      <c r="BA526" t="s">
        <v>97</v>
      </c>
      <c r="BB526" t="s">
        <v>97</v>
      </c>
      <c r="BC526" t="s">
        <v>97</v>
      </c>
      <c r="BD526">
        <v>1</v>
      </c>
      <c r="BE526" t="s">
        <v>97</v>
      </c>
      <c r="BF526" t="s">
        <v>97</v>
      </c>
      <c r="BG526" t="s">
        <v>97</v>
      </c>
      <c r="BH526" t="s">
        <v>97</v>
      </c>
      <c r="BI526">
        <v>669257</v>
      </c>
      <c r="BJ526">
        <v>669257</v>
      </c>
      <c r="BK526" t="s">
        <v>97</v>
      </c>
      <c r="BL526" t="s">
        <v>97</v>
      </c>
      <c r="BM526">
        <v>-5.2323582499999999</v>
      </c>
      <c r="BN526">
        <v>-131.70200610000001</v>
      </c>
      <c r="BO526">
        <v>-5.1072445679999996</v>
      </c>
      <c r="BP526">
        <v>-9.0420352999999995E-2</v>
      </c>
      <c r="BQ526">
        <v>30.25543541</v>
      </c>
      <c r="BR526">
        <v>-23.2023118</v>
      </c>
      <c r="BS526">
        <v>3.92</v>
      </c>
      <c r="BT526">
        <v>1.72</v>
      </c>
      <c r="BU526" t="s">
        <v>97</v>
      </c>
      <c r="BV526" t="s">
        <v>97</v>
      </c>
      <c r="BW526" t="s">
        <v>97</v>
      </c>
      <c r="BX526">
        <v>90.9</v>
      </c>
      <c r="BY526">
        <v>2444</v>
      </c>
      <c r="BZ526">
        <v>6.7</v>
      </c>
      <c r="CA526">
        <v>813024</v>
      </c>
      <c r="CB526">
        <v>669257</v>
      </c>
      <c r="CC526">
        <v>669257</v>
      </c>
      <c r="CD526">
        <v>518692</v>
      </c>
      <c r="CE526">
        <v>500743</v>
      </c>
      <c r="CF526">
        <v>571970</v>
      </c>
      <c r="CG526">
        <v>605141</v>
      </c>
      <c r="CH526">
        <v>571771</v>
      </c>
      <c r="CI526">
        <v>669242</v>
      </c>
      <c r="CJ526">
        <v>606192</v>
      </c>
      <c r="CK526">
        <v>53.79</v>
      </c>
      <c r="CL526" t="s">
        <v>97</v>
      </c>
      <c r="CM526" t="s">
        <v>97</v>
      </c>
      <c r="CN526" t="s">
        <v>97</v>
      </c>
      <c r="CO526" t="s">
        <v>97</v>
      </c>
      <c r="CP526" t="s">
        <v>97</v>
      </c>
      <c r="CQ526" t="s">
        <v>97</v>
      </c>
      <c r="CR526" t="s">
        <v>97</v>
      </c>
      <c r="CS526">
        <v>4</v>
      </c>
      <c r="CT526">
        <v>4</v>
      </c>
      <c r="CU526">
        <v>4</v>
      </c>
      <c r="CV526">
        <v>4</v>
      </c>
      <c r="CW526">
        <v>4</v>
      </c>
      <c r="CX526">
        <v>4</v>
      </c>
      <c r="CY526">
        <v>4</v>
      </c>
      <c r="CZ526">
        <v>4</v>
      </c>
      <c r="DA526" t="s">
        <v>107</v>
      </c>
      <c r="DB526" t="s">
        <v>107</v>
      </c>
      <c r="DC526">
        <v>168</v>
      </c>
      <c r="DD526">
        <v>0</v>
      </c>
      <c r="DE526">
        <v>-3.9E-2</v>
      </c>
      <c r="DF526" t="s">
        <v>97</v>
      </c>
      <c r="DG526" t="s">
        <v>97</v>
      </c>
    </row>
    <row r="527" spans="1:111" x14ac:dyDescent="0.2">
      <c r="A527">
        <v>2025</v>
      </c>
      <c r="B527" s="1">
        <v>45962</v>
      </c>
      <c r="C527" t="s">
        <v>95</v>
      </c>
      <c r="D527">
        <v>605483</v>
      </c>
      <c r="E527">
        <v>666182</v>
      </c>
      <c r="F527">
        <v>0</v>
      </c>
      <c r="G527">
        <v>1</v>
      </c>
      <c r="H527">
        <v>9</v>
      </c>
      <c r="I527" t="s">
        <v>163</v>
      </c>
      <c r="J527">
        <v>78</v>
      </c>
      <c r="K527">
        <v>2</v>
      </c>
      <c r="L527" t="s">
        <v>97</v>
      </c>
      <c r="M527" t="s">
        <v>132</v>
      </c>
      <c r="N527" t="s">
        <v>133</v>
      </c>
      <c r="O527">
        <f t="shared" si="128"/>
        <v>0</v>
      </c>
      <c r="P527">
        <f t="shared" si="129"/>
        <v>0</v>
      </c>
      <c r="Q527">
        <f t="shared" si="130"/>
        <v>0</v>
      </c>
      <c r="R527">
        <f t="shared" si="131"/>
        <v>0</v>
      </c>
      <c r="S527">
        <f t="shared" si="132"/>
        <v>0</v>
      </c>
      <c r="T527">
        <f t="shared" si="133"/>
        <v>0</v>
      </c>
      <c r="U527">
        <f t="shared" si="134"/>
        <v>0</v>
      </c>
      <c r="V527">
        <f t="shared" si="135"/>
        <v>0</v>
      </c>
      <c r="W527">
        <f t="shared" si="136"/>
        <v>1</v>
      </c>
      <c r="X527">
        <f t="shared" si="137"/>
        <v>0</v>
      </c>
      <c r="Y527">
        <f t="shared" si="138"/>
        <v>0</v>
      </c>
      <c r="Z527">
        <f t="shared" si="139"/>
        <v>0</v>
      </c>
      <c r="AA527">
        <f t="shared" si="140"/>
        <v>0</v>
      </c>
      <c r="AB527">
        <f t="shared" si="141"/>
        <v>0</v>
      </c>
      <c r="AC527">
        <f t="shared" si="142"/>
        <v>0</v>
      </c>
      <c r="AD527">
        <f t="shared" si="143"/>
        <v>0</v>
      </c>
      <c r="AE527">
        <v>81.400000000000006</v>
      </c>
      <c r="AF527">
        <v>2.38</v>
      </c>
      <c r="AG527">
        <v>6.26</v>
      </c>
      <c r="AH527" t="s">
        <v>100</v>
      </c>
      <c r="AI527" t="s">
        <v>97</v>
      </c>
      <c r="AJ527" t="s">
        <v>97</v>
      </c>
      <c r="AK527" t="s">
        <v>97</v>
      </c>
      <c r="AL527" t="s">
        <v>97</v>
      </c>
      <c r="AM527">
        <v>14</v>
      </c>
      <c r="AN527" t="s">
        <v>101</v>
      </c>
      <c r="AO527" t="s">
        <v>213</v>
      </c>
      <c r="AP527" t="s">
        <v>122</v>
      </c>
      <c r="AQ527" t="s">
        <v>103</v>
      </c>
      <c r="AR527" t="s">
        <v>214</v>
      </c>
      <c r="AS527" t="s">
        <v>104</v>
      </c>
      <c r="AT527" t="s">
        <v>106</v>
      </c>
      <c r="AU527" t="s">
        <v>97</v>
      </c>
      <c r="AV527" t="s">
        <v>97</v>
      </c>
      <c r="AW527">
        <v>1.24</v>
      </c>
      <c r="AX527">
        <v>0.6</v>
      </c>
      <c r="AY527">
        <v>1.81</v>
      </c>
      <c r="AZ527">
        <v>2.39</v>
      </c>
      <c r="BA527" t="s">
        <v>97</v>
      </c>
      <c r="BB527" t="s">
        <v>97</v>
      </c>
      <c r="BC527" t="s">
        <v>97</v>
      </c>
      <c r="BD527">
        <v>1</v>
      </c>
      <c r="BE527" t="s">
        <v>97</v>
      </c>
      <c r="BF527" t="s">
        <v>97</v>
      </c>
      <c r="BG527" t="s">
        <v>97</v>
      </c>
      <c r="BH527" t="s">
        <v>97</v>
      </c>
      <c r="BI527">
        <v>669257</v>
      </c>
      <c r="BJ527">
        <v>669257</v>
      </c>
      <c r="BK527" t="s">
        <v>97</v>
      </c>
      <c r="BL527" t="s">
        <v>97</v>
      </c>
      <c r="BM527">
        <v>-3.6941416970000001</v>
      </c>
      <c r="BN527">
        <v>-118.46603500000001</v>
      </c>
      <c r="BO527">
        <v>-3.2134431650000002</v>
      </c>
      <c r="BP527">
        <v>12.38371083</v>
      </c>
      <c r="BQ527">
        <v>24.385380980000001</v>
      </c>
      <c r="BR527">
        <v>-26.159055200000001</v>
      </c>
      <c r="BS527">
        <v>3.82</v>
      </c>
      <c r="BT527">
        <v>1.73</v>
      </c>
      <c r="BU527" t="s">
        <v>97</v>
      </c>
      <c r="BV527" t="s">
        <v>97</v>
      </c>
      <c r="BW527" t="s">
        <v>97</v>
      </c>
      <c r="BX527">
        <v>81.900000000000006</v>
      </c>
      <c r="BY527">
        <v>1710</v>
      </c>
      <c r="BZ527">
        <v>6.8</v>
      </c>
      <c r="CA527">
        <v>813024</v>
      </c>
      <c r="CB527">
        <v>669257</v>
      </c>
      <c r="CC527">
        <v>669257</v>
      </c>
      <c r="CD527">
        <v>518692</v>
      </c>
      <c r="CE527">
        <v>500743</v>
      </c>
      <c r="CF527">
        <v>571970</v>
      </c>
      <c r="CG527">
        <v>605141</v>
      </c>
      <c r="CH527">
        <v>571771</v>
      </c>
      <c r="CI527">
        <v>669242</v>
      </c>
      <c r="CJ527">
        <v>606192</v>
      </c>
      <c r="CK527">
        <v>53.68</v>
      </c>
      <c r="CL527" t="s">
        <v>97</v>
      </c>
      <c r="CM527" t="s">
        <v>97</v>
      </c>
      <c r="CN527" t="s">
        <v>97</v>
      </c>
      <c r="CO527" t="s">
        <v>97</v>
      </c>
      <c r="CP527" t="s">
        <v>97</v>
      </c>
      <c r="CQ527" t="s">
        <v>97</v>
      </c>
      <c r="CR527" t="s">
        <v>97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4</v>
      </c>
      <c r="DA527" t="s">
        <v>107</v>
      </c>
      <c r="DB527" t="s">
        <v>107</v>
      </c>
      <c r="DC527">
        <v>128</v>
      </c>
      <c r="DD527">
        <v>0</v>
      </c>
      <c r="DE527">
        <v>2.8000000000000001E-2</v>
      </c>
      <c r="DF527" t="s">
        <v>97</v>
      </c>
      <c r="DG527" t="s">
        <v>97</v>
      </c>
    </row>
    <row r="528" spans="1:111" x14ac:dyDescent="0.2">
      <c r="A528">
        <v>2025</v>
      </c>
      <c r="B528" s="1">
        <v>45962</v>
      </c>
      <c r="C528" t="s">
        <v>95</v>
      </c>
      <c r="D528">
        <v>605483</v>
      </c>
      <c r="E528">
        <v>666182</v>
      </c>
      <c r="F528">
        <v>1</v>
      </c>
      <c r="G528">
        <v>1</v>
      </c>
      <c r="H528">
        <v>9</v>
      </c>
      <c r="I528" t="s">
        <v>163</v>
      </c>
      <c r="J528">
        <v>78</v>
      </c>
      <c r="K528">
        <v>3</v>
      </c>
      <c r="L528" t="s">
        <v>97</v>
      </c>
      <c r="M528" t="s">
        <v>132</v>
      </c>
      <c r="N528" t="s">
        <v>133</v>
      </c>
      <c r="O528">
        <f t="shared" si="128"/>
        <v>0</v>
      </c>
      <c r="P528">
        <f t="shared" si="129"/>
        <v>0</v>
      </c>
      <c r="Q528">
        <f t="shared" si="130"/>
        <v>0</v>
      </c>
      <c r="R528">
        <f t="shared" si="131"/>
        <v>0</v>
      </c>
      <c r="S528">
        <f t="shared" si="132"/>
        <v>0</v>
      </c>
      <c r="T528">
        <f t="shared" si="133"/>
        <v>0</v>
      </c>
      <c r="U528">
        <f t="shared" si="134"/>
        <v>0</v>
      </c>
      <c r="V528">
        <f t="shared" si="135"/>
        <v>0</v>
      </c>
      <c r="W528">
        <f t="shared" si="136"/>
        <v>1</v>
      </c>
      <c r="X528">
        <f t="shared" si="137"/>
        <v>0</v>
      </c>
      <c r="Y528">
        <f t="shared" si="138"/>
        <v>0</v>
      </c>
      <c r="Z528">
        <f t="shared" si="139"/>
        <v>0</v>
      </c>
      <c r="AA528">
        <f t="shared" si="140"/>
        <v>0</v>
      </c>
      <c r="AB528">
        <f t="shared" si="141"/>
        <v>0</v>
      </c>
      <c r="AC528">
        <f t="shared" si="142"/>
        <v>0</v>
      </c>
      <c r="AD528">
        <f t="shared" si="143"/>
        <v>0</v>
      </c>
      <c r="AE528">
        <v>85.3</v>
      </c>
      <c r="AF528">
        <v>2.23</v>
      </c>
      <c r="AG528">
        <v>6.32</v>
      </c>
      <c r="AH528" t="s">
        <v>100</v>
      </c>
      <c r="AI528" t="s">
        <v>97</v>
      </c>
      <c r="AJ528" t="s">
        <v>97</v>
      </c>
      <c r="AK528" t="s">
        <v>97</v>
      </c>
      <c r="AL528" t="s">
        <v>97</v>
      </c>
      <c r="AM528">
        <v>12</v>
      </c>
      <c r="AN528" t="s">
        <v>101</v>
      </c>
      <c r="AO528" t="s">
        <v>213</v>
      </c>
      <c r="AP528" t="s">
        <v>122</v>
      </c>
      <c r="AQ528" t="s">
        <v>103</v>
      </c>
      <c r="AR528" t="s">
        <v>214</v>
      </c>
      <c r="AS528" t="s">
        <v>104</v>
      </c>
      <c r="AT528" t="s">
        <v>106</v>
      </c>
      <c r="AU528" t="s">
        <v>97</v>
      </c>
      <c r="AV528" t="s">
        <v>97</v>
      </c>
      <c r="AW528">
        <v>0.96</v>
      </c>
      <c r="AX528">
        <v>0.9</v>
      </c>
      <c r="AY528">
        <v>0.88</v>
      </c>
      <c r="AZ528">
        <v>3.35</v>
      </c>
      <c r="BA528" t="s">
        <v>97</v>
      </c>
      <c r="BB528" t="s">
        <v>97</v>
      </c>
      <c r="BC528" t="s">
        <v>97</v>
      </c>
      <c r="BD528">
        <v>1</v>
      </c>
      <c r="BE528" t="s">
        <v>97</v>
      </c>
      <c r="BF528" t="s">
        <v>97</v>
      </c>
      <c r="BG528" t="s">
        <v>97</v>
      </c>
      <c r="BH528" t="s">
        <v>97</v>
      </c>
      <c r="BI528">
        <v>669257</v>
      </c>
      <c r="BJ528">
        <v>669257</v>
      </c>
      <c r="BK528" t="s">
        <v>97</v>
      </c>
      <c r="BL528" t="s">
        <v>97</v>
      </c>
      <c r="BM528">
        <v>-5.1401729850000004</v>
      </c>
      <c r="BN528">
        <v>-124.070753</v>
      </c>
      <c r="BO528">
        <v>-2.4549829810000001</v>
      </c>
      <c r="BP528">
        <v>10.94752321</v>
      </c>
      <c r="BQ528">
        <v>26.712366849999999</v>
      </c>
      <c r="BR528">
        <v>-22.640604039999999</v>
      </c>
      <c r="BS528">
        <v>3.82</v>
      </c>
      <c r="BT528">
        <v>1.76</v>
      </c>
      <c r="BU528" t="s">
        <v>97</v>
      </c>
      <c r="BV528" t="s">
        <v>97</v>
      </c>
      <c r="BW528" t="s">
        <v>97</v>
      </c>
      <c r="BX528">
        <v>85.6</v>
      </c>
      <c r="BY528">
        <v>1777</v>
      </c>
      <c r="BZ528">
        <v>6.7</v>
      </c>
      <c r="CA528">
        <v>813024</v>
      </c>
      <c r="CB528">
        <v>669257</v>
      </c>
      <c r="CC528">
        <v>669257</v>
      </c>
      <c r="CD528">
        <v>518692</v>
      </c>
      <c r="CE528">
        <v>500743</v>
      </c>
      <c r="CF528">
        <v>571970</v>
      </c>
      <c r="CG528">
        <v>605141</v>
      </c>
      <c r="CH528">
        <v>571771</v>
      </c>
      <c r="CI528">
        <v>669242</v>
      </c>
      <c r="CJ528">
        <v>606192</v>
      </c>
      <c r="CK528">
        <v>53.81</v>
      </c>
      <c r="CL528" t="s">
        <v>97</v>
      </c>
      <c r="CM528" t="s">
        <v>97</v>
      </c>
      <c r="CN528" t="s">
        <v>97</v>
      </c>
      <c r="CO528" t="s">
        <v>97</v>
      </c>
      <c r="CP528" t="s">
        <v>97</v>
      </c>
      <c r="CQ528" t="s">
        <v>97</v>
      </c>
      <c r="CR528" t="s">
        <v>97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4</v>
      </c>
      <c r="DA528" t="s">
        <v>107</v>
      </c>
      <c r="DB528" t="s">
        <v>115</v>
      </c>
      <c r="DC528">
        <v>132</v>
      </c>
      <c r="DD528">
        <v>0</v>
      </c>
      <c r="DE528">
        <v>5.5E-2</v>
      </c>
      <c r="DF528" t="s">
        <v>97</v>
      </c>
      <c r="DG528" t="s">
        <v>97</v>
      </c>
    </row>
    <row r="529" spans="1:111" x14ac:dyDescent="0.2">
      <c r="A529">
        <v>2025</v>
      </c>
      <c r="B529" s="1">
        <v>45962</v>
      </c>
      <c r="C529" t="s">
        <v>95</v>
      </c>
      <c r="D529">
        <v>605483</v>
      </c>
      <c r="E529">
        <v>666182</v>
      </c>
      <c r="F529">
        <v>2</v>
      </c>
      <c r="G529">
        <v>1</v>
      </c>
      <c r="H529">
        <v>9</v>
      </c>
      <c r="I529" t="s">
        <v>163</v>
      </c>
      <c r="J529">
        <v>78</v>
      </c>
      <c r="K529">
        <v>4</v>
      </c>
      <c r="L529" t="s">
        <v>155</v>
      </c>
      <c r="M529" t="s">
        <v>132</v>
      </c>
      <c r="N529" t="s">
        <v>133</v>
      </c>
      <c r="O529">
        <f t="shared" si="128"/>
        <v>0</v>
      </c>
      <c r="P529">
        <f t="shared" si="129"/>
        <v>0</v>
      </c>
      <c r="Q529">
        <f t="shared" si="130"/>
        <v>0</v>
      </c>
      <c r="R529">
        <f t="shared" si="131"/>
        <v>0</v>
      </c>
      <c r="S529">
        <f t="shared" si="132"/>
        <v>0</v>
      </c>
      <c r="T529">
        <f t="shared" si="133"/>
        <v>0</v>
      </c>
      <c r="U529">
        <f t="shared" si="134"/>
        <v>0</v>
      </c>
      <c r="V529">
        <f t="shared" si="135"/>
        <v>0</v>
      </c>
      <c r="W529">
        <f t="shared" si="136"/>
        <v>0</v>
      </c>
      <c r="X529">
        <f t="shared" si="137"/>
        <v>0</v>
      </c>
      <c r="Y529">
        <f t="shared" si="138"/>
        <v>0</v>
      </c>
      <c r="Z529">
        <f t="shared" si="139"/>
        <v>1</v>
      </c>
      <c r="AA529">
        <f t="shared" si="140"/>
        <v>0</v>
      </c>
      <c r="AB529">
        <f t="shared" si="141"/>
        <v>0</v>
      </c>
      <c r="AC529">
        <f t="shared" si="142"/>
        <v>0</v>
      </c>
      <c r="AD529">
        <f t="shared" si="143"/>
        <v>0</v>
      </c>
      <c r="AE529">
        <v>85.7</v>
      </c>
      <c r="AF529">
        <v>2.25</v>
      </c>
      <c r="AG529">
        <v>6.34</v>
      </c>
      <c r="AH529" t="s">
        <v>120</v>
      </c>
      <c r="AI529" t="s">
        <v>97</v>
      </c>
      <c r="AJ529" t="s">
        <v>97</v>
      </c>
      <c r="AK529" t="s">
        <v>97</v>
      </c>
      <c r="AL529" t="s">
        <v>97</v>
      </c>
      <c r="AM529">
        <v>6</v>
      </c>
      <c r="AN529" t="s">
        <v>277</v>
      </c>
      <c r="AO529" t="s">
        <v>213</v>
      </c>
      <c r="AP529" t="s">
        <v>122</v>
      </c>
      <c r="AQ529" t="s">
        <v>103</v>
      </c>
      <c r="AR529" t="s">
        <v>214</v>
      </c>
      <c r="AS529" t="s">
        <v>104</v>
      </c>
      <c r="AT529" t="s">
        <v>123</v>
      </c>
      <c r="AU529">
        <v>7</v>
      </c>
      <c r="AV529" t="s">
        <v>158</v>
      </c>
      <c r="AW529">
        <v>1.32</v>
      </c>
      <c r="AX529">
        <v>0.72</v>
      </c>
      <c r="AY529">
        <v>0.54</v>
      </c>
      <c r="AZ529">
        <v>2.46</v>
      </c>
      <c r="BA529" t="s">
        <v>97</v>
      </c>
      <c r="BB529" t="s">
        <v>97</v>
      </c>
      <c r="BC529" t="s">
        <v>97</v>
      </c>
      <c r="BD529">
        <v>1</v>
      </c>
      <c r="BE529">
        <v>75.84</v>
      </c>
      <c r="BF529">
        <v>91.39</v>
      </c>
      <c r="BG529" t="s">
        <v>97</v>
      </c>
      <c r="BH529" t="s">
        <v>97</v>
      </c>
      <c r="BI529">
        <v>669257</v>
      </c>
      <c r="BJ529">
        <v>669257</v>
      </c>
      <c r="BK529" t="s">
        <v>97</v>
      </c>
      <c r="BL529" t="s">
        <v>97</v>
      </c>
      <c r="BM529">
        <v>-6.7612305910000003</v>
      </c>
      <c r="BN529">
        <v>-124.57421429999999</v>
      </c>
      <c r="BO529">
        <v>-4.3039966959999996</v>
      </c>
      <c r="BP529">
        <v>15.15224811</v>
      </c>
      <c r="BQ529">
        <v>27.390518700000001</v>
      </c>
      <c r="BR529">
        <v>-24.007499289999998</v>
      </c>
      <c r="BS529">
        <v>3.7</v>
      </c>
      <c r="BT529">
        <v>1.74</v>
      </c>
      <c r="BU529">
        <v>255</v>
      </c>
      <c r="BV529">
        <v>87</v>
      </c>
      <c r="BW529">
        <v>19</v>
      </c>
      <c r="BX529">
        <v>86</v>
      </c>
      <c r="BY529">
        <v>1952</v>
      </c>
      <c r="BZ529">
        <v>6.8</v>
      </c>
      <c r="CA529">
        <v>813024</v>
      </c>
      <c r="CB529">
        <v>669257</v>
      </c>
      <c r="CC529">
        <v>669257</v>
      </c>
      <c r="CD529">
        <v>518692</v>
      </c>
      <c r="CE529">
        <v>500743</v>
      </c>
      <c r="CF529">
        <v>571970</v>
      </c>
      <c r="CG529">
        <v>605141</v>
      </c>
      <c r="CH529">
        <v>571771</v>
      </c>
      <c r="CI529">
        <v>669242</v>
      </c>
      <c r="CJ529">
        <v>606192</v>
      </c>
      <c r="CK529">
        <v>53.72</v>
      </c>
      <c r="CL529">
        <v>0.72899999999999998</v>
      </c>
      <c r="CM529">
        <v>0.66900000000000004</v>
      </c>
      <c r="CN529">
        <v>0.9</v>
      </c>
      <c r="CO529">
        <v>1</v>
      </c>
      <c r="CP529">
        <v>1</v>
      </c>
      <c r="CQ529">
        <v>0</v>
      </c>
      <c r="CR529">
        <v>4</v>
      </c>
      <c r="CS529">
        <v>4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4</v>
      </c>
      <c r="CZ529">
        <v>4</v>
      </c>
      <c r="DA529" t="s">
        <v>107</v>
      </c>
      <c r="DB529" t="s">
        <v>115</v>
      </c>
      <c r="DC529">
        <v>136</v>
      </c>
      <c r="DD529">
        <v>5.5E-2</v>
      </c>
      <c r="DE529">
        <v>0.37</v>
      </c>
      <c r="DF529">
        <v>76.7</v>
      </c>
      <c r="DG529">
        <v>7.7</v>
      </c>
    </row>
    <row r="530" spans="1:111" x14ac:dyDescent="0.2">
      <c r="A530">
        <v>2025</v>
      </c>
      <c r="B530" s="1">
        <v>45962</v>
      </c>
      <c r="C530" t="s">
        <v>95</v>
      </c>
      <c r="D530">
        <v>605483</v>
      </c>
      <c r="E530">
        <v>680718</v>
      </c>
      <c r="F530">
        <v>0</v>
      </c>
      <c r="G530">
        <v>0</v>
      </c>
      <c r="H530">
        <v>9</v>
      </c>
      <c r="I530" t="s">
        <v>163</v>
      </c>
      <c r="J530">
        <v>79</v>
      </c>
      <c r="K530">
        <v>1</v>
      </c>
      <c r="L530" t="s">
        <v>97</v>
      </c>
      <c r="M530" t="s">
        <v>138</v>
      </c>
      <c r="N530" t="s">
        <v>139</v>
      </c>
      <c r="O530">
        <f t="shared" si="128"/>
        <v>0</v>
      </c>
      <c r="P530">
        <f t="shared" si="129"/>
        <v>0</v>
      </c>
      <c r="Q530">
        <f t="shared" si="130"/>
        <v>0</v>
      </c>
      <c r="R530">
        <f t="shared" si="131"/>
        <v>0</v>
      </c>
      <c r="S530">
        <f t="shared" si="132"/>
        <v>0</v>
      </c>
      <c r="T530">
        <f t="shared" si="133"/>
        <v>0</v>
      </c>
      <c r="U530">
        <f t="shared" si="134"/>
        <v>0</v>
      </c>
      <c r="V530">
        <f t="shared" si="135"/>
        <v>0</v>
      </c>
      <c r="W530">
        <f t="shared" si="136"/>
        <v>0</v>
      </c>
      <c r="X530">
        <f t="shared" si="137"/>
        <v>0</v>
      </c>
      <c r="Y530">
        <f t="shared" si="138"/>
        <v>0</v>
      </c>
      <c r="Z530">
        <f t="shared" si="139"/>
        <v>0</v>
      </c>
      <c r="AA530">
        <f t="shared" si="140"/>
        <v>0</v>
      </c>
      <c r="AB530">
        <f t="shared" si="141"/>
        <v>1</v>
      </c>
      <c r="AC530">
        <f t="shared" si="142"/>
        <v>0</v>
      </c>
      <c r="AD530">
        <f t="shared" si="143"/>
        <v>0</v>
      </c>
      <c r="AE530">
        <v>90.2</v>
      </c>
      <c r="AF530">
        <v>1.99</v>
      </c>
      <c r="AG530">
        <v>6.52</v>
      </c>
      <c r="AH530" t="s">
        <v>100</v>
      </c>
      <c r="AI530" t="s">
        <v>97</v>
      </c>
      <c r="AJ530" t="s">
        <v>97</v>
      </c>
      <c r="AK530" t="s">
        <v>97</v>
      </c>
      <c r="AL530" t="s">
        <v>97</v>
      </c>
      <c r="AM530">
        <v>13</v>
      </c>
      <c r="AN530" t="s">
        <v>101</v>
      </c>
      <c r="AO530" t="s">
        <v>213</v>
      </c>
      <c r="AP530" t="s">
        <v>103</v>
      </c>
      <c r="AQ530" t="s">
        <v>103</v>
      </c>
      <c r="AR530" t="s">
        <v>214</v>
      </c>
      <c r="AS530" t="s">
        <v>104</v>
      </c>
      <c r="AT530" t="s">
        <v>106</v>
      </c>
      <c r="AU530" t="s">
        <v>97</v>
      </c>
      <c r="AV530" t="s">
        <v>97</v>
      </c>
      <c r="AW530">
        <v>-0.1</v>
      </c>
      <c r="AX530">
        <v>0.64</v>
      </c>
      <c r="AY530">
        <v>-0.72</v>
      </c>
      <c r="AZ530">
        <v>1.43</v>
      </c>
      <c r="BA530" t="s">
        <v>97</v>
      </c>
      <c r="BB530" t="s">
        <v>97</v>
      </c>
      <c r="BC530">
        <v>643396</v>
      </c>
      <c r="BD530">
        <v>1</v>
      </c>
      <c r="BE530" t="s">
        <v>97</v>
      </c>
      <c r="BF530" t="s">
        <v>97</v>
      </c>
      <c r="BG530" t="s">
        <v>97</v>
      </c>
      <c r="BH530" t="s">
        <v>97</v>
      </c>
      <c r="BI530">
        <v>669257</v>
      </c>
      <c r="BJ530">
        <v>669257</v>
      </c>
      <c r="BK530" t="s">
        <v>97</v>
      </c>
      <c r="BL530" t="s">
        <v>97</v>
      </c>
      <c r="BM530">
        <v>-6.5785501159999997</v>
      </c>
      <c r="BN530">
        <v>-130.9273513</v>
      </c>
      <c r="BO530">
        <v>-8.0462438489999997</v>
      </c>
      <c r="BP530">
        <v>0.36400982100000001</v>
      </c>
      <c r="BQ530">
        <v>29.517579739999999</v>
      </c>
      <c r="BR530">
        <v>-23.234631650000001</v>
      </c>
      <c r="BS530">
        <v>3.78</v>
      </c>
      <c r="BT530">
        <v>1.78</v>
      </c>
      <c r="BU530" t="s">
        <v>97</v>
      </c>
      <c r="BV530" t="s">
        <v>97</v>
      </c>
      <c r="BW530" t="s">
        <v>97</v>
      </c>
      <c r="BX530">
        <v>90.6</v>
      </c>
      <c r="BY530">
        <v>2465</v>
      </c>
      <c r="BZ530">
        <v>6.8</v>
      </c>
      <c r="CA530">
        <v>813024</v>
      </c>
      <c r="CB530">
        <v>669257</v>
      </c>
      <c r="CC530">
        <v>669257</v>
      </c>
      <c r="CD530">
        <v>518692</v>
      </c>
      <c r="CE530">
        <v>500743</v>
      </c>
      <c r="CF530">
        <v>571970</v>
      </c>
      <c r="CG530">
        <v>605141</v>
      </c>
      <c r="CH530">
        <v>571771</v>
      </c>
      <c r="CI530">
        <v>669242</v>
      </c>
      <c r="CJ530">
        <v>606192</v>
      </c>
      <c r="CK530">
        <v>53.67</v>
      </c>
      <c r="CL530" t="s">
        <v>97</v>
      </c>
      <c r="CM530" t="s">
        <v>97</v>
      </c>
      <c r="CN530" t="s">
        <v>97</v>
      </c>
      <c r="CO530" t="s">
        <v>97</v>
      </c>
      <c r="CP530" t="s">
        <v>97</v>
      </c>
      <c r="CQ530" t="s">
        <v>97</v>
      </c>
      <c r="CR530" t="s">
        <v>97</v>
      </c>
      <c r="CS530">
        <v>4</v>
      </c>
      <c r="CT530">
        <v>4</v>
      </c>
      <c r="CU530">
        <v>4</v>
      </c>
      <c r="CV530">
        <v>4</v>
      </c>
      <c r="CW530">
        <v>4</v>
      </c>
      <c r="CX530">
        <v>4</v>
      </c>
      <c r="CY530">
        <v>4</v>
      </c>
      <c r="CZ530">
        <v>4</v>
      </c>
      <c r="DA530" t="s">
        <v>107</v>
      </c>
      <c r="DB530" t="s">
        <v>115</v>
      </c>
      <c r="DC530">
        <v>169</v>
      </c>
      <c r="DD530">
        <v>0</v>
      </c>
      <c r="DE530">
        <v>3.5000000000000003E-2</v>
      </c>
      <c r="DF530" t="s">
        <v>97</v>
      </c>
      <c r="DG530" t="s">
        <v>97</v>
      </c>
    </row>
    <row r="531" spans="1:111" x14ac:dyDescent="0.2">
      <c r="A531">
        <v>2025</v>
      </c>
      <c r="B531" s="1">
        <v>45962</v>
      </c>
      <c r="C531" t="s">
        <v>95</v>
      </c>
      <c r="D531">
        <v>605483</v>
      </c>
      <c r="E531">
        <v>680718</v>
      </c>
      <c r="F531">
        <v>1</v>
      </c>
      <c r="G531">
        <v>0</v>
      </c>
      <c r="H531">
        <v>9</v>
      </c>
      <c r="I531" t="s">
        <v>163</v>
      </c>
      <c r="J531">
        <v>79</v>
      </c>
      <c r="K531">
        <v>2</v>
      </c>
      <c r="L531" t="s">
        <v>97</v>
      </c>
      <c r="M531" t="s">
        <v>98</v>
      </c>
      <c r="N531" t="s">
        <v>99</v>
      </c>
      <c r="O531">
        <f t="shared" si="128"/>
        <v>0</v>
      </c>
      <c r="P531">
        <f t="shared" si="129"/>
        <v>1</v>
      </c>
      <c r="Q531">
        <f t="shared" si="130"/>
        <v>0</v>
      </c>
      <c r="R531">
        <f t="shared" si="131"/>
        <v>0</v>
      </c>
      <c r="S531">
        <f t="shared" si="132"/>
        <v>0</v>
      </c>
      <c r="T531">
        <f t="shared" si="133"/>
        <v>0</v>
      </c>
      <c r="U531">
        <f t="shared" si="134"/>
        <v>0</v>
      </c>
      <c r="V531">
        <f t="shared" si="135"/>
        <v>0</v>
      </c>
      <c r="W531">
        <f t="shared" si="136"/>
        <v>0</v>
      </c>
      <c r="X531">
        <f t="shared" si="137"/>
        <v>0</v>
      </c>
      <c r="Y531">
        <f t="shared" si="138"/>
        <v>0</v>
      </c>
      <c r="Z531">
        <f t="shared" si="139"/>
        <v>0</v>
      </c>
      <c r="AA531">
        <f t="shared" si="140"/>
        <v>0</v>
      </c>
      <c r="AB531">
        <f t="shared" si="141"/>
        <v>0</v>
      </c>
      <c r="AC531">
        <f t="shared" si="142"/>
        <v>0</v>
      </c>
      <c r="AD531">
        <f t="shared" si="143"/>
        <v>0</v>
      </c>
      <c r="AE531">
        <v>96.6</v>
      </c>
      <c r="AF531">
        <v>2</v>
      </c>
      <c r="AG531">
        <v>6.46</v>
      </c>
      <c r="AH531" t="s">
        <v>100</v>
      </c>
      <c r="AI531" t="s">
        <v>97</v>
      </c>
      <c r="AJ531" t="s">
        <v>97</v>
      </c>
      <c r="AK531" t="s">
        <v>97</v>
      </c>
      <c r="AL531" t="s">
        <v>97</v>
      </c>
      <c r="AM531">
        <v>13</v>
      </c>
      <c r="AN531" t="s">
        <v>101</v>
      </c>
      <c r="AO531" t="s">
        <v>213</v>
      </c>
      <c r="AP531" t="s">
        <v>103</v>
      </c>
      <c r="AQ531" t="s">
        <v>103</v>
      </c>
      <c r="AR531" t="s">
        <v>214</v>
      </c>
      <c r="AS531" t="s">
        <v>104</v>
      </c>
      <c r="AT531" t="s">
        <v>106</v>
      </c>
      <c r="AU531" t="s">
        <v>97</v>
      </c>
      <c r="AV531" t="s">
        <v>97</v>
      </c>
      <c r="AW531">
        <v>0.4</v>
      </c>
      <c r="AX531">
        <v>1.53</v>
      </c>
      <c r="AY531">
        <v>-0.96</v>
      </c>
      <c r="AZ531">
        <v>2.42</v>
      </c>
      <c r="BA531" t="s">
        <v>97</v>
      </c>
      <c r="BB531" t="s">
        <v>97</v>
      </c>
      <c r="BC531">
        <v>643396</v>
      </c>
      <c r="BD531">
        <v>1</v>
      </c>
      <c r="BE531" t="s">
        <v>97</v>
      </c>
      <c r="BF531" t="s">
        <v>97</v>
      </c>
      <c r="BG531" t="s">
        <v>97</v>
      </c>
      <c r="BH531" t="s">
        <v>97</v>
      </c>
      <c r="BI531">
        <v>669257</v>
      </c>
      <c r="BJ531">
        <v>669257</v>
      </c>
      <c r="BK531" t="s">
        <v>97</v>
      </c>
      <c r="BL531" t="s">
        <v>97</v>
      </c>
      <c r="BM531">
        <v>-8.8962946719999998</v>
      </c>
      <c r="BN531">
        <v>-140.19319709999999</v>
      </c>
      <c r="BO531">
        <v>-8.7205670140000002</v>
      </c>
      <c r="BP531">
        <v>7.3466524230000001</v>
      </c>
      <c r="BQ531">
        <v>33.77195116</v>
      </c>
      <c r="BR531">
        <v>-10.118064650000001</v>
      </c>
      <c r="BS531">
        <v>3.72</v>
      </c>
      <c r="BT531">
        <v>1.84</v>
      </c>
      <c r="BU531" t="s">
        <v>97</v>
      </c>
      <c r="BV531" t="s">
        <v>97</v>
      </c>
      <c r="BW531" t="s">
        <v>97</v>
      </c>
      <c r="BX531">
        <v>97.3</v>
      </c>
      <c r="BY531">
        <v>2541</v>
      </c>
      <c r="BZ531">
        <v>7</v>
      </c>
      <c r="CA531">
        <v>813024</v>
      </c>
      <c r="CB531">
        <v>669257</v>
      </c>
      <c r="CC531">
        <v>669257</v>
      </c>
      <c r="CD531">
        <v>518692</v>
      </c>
      <c r="CE531">
        <v>500743</v>
      </c>
      <c r="CF531">
        <v>571970</v>
      </c>
      <c r="CG531">
        <v>605141</v>
      </c>
      <c r="CH531">
        <v>571771</v>
      </c>
      <c r="CI531">
        <v>669242</v>
      </c>
      <c r="CJ531">
        <v>606192</v>
      </c>
      <c r="CK531">
        <v>53.5</v>
      </c>
      <c r="CL531" t="s">
        <v>97</v>
      </c>
      <c r="CM531" t="s">
        <v>97</v>
      </c>
      <c r="CN531" t="s">
        <v>97</v>
      </c>
      <c r="CO531" t="s">
        <v>97</v>
      </c>
      <c r="CP531" t="s">
        <v>97</v>
      </c>
      <c r="CQ531" t="s">
        <v>97</v>
      </c>
      <c r="CR531" t="s">
        <v>97</v>
      </c>
      <c r="CS531">
        <v>4</v>
      </c>
      <c r="CT531">
        <v>4</v>
      </c>
      <c r="CU531">
        <v>4</v>
      </c>
      <c r="CV531">
        <v>4</v>
      </c>
      <c r="CW531">
        <v>4</v>
      </c>
      <c r="CX531">
        <v>4</v>
      </c>
      <c r="CY531">
        <v>4</v>
      </c>
      <c r="CZ531">
        <v>4</v>
      </c>
      <c r="DA531" t="s">
        <v>107</v>
      </c>
      <c r="DB531" t="s">
        <v>115</v>
      </c>
      <c r="DC531">
        <v>157</v>
      </c>
      <c r="DD531">
        <v>0</v>
      </c>
      <c r="DE531">
        <v>6.9000000000000006E-2</v>
      </c>
      <c r="DF531" t="s">
        <v>97</v>
      </c>
      <c r="DG531" t="s">
        <v>97</v>
      </c>
    </row>
    <row r="532" spans="1:111" x14ac:dyDescent="0.2">
      <c r="A532">
        <v>2025</v>
      </c>
      <c r="B532" s="1">
        <v>45962</v>
      </c>
      <c r="C532" t="s">
        <v>95</v>
      </c>
      <c r="D532">
        <v>605483</v>
      </c>
      <c r="E532">
        <v>680718</v>
      </c>
      <c r="F532">
        <v>2</v>
      </c>
      <c r="G532">
        <v>0</v>
      </c>
      <c r="H532">
        <v>9</v>
      </c>
      <c r="I532" t="s">
        <v>163</v>
      </c>
      <c r="J532">
        <v>79</v>
      </c>
      <c r="K532">
        <v>3</v>
      </c>
      <c r="L532" t="s">
        <v>97</v>
      </c>
      <c r="M532" t="s">
        <v>111</v>
      </c>
      <c r="N532" t="s">
        <v>112</v>
      </c>
      <c r="O532">
        <f t="shared" si="128"/>
        <v>0</v>
      </c>
      <c r="P532">
        <f t="shared" si="129"/>
        <v>0</v>
      </c>
      <c r="Q532">
        <f t="shared" si="130"/>
        <v>0</v>
      </c>
      <c r="R532">
        <f t="shared" si="131"/>
        <v>0</v>
      </c>
      <c r="S532">
        <f t="shared" si="132"/>
        <v>0</v>
      </c>
      <c r="T532">
        <f t="shared" si="133"/>
        <v>0</v>
      </c>
      <c r="U532">
        <f t="shared" si="134"/>
        <v>0</v>
      </c>
      <c r="V532">
        <f t="shared" si="135"/>
        <v>1</v>
      </c>
      <c r="W532">
        <f t="shared" si="136"/>
        <v>0</v>
      </c>
      <c r="X532">
        <f t="shared" si="137"/>
        <v>0</v>
      </c>
      <c r="Y532">
        <f t="shared" si="138"/>
        <v>0</v>
      </c>
      <c r="Z532">
        <f t="shared" si="139"/>
        <v>0</v>
      </c>
      <c r="AA532">
        <f t="shared" si="140"/>
        <v>0</v>
      </c>
      <c r="AB532">
        <f t="shared" si="141"/>
        <v>0</v>
      </c>
      <c r="AC532">
        <f t="shared" si="142"/>
        <v>0</v>
      </c>
      <c r="AD532">
        <f t="shared" si="143"/>
        <v>0</v>
      </c>
      <c r="AE532">
        <v>80.599999999999994</v>
      </c>
      <c r="AF532">
        <v>1.91</v>
      </c>
      <c r="AG532">
        <v>6.51</v>
      </c>
      <c r="AH532" t="s">
        <v>108</v>
      </c>
      <c r="AI532" t="s">
        <v>97</v>
      </c>
      <c r="AJ532" t="s">
        <v>97</v>
      </c>
      <c r="AK532" t="s">
        <v>97</v>
      </c>
      <c r="AL532" t="s">
        <v>97</v>
      </c>
      <c r="AM532">
        <v>7</v>
      </c>
      <c r="AN532" t="s">
        <v>109</v>
      </c>
      <c r="AO532" t="s">
        <v>213</v>
      </c>
      <c r="AP532" t="s">
        <v>103</v>
      </c>
      <c r="AQ532" t="s">
        <v>103</v>
      </c>
      <c r="AR532" t="s">
        <v>214</v>
      </c>
      <c r="AS532" t="s">
        <v>104</v>
      </c>
      <c r="AT532" t="s">
        <v>110</v>
      </c>
      <c r="AU532" t="s">
        <v>97</v>
      </c>
      <c r="AV532" t="s">
        <v>97</v>
      </c>
      <c r="AW532">
        <v>-0.84</v>
      </c>
      <c r="AX532">
        <v>-0.49</v>
      </c>
      <c r="AY532">
        <v>-0.64</v>
      </c>
      <c r="AZ532">
        <v>2.31</v>
      </c>
      <c r="BA532" t="s">
        <v>97</v>
      </c>
      <c r="BB532" t="s">
        <v>97</v>
      </c>
      <c r="BC532">
        <v>643396</v>
      </c>
      <c r="BD532">
        <v>1</v>
      </c>
      <c r="BE532" t="s">
        <v>97</v>
      </c>
      <c r="BF532" t="s">
        <v>97</v>
      </c>
      <c r="BG532" t="s">
        <v>97</v>
      </c>
      <c r="BH532" t="s">
        <v>97</v>
      </c>
      <c r="BI532">
        <v>669257</v>
      </c>
      <c r="BJ532">
        <v>669257</v>
      </c>
      <c r="BK532" t="s">
        <v>97</v>
      </c>
      <c r="BL532" t="s">
        <v>97</v>
      </c>
      <c r="BM532">
        <v>-4.0858388430000003</v>
      </c>
      <c r="BN532">
        <v>-117.3034603</v>
      </c>
      <c r="BO532">
        <v>-1.619805468</v>
      </c>
      <c r="BP532">
        <v>-6.7966425959999999</v>
      </c>
      <c r="BQ532">
        <v>25.80929794</v>
      </c>
      <c r="BR532">
        <v>-36.532943080000003</v>
      </c>
      <c r="BS532">
        <v>3.72</v>
      </c>
      <c r="BT532">
        <v>1.78</v>
      </c>
      <c r="BU532" t="s">
        <v>97</v>
      </c>
      <c r="BV532" t="s">
        <v>97</v>
      </c>
      <c r="BW532" t="s">
        <v>97</v>
      </c>
      <c r="BX532">
        <v>80.599999999999994</v>
      </c>
      <c r="BY532">
        <v>2735</v>
      </c>
      <c r="BZ532">
        <v>6.7</v>
      </c>
      <c r="CA532">
        <v>813024</v>
      </c>
      <c r="CB532">
        <v>669257</v>
      </c>
      <c r="CC532">
        <v>669257</v>
      </c>
      <c r="CD532">
        <v>518692</v>
      </c>
      <c r="CE532">
        <v>500743</v>
      </c>
      <c r="CF532">
        <v>571970</v>
      </c>
      <c r="CG532">
        <v>605141</v>
      </c>
      <c r="CH532">
        <v>571771</v>
      </c>
      <c r="CI532">
        <v>669242</v>
      </c>
      <c r="CJ532">
        <v>606192</v>
      </c>
      <c r="CK532">
        <v>53.84</v>
      </c>
      <c r="CL532" t="s">
        <v>97</v>
      </c>
      <c r="CM532" t="s">
        <v>97</v>
      </c>
      <c r="CN532" t="s">
        <v>97</v>
      </c>
      <c r="CO532" t="s">
        <v>97</v>
      </c>
      <c r="CP532" t="s">
        <v>97</v>
      </c>
      <c r="CQ532" t="s">
        <v>97</v>
      </c>
      <c r="CR532" t="s">
        <v>97</v>
      </c>
      <c r="CS532">
        <v>4</v>
      </c>
      <c r="CT532">
        <v>4</v>
      </c>
      <c r="CU532">
        <v>4</v>
      </c>
      <c r="CV532">
        <v>4</v>
      </c>
      <c r="CW532">
        <v>4</v>
      </c>
      <c r="CX532">
        <v>4</v>
      </c>
      <c r="CY532">
        <v>4</v>
      </c>
      <c r="CZ532">
        <v>4</v>
      </c>
      <c r="DA532" t="s">
        <v>107</v>
      </c>
      <c r="DB532" t="s">
        <v>115</v>
      </c>
      <c r="DC532">
        <v>320</v>
      </c>
      <c r="DD532">
        <v>0</v>
      </c>
      <c r="DE532">
        <v>-6.2E-2</v>
      </c>
      <c r="DF532" t="s">
        <v>97</v>
      </c>
      <c r="DG532" t="s">
        <v>97</v>
      </c>
    </row>
    <row r="533" spans="1:111" x14ac:dyDescent="0.2">
      <c r="A533">
        <v>2025</v>
      </c>
      <c r="B533" s="1">
        <v>45962</v>
      </c>
      <c r="C533" t="s">
        <v>95</v>
      </c>
      <c r="D533">
        <v>605483</v>
      </c>
      <c r="E533">
        <v>680718</v>
      </c>
      <c r="F533">
        <v>2</v>
      </c>
      <c r="G533">
        <v>1</v>
      </c>
      <c r="H533">
        <v>9</v>
      </c>
      <c r="I533" t="s">
        <v>163</v>
      </c>
      <c r="J533">
        <v>79</v>
      </c>
      <c r="K533">
        <v>4</v>
      </c>
      <c r="L533" t="s">
        <v>97</v>
      </c>
      <c r="M533" t="s">
        <v>138</v>
      </c>
      <c r="N533" t="s">
        <v>139</v>
      </c>
      <c r="O533">
        <f t="shared" si="128"/>
        <v>0</v>
      </c>
      <c r="P533">
        <f t="shared" si="129"/>
        <v>0</v>
      </c>
      <c r="Q533">
        <f t="shared" si="130"/>
        <v>0</v>
      </c>
      <c r="R533">
        <f t="shared" si="131"/>
        <v>0</v>
      </c>
      <c r="S533">
        <f t="shared" si="132"/>
        <v>0</v>
      </c>
      <c r="T533">
        <f t="shared" si="133"/>
        <v>0</v>
      </c>
      <c r="U533">
        <f t="shared" si="134"/>
        <v>0</v>
      </c>
      <c r="V533">
        <f t="shared" si="135"/>
        <v>0</v>
      </c>
      <c r="W533">
        <f t="shared" si="136"/>
        <v>0</v>
      </c>
      <c r="X533">
        <f t="shared" si="137"/>
        <v>0</v>
      </c>
      <c r="Y533">
        <f t="shared" si="138"/>
        <v>0</v>
      </c>
      <c r="Z533">
        <f t="shared" si="139"/>
        <v>0</v>
      </c>
      <c r="AA533">
        <f t="shared" si="140"/>
        <v>0</v>
      </c>
      <c r="AB533">
        <f t="shared" si="141"/>
        <v>0</v>
      </c>
      <c r="AC533">
        <f t="shared" si="142"/>
        <v>0</v>
      </c>
      <c r="AD533">
        <f t="shared" si="143"/>
        <v>1</v>
      </c>
      <c r="AE533">
        <v>90</v>
      </c>
      <c r="AF533">
        <v>1.99</v>
      </c>
      <c r="AG533">
        <v>6.43</v>
      </c>
      <c r="AH533" t="s">
        <v>108</v>
      </c>
      <c r="AI533" t="s">
        <v>97</v>
      </c>
      <c r="AJ533" t="s">
        <v>97</v>
      </c>
      <c r="AK533" t="s">
        <v>97</v>
      </c>
      <c r="AL533" t="s">
        <v>97</v>
      </c>
      <c r="AM533">
        <v>13</v>
      </c>
      <c r="AN533" t="s">
        <v>109</v>
      </c>
      <c r="AO533" t="s">
        <v>213</v>
      </c>
      <c r="AP533" t="s">
        <v>103</v>
      </c>
      <c r="AQ533" t="s">
        <v>103</v>
      </c>
      <c r="AR533" t="s">
        <v>214</v>
      </c>
      <c r="AS533" t="s">
        <v>104</v>
      </c>
      <c r="AT533" t="s">
        <v>110</v>
      </c>
      <c r="AU533" t="s">
        <v>97</v>
      </c>
      <c r="AV533" t="s">
        <v>97</v>
      </c>
      <c r="AW533">
        <v>-0.04</v>
      </c>
      <c r="AX533">
        <v>0.72</v>
      </c>
      <c r="AY533">
        <v>-0.28999999999999998</v>
      </c>
      <c r="AZ533">
        <v>1.6</v>
      </c>
      <c r="BA533" t="s">
        <v>97</v>
      </c>
      <c r="BB533" t="s">
        <v>97</v>
      </c>
      <c r="BC533">
        <v>643396</v>
      </c>
      <c r="BD533">
        <v>1</v>
      </c>
      <c r="BE533" t="s">
        <v>97</v>
      </c>
      <c r="BF533" t="s">
        <v>97</v>
      </c>
      <c r="BG533" t="s">
        <v>97</v>
      </c>
      <c r="BH533" t="s">
        <v>97</v>
      </c>
      <c r="BI533">
        <v>669257</v>
      </c>
      <c r="BJ533">
        <v>669257</v>
      </c>
      <c r="BK533" t="s">
        <v>97</v>
      </c>
      <c r="BL533" t="s">
        <v>97</v>
      </c>
      <c r="BM533">
        <v>-5.6082597080000003</v>
      </c>
      <c r="BN533">
        <v>-130.756891</v>
      </c>
      <c r="BO533">
        <v>-7.5734761840000004</v>
      </c>
      <c r="BP533">
        <v>0.78843175099999996</v>
      </c>
      <c r="BQ533">
        <v>29.37789527</v>
      </c>
      <c r="BR533">
        <v>-22.466207690000001</v>
      </c>
      <c r="BS533">
        <v>3.72</v>
      </c>
      <c r="BT533">
        <v>1.79</v>
      </c>
      <c r="BU533" t="s">
        <v>97</v>
      </c>
      <c r="BV533" t="s">
        <v>97</v>
      </c>
      <c r="BW533" t="s">
        <v>97</v>
      </c>
      <c r="BX533">
        <v>90.6</v>
      </c>
      <c r="BY533">
        <v>2407</v>
      </c>
      <c r="BZ533">
        <v>6.9</v>
      </c>
      <c r="CA533">
        <v>813024</v>
      </c>
      <c r="CB533">
        <v>669257</v>
      </c>
      <c r="CC533">
        <v>669257</v>
      </c>
      <c r="CD533">
        <v>518692</v>
      </c>
      <c r="CE533">
        <v>500743</v>
      </c>
      <c r="CF533">
        <v>571970</v>
      </c>
      <c r="CG533">
        <v>605141</v>
      </c>
      <c r="CH533">
        <v>571771</v>
      </c>
      <c r="CI533">
        <v>669242</v>
      </c>
      <c r="CJ533">
        <v>606192</v>
      </c>
      <c r="CK533">
        <v>53.61</v>
      </c>
      <c r="CL533" t="s">
        <v>97</v>
      </c>
      <c r="CM533" t="s">
        <v>97</v>
      </c>
      <c r="CN533" t="s">
        <v>97</v>
      </c>
      <c r="CO533" t="s">
        <v>97</v>
      </c>
      <c r="CP533" t="s">
        <v>97</v>
      </c>
      <c r="CQ533" t="s">
        <v>97</v>
      </c>
      <c r="CR533" t="s">
        <v>97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4</v>
      </c>
      <c r="CZ533">
        <v>4</v>
      </c>
      <c r="DA533" t="s">
        <v>107</v>
      </c>
      <c r="DB533" t="s">
        <v>115</v>
      </c>
      <c r="DC533">
        <v>162</v>
      </c>
      <c r="DD533">
        <v>0</v>
      </c>
      <c r="DE533">
        <v>-7.4999999999999997E-2</v>
      </c>
      <c r="DF533" t="s">
        <v>97</v>
      </c>
      <c r="DG533" t="s">
        <v>97</v>
      </c>
    </row>
    <row r="534" spans="1:111" x14ac:dyDescent="0.2">
      <c r="A534">
        <v>2025</v>
      </c>
      <c r="B534" s="1">
        <v>45962</v>
      </c>
      <c r="C534" t="s">
        <v>95</v>
      </c>
      <c r="D534">
        <v>605483</v>
      </c>
      <c r="E534">
        <v>680718</v>
      </c>
      <c r="F534">
        <v>2</v>
      </c>
      <c r="G534">
        <v>2</v>
      </c>
      <c r="H534">
        <v>9</v>
      </c>
      <c r="I534" t="s">
        <v>163</v>
      </c>
      <c r="J534">
        <v>79</v>
      </c>
      <c r="K534">
        <v>5</v>
      </c>
      <c r="L534" t="s">
        <v>97</v>
      </c>
      <c r="M534" t="s">
        <v>132</v>
      </c>
      <c r="N534" t="s">
        <v>133</v>
      </c>
      <c r="O534">
        <f t="shared" si="128"/>
        <v>0</v>
      </c>
      <c r="P534">
        <f t="shared" si="129"/>
        <v>0</v>
      </c>
      <c r="Q534">
        <f t="shared" si="130"/>
        <v>0</v>
      </c>
      <c r="R534">
        <f t="shared" si="131"/>
        <v>0</v>
      </c>
      <c r="S534">
        <f t="shared" si="132"/>
        <v>0</v>
      </c>
      <c r="T534">
        <f t="shared" si="133"/>
        <v>0</v>
      </c>
      <c r="U534">
        <f t="shared" si="134"/>
        <v>0</v>
      </c>
      <c r="V534">
        <f t="shared" si="135"/>
        <v>0</v>
      </c>
      <c r="W534">
        <f t="shared" si="136"/>
        <v>0</v>
      </c>
      <c r="X534">
        <f t="shared" si="137"/>
        <v>0</v>
      </c>
      <c r="Y534">
        <f t="shared" si="138"/>
        <v>1</v>
      </c>
      <c r="Z534">
        <f t="shared" si="139"/>
        <v>0</v>
      </c>
      <c r="AA534">
        <f t="shared" si="140"/>
        <v>0</v>
      </c>
      <c r="AB534">
        <f t="shared" si="141"/>
        <v>0</v>
      </c>
      <c r="AC534">
        <f t="shared" si="142"/>
        <v>0</v>
      </c>
      <c r="AD534">
        <f t="shared" si="143"/>
        <v>0</v>
      </c>
      <c r="AE534">
        <v>85.8</v>
      </c>
      <c r="AF534">
        <v>2.14</v>
      </c>
      <c r="AG534">
        <v>6.32</v>
      </c>
      <c r="AH534" t="s">
        <v>129</v>
      </c>
      <c r="AI534" t="s">
        <v>97</v>
      </c>
      <c r="AJ534" t="s">
        <v>97</v>
      </c>
      <c r="AK534" t="s">
        <v>97</v>
      </c>
      <c r="AL534" t="s">
        <v>97</v>
      </c>
      <c r="AM534">
        <v>14</v>
      </c>
      <c r="AN534" t="s">
        <v>130</v>
      </c>
      <c r="AO534" t="s">
        <v>213</v>
      </c>
      <c r="AP534" t="s">
        <v>103</v>
      </c>
      <c r="AQ534" t="s">
        <v>103</v>
      </c>
      <c r="AR534" t="s">
        <v>214</v>
      </c>
      <c r="AS534" t="s">
        <v>104</v>
      </c>
      <c r="AT534" t="s">
        <v>110</v>
      </c>
      <c r="AU534" t="s">
        <v>97</v>
      </c>
      <c r="AV534" t="s">
        <v>97</v>
      </c>
      <c r="AW534">
        <v>1.55</v>
      </c>
      <c r="AX534">
        <v>0.52</v>
      </c>
      <c r="AY534">
        <v>1.87</v>
      </c>
      <c r="AZ534">
        <v>1.44</v>
      </c>
      <c r="BA534" t="s">
        <v>97</v>
      </c>
      <c r="BB534" t="s">
        <v>97</v>
      </c>
      <c r="BC534">
        <v>643396</v>
      </c>
      <c r="BD534">
        <v>1</v>
      </c>
      <c r="BE534" t="s">
        <v>97</v>
      </c>
      <c r="BF534" t="s">
        <v>97</v>
      </c>
      <c r="BG534" t="s">
        <v>97</v>
      </c>
      <c r="BH534" t="s">
        <v>97</v>
      </c>
      <c r="BI534">
        <v>669257</v>
      </c>
      <c r="BJ534">
        <v>669257</v>
      </c>
      <c r="BK534" t="s">
        <v>97</v>
      </c>
      <c r="BL534" t="s">
        <v>97</v>
      </c>
      <c r="BM534">
        <v>-3.8026360480000001</v>
      </c>
      <c r="BN534">
        <v>-124.7524083</v>
      </c>
      <c r="BO534">
        <v>-6.3173213710000002</v>
      </c>
      <c r="BP534">
        <v>16.911536529999999</v>
      </c>
      <c r="BQ534">
        <v>27.59648322</v>
      </c>
      <c r="BR534">
        <v>-25.642356840000001</v>
      </c>
      <c r="BS534">
        <v>3.72</v>
      </c>
      <c r="BT534">
        <v>1.77</v>
      </c>
      <c r="BU534">
        <v>23</v>
      </c>
      <c r="BV534">
        <v>19.3</v>
      </c>
      <c r="BW534">
        <v>39</v>
      </c>
      <c r="BX534">
        <v>86.1</v>
      </c>
      <c r="BY534">
        <v>1841</v>
      </c>
      <c r="BZ534">
        <v>6.8</v>
      </c>
      <c r="CA534">
        <v>813024</v>
      </c>
      <c r="CB534">
        <v>669257</v>
      </c>
      <c r="CC534">
        <v>669257</v>
      </c>
      <c r="CD534">
        <v>518692</v>
      </c>
      <c r="CE534">
        <v>500743</v>
      </c>
      <c r="CF534">
        <v>571970</v>
      </c>
      <c r="CG534">
        <v>605141</v>
      </c>
      <c r="CH534">
        <v>571771</v>
      </c>
      <c r="CI534">
        <v>669242</v>
      </c>
      <c r="CJ534">
        <v>606192</v>
      </c>
      <c r="CK534">
        <v>53.73</v>
      </c>
      <c r="CL534" t="s">
        <v>97</v>
      </c>
      <c r="CM534" t="s">
        <v>97</v>
      </c>
      <c r="CN534" t="s">
        <v>97</v>
      </c>
      <c r="CO534" t="s">
        <v>97</v>
      </c>
      <c r="CP534" t="s">
        <v>97</v>
      </c>
      <c r="CQ534" t="s">
        <v>97</v>
      </c>
      <c r="CR534" t="s">
        <v>97</v>
      </c>
      <c r="CS534">
        <v>4</v>
      </c>
      <c r="CT534">
        <v>4</v>
      </c>
      <c r="CU534">
        <v>4</v>
      </c>
      <c r="CV534">
        <v>4</v>
      </c>
      <c r="CW534">
        <v>4</v>
      </c>
      <c r="CX534">
        <v>4</v>
      </c>
      <c r="CY534">
        <v>4</v>
      </c>
      <c r="CZ534">
        <v>4</v>
      </c>
      <c r="DA534" t="s">
        <v>107</v>
      </c>
      <c r="DB534" t="s">
        <v>115</v>
      </c>
      <c r="DC534">
        <v>131</v>
      </c>
      <c r="DD534">
        <v>0</v>
      </c>
      <c r="DE534">
        <v>0</v>
      </c>
      <c r="DF534">
        <v>73.7</v>
      </c>
      <c r="DG534">
        <v>8.5</v>
      </c>
    </row>
    <row r="535" spans="1:111" x14ac:dyDescent="0.2">
      <c r="A535">
        <v>2025</v>
      </c>
      <c r="B535" s="1">
        <v>45962</v>
      </c>
      <c r="C535" t="s">
        <v>95</v>
      </c>
      <c r="D535">
        <v>605483</v>
      </c>
      <c r="E535">
        <v>680718</v>
      </c>
      <c r="F535">
        <v>2</v>
      </c>
      <c r="G535">
        <v>2</v>
      </c>
      <c r="H535">
        <v>9</v>
      </c>
      <c r="I535" t="s">
        <v>163</v>
      </c>
      <c r="J535">
        <v>79</v>
      </c>
      <c r="K535">
        <v>6</v>
      </c>
      <c r="L535" t="s">
        <v>97</v>
      </c>
      <c r="M535" t="s">
        <v>111</v>
      </c>
      <c r="N535" t="s">
        <v>112</v>
      </c>
      <c r="O535">
        <f t="shared" si="128"/>
        <v>0</v>
      </c>
      <c r="P535">
        <f t="shared" si="129"/>
        <v>0</v>
      </c>
      <c r="Q535">
        <f t="shared" si="130"/>
        <v>0</v>
      </c>
      <c r="R535">
        <f t="shared" si="131"/>
        <v>0</v>
      </c>
      <c r="S535">
        <f t="shared" si="132"/>
        <v>0</v>
      </c>
      <c r="T535">
        <f t="shared" si="133"/>
        <v>0</v>
      </c>
      <c r="U535">
        <f t="shared" si="134"/>
        <v>0</v>
      </c>
      <c r="V535">
        <f t="shared" si="135"/>
        <v>1</v>
      </c>
      <c r="W535">
        <f t="shared" si="136"/>
        <v>0</v>
      </c>
      <c r="X535">
        <f t="shared" si="137"/>
        <v>0</v>
      </c>
      <c r="Y535">
        <f t="shared" si="138"/>
        <v>0</v>
      </c>
      <c r="Z535">
        <f t="shared" si="139"/>
        <v>0</v>
      </c>
      <c r="AA535">
        <f t="shared" si="140"/>
        <v>0</v>
      </c>
      <c r="AB535">
        <f t="shared" si="141"/>
        <v>0</v>
      </c>
      <c r="AC535">
        <f t="shared" si="142"/>
        <v>0</v>
      </c>
      <c r="AD535">
        <f t="shared" si="143"/>
        <v>0</v>
      </c>
      <c r="AE535">
        <v>82.7</v>
      </c>
      <c r="AF535">
        <v>1.89</v>
      </c>
      <c r="AG535">
        <v>6.42</v>
      </c>
      <c r="AH535" t="s">
        <v>129</v>
      </c>
      <c r="AI535" t="s">
        <v>97</v>
      </c>
      <c r="AJ535" t="s">
        <v>97</v>
      </c>
      <c r="AK535" t="s">
        <v>97</v>
      </c>
      <c r="AL535" t="s">
        <v>97</v>
      </c>
      <c r="AM535">
        <v>13</v>
      </c>
      <c r="AN535" t="s">
        <v>130</v>
      </c>
      <c r="AO535" t="s">
        <v>213</v>
      </c>
      <c r="AP535" t="s">
        <v>103</v>
      </c>
      <c r="AQ535" t="s">
        <v>103</v>
      </c>
      <c r="AR535" t="s">
        <v>214</v>
      </c>
      <c r="AS535" t="s">
        <v>104</v>
      </c>
      <c r="AT535" t="s">
        <v>110</v>
      </c>
      <c r="AU535" t="s">
        <v>97</v>
      </c>
      <c r="AV535" t="s">
        <v>97</v>
      </c>
      <c r="AW535">
        <v>-0.75</v>
      </c>
      <c r="AX535">
        <v>-0.53</v>
      </c>
      <c r="AY535">
        <v>-0.41</v>
      </c>
      <c r="AZ535">
        <v>1.2</v>
      </c>
      <c r="BA535" t="s">
        <v>97</v>
      </c>
      <c r="BB535" t="s">
        <v>97</v>
      </c>
      <c r="BC535">
        <v>643396</v>
      </c>
      <c r="BD535">
        <v>1</v>
      </c>
      <c r="BE535" t="s">
        <v>97</v>
      </c>
      <c r="BF535" t="s">
        <v>97</v>
      </c>
      <c r="BG535" t="s">
        <v>97</v>
      </c>
      <c r="BH535" t="s">
        <v>97</v>
      </c>
      <c r="BI535">
        <v>669257</v>
      </c>
      <c r="BJ535">
        <v>669257</v>
      </c>
      <c r="BK535" t="s">
        <v>97</v>
      </c>
      <c r="BL535" t="s">
        <v>97</v>
      </c>
      <c r="BM535">
        <v>-3.7861995230000001</v>
      </c>
      <c r="BN535">
        <v>-120.2193473</v>
      </c>
      <c r="BO535">
        <v>-4.2573509869999997</v>
      </c>
      <c r="BP535">
        <v>-6.3513457850000004</v>
      </c>
      <c r="BQ535">
        <v>27.359892559999999</v>
      </c>
      <c r="BR535">
        <v>-36.551488489999997</v>
      </c>
      <c r="BS535">
        <v>3.72</v>
      </c>
      <c r="BT535">
        <v>1.77</v>
      </c>
      <c r="BU535">
        <v>2</v>
      </c>
      <c r="BV535">
        <v>58.6</v>
      </c>
      <c r="BW535">
        <v>-36</v>
      </c>
      <c r="BX535">
        <v>82.5</v>
      </c>
      <c r="BY535">
        <v>2706</v>
      </c>
      <c r="BZ535">
        <v>6.6</v>
      </c>
      <c r="CA535">
        <v>813024</v>
      </c>
      <c r="CB535">
        <v>669257</v>
      </c>
      <c r="CC535">
        <v>669257</v>
      </c>
      <c r="CD535">
        <v>518692</v>
      </c>
      <c r="CE535">
        <v>500743</v>
      </c>
      <c r="CF535">
        <v>571970</v>
      </c>
      <c r="CG535">
        <v>605141</v>
      </c>
      <c r="CH535">
        <v>571771</v>
      </c>
      <c r="CI535">
        <v>669242</v>
      </c>
      <c r="CJ535">
        <v>606192</v>
      </c>
      <c r="CK535">
        <v>53.91</v>
      </c>
      <c r="CL535" t="s">
        <v>97</v>
      </c>
      <c r="CM535" t="s">
        <v>97</v>
      </c>
      <c r="CN535" t="s">
        <v>97</v>
      </c>
      <c r="CO535" t="s">
        <v>97</v>
      </c>
      <c r="CP535" t="s">
        <v>97</v>
      </c>
      <c r="CQ535" t="s">
        <v>97</v>
      </c>
      <c r="CR535" t="s">
        <v>97</v>
      </c>
      <c r="CS535">
        <v>4</v>
      </c>
      <c r="CT535">
        <v>4</v>
      </c>
      <c r="CU535">
        <v>4</v>
      </c>
      <c r="CV535">
        <v>4</v>
      </c>
      <c r="CW535">
        <v>4</v>
      </c>
      <c r="CX535">
        <v>4</v>
      </c>
      <c r="CY535">
        <v>4</v>
      </c>
      <c r="CZ535">
        <v>4</v>
      </c>
      <c r="DA535" t="s">
        <v>107</v>
      </c>
      <c r="DB535" t="s">
        <v>115</v>
      </c>
      <c r="DC535">
        <v>326</v>
      </c>
      <c r="DD535">
        <v>0</v>
      </c>
      <c r="DE535">
        <v>0</v>
      </c>
      <c r="DF535">
        <v>57.4</v>
      </c>
      <c r="DG535">
        <v>8.8000000000000007</v>
      </c>
    </row>
    <row r="536" spans="1:111" x14ac:dyDescent="0.2">
      <c r="A536">
        <v>2025</v>
      </c>
      <c r="B536" s="1">
        <v>45962</v>
      </c>
      <c r="C536" t="s">
        <v>95</v>
      </c>
      <c r="D536">
        <v>605483</v>
      </c>
      <c r="E536">
        <v>680718</v>
      </c>
      <c r="F536">
        <v>2</v>
      </c>
      <c r="G536">
        <v>2</v>
      </c>
      <c r="H536">
        <v>9</v>
      </c>
      <c r="I536" t="s">
        <v>163</v>
      </c>
      <c r="J536">
        <v>79</v>
      </c>
      <c r="K536">
        <v>7</v>
      </c>
      <c r="L536" t="s">
        <v>97</v>
      </c>
      <c r="M536" t="s">
        <v>138</v>
      </c>
      <c r="N536" t="s">
        <v>139</v>
      </c>
      <c r="O536">
        <f t="shared" si="128"/>
        <v>0</v>
      </c>
      <c r="P536">
        <f t="shared" si="129"/>
        <v>0</v>
      </c>
      <c r="Q536">
        <f t="shared" si="130"/>
        <v>0</v>
      </c>
      <c r="R536">
        <f t="shared" si="131"/>
        <v>0</v>
      </c>
      <c r="S536">
        <f t="shared" si="132"/>
        <v>0</v>
      </c>
      <c r="T536">
        <f t="shared" si="133"/>
        <v>0</v>
      </c>
      <c r="U536">
        <f t="shared" si="134"/>
        <v>0</v>
      </c>
      <c r="V536">
        <f t="shared" si="135"/>
        <v>0</v>
      </c>
      <c r="W536">
        <f t="shared" si="136"/>
        <v>0</v>
      </c>
      <c r="X536">
        <f t="shared" si="137"/>
        <v>0</v>
      </c>
      <c r="Y536">
        <f t="shared" si="138"/>
        <v>0</v>
      </c>
      <c r="Z536">
        <f t="shared" si="139"/>
        <v>0</v>
      </c>
      <c r="AA536">
        <f t="shared" si="140"/>
        <v>0</v>
      </c>
      <c r="AB536">
        <f t="shared" si="141"/>
        <v>0</v>
      </c>
      <c r="AC536">
        <f t="shared" si="142"/>
        <v>1</v>
      </c>
      <c r="AD536">
        <f t="shared" si="143"/>
        <v>0</v>
      </c>
      <c r="AE536">
        <v>88.7</v>
      </c>
      <c r="AF536">
        <v>1.97</v>
      </c>
      <c r="AG536">
        <v>6.5</v>
      </c>
      <c r="AH536" t="s">
        <v>129</v>
      </c>
      <c r="AI536" t="s">
        <v>97</v>
      </c>
      <c r="AJ536" t="s">
        <v>97</v>
      </c>
      <c r="AK536" t="s">
        <v>97</v>
      </c>
      <c r="AL536" t="s">
        <v>97</v>
      </c>
      <c r="AM536">
        <v>7</v>
      </c>
      <c r="AN536" t="s">
        <v>130</v>
      </c>
      <c r="AO536" t="s">
        <v>213</v>
      </c>
      <c r="AP536" t="s">
        <v>103</v>
      </c>
      <c r="AQ536" t="s">
        <v>103</v>
      </c>
      <c r="AR536" t="s">
        <v>214</v>
      </c>
      <c r="AS536" t="s">
        <v>104</v>
      </c>
      <c r="AT536" t="s">
        <v>110</v>
      </c>
      <c r="AU536" t="s">
        <v>97</v>
      </c>
      <c r="AV536" t="s">
        <v>97</v>
      </c>
      <c r="AW536">
        <v>-0.04</v>
      </c>
      <c r="AX536">
        <v>0.72</v>
      </c>
      <c r="AY536">
        <v>-0.32</v>
      </c>
      <c r="AZ536">
        <v>2.2000000000000002</v>
      </c>
      <c r="BA536" t="s">
        <v>97</v>
      </c>
      <c r="BB536" t="s">
        <v>97</v>
      </c>
      <c r="BC536">
        <v>643396</v>
      </c>
      <c r="BD536">
        <v>1</v>
      </c>
      <c r="BE536" t="s">
        <v>97</v>
      </c>
      <c r="BF536" t="s">
        <v>97</v>
      </c>
      <c r="BG536" t="s">
        <v>97</v>
      </c>
      <c r="BH536" t="s">
        <v>97</v>
      </c>
      <c r="BI536">
        <v>669257</v>
      </c>
      <c r="BJ536">
        <v>669257</v>
      </c>
      <c r="BK536" t="s">
        <v>97</v>
      </c>
      <c r="BL536" t="s">
        <v>97</v>
      </c>
      <c r="BM536">
        <v>-5.5602330340000004</v>
      </c>
      <c r="BN536">
        <v>-128.92418749999999</v>
      </c>
      <c r="BO536">
        <v>-5.9918821009999998</v>
      </c>
      <c r="BP536">
        <v>0.75328227699999994</v>
      </c>
      <c r="BQ536">
        <v>27.495430410000001</v>
      </c>
      <c r="BR536">
        <v>-23.055183400000001</v>
      </c>
      <c r="BS536">
        <v>3.72</v>
      </c>
      <c r="BT536">
        <v>1.77</v>
      </c>
      <c r="BU536">
        <v>193</v>
      </c>
      <c r="BV536">
        <v>68.2</v>
      </c>
      <c r="BW536">
        <v>39</v>
      </c>
      <c r="BX536">
        <v>89.2</v>
      </c>
      <c r="BY536">
        <v>2337</v>
      </c>
      <c r="BZ536">
        <v>6.7</v>
      </c>
      <c r="CA536">
        <v>813024</v>
      </c>
      <c r="CB536">
        <v>669257</v>
      </c>
      <c r="CC536">
        <v>669257</v>
      </c>
      <c r="CD536">
        <v>518692</v>
      </c>
      <c r="CE536">
        <v>500743</v>
      </c>
      <c r="CF536">
        <v>571970</v>
      </c>
      <c r="CG536">
        <v>605141</v>
      </c>
      <c r="CH536">
        <v>571771</v>
      </c>
      <c r="CI536">
        <v>669242</v>
      </c>
      <c r="CJ536">
        <v>606192</v>
      </c>
      <c r="CK536">
        <v>53.75</v>
      </c>
      <c r="CL536" t="s">
        <v>97</v>
      </c>
      <c r="CM536" t="s">
        <v>97</v>
      </c>
      <c r="CN536" t="s">
        <v>97</v>
      </c>
      <c r="CO536" t="s">
        <v>97</v>
      </c>
      <c r="CP536" t="s">
        <v>97</v>
      </c>
      <c r="CQ536" t="s">
        <v>97</v>
      </c>
      <c r="CR536" t="s">
        <v>97</v>
      </c>
      <c r="CS536">
        <v>4</v>
      </c>
      <c r="CT536">
        <v>4</v>
      </c>
      <c r="CU536">
        <v>4</v>
      </c>
      <c r="CV536">
        <v>4</v>
      </c>
      <c r="CW536">
        <v>4</v>
      </c>
      <c r="CX536">
        <v>4</v>
      </c>
      <c r="CY536">
        <v>4</v>
      </c>
      <c r="CZ536">
        <v>4</v>
      </c>
      <c r="DA536" t="s">
        <v>107</v>
      </c>
      <c r="DB536" t="s">
        <v>115</v>
      </c>
      <c r="DC536">
        <v>170</v>
      </c>
      <c r="DD536">
        <v>0</v>
      </c>
      <c r="DE536">
        <v>0</v>
      </c>
      <c r="DF536">
        <v>72.2</v>
      </c>
      <c r="DG536">
        <v>7.1</v>
      </c>
    </row>
    <row r="537" spans="1:111" x14ac:dyDescent="0.2">
      <c r="A537">
        <v>2025</v>
      </c>
      <c r="B537" s="1">
        <v>45962</v>
      </c>
      <c r="C537" t="s">
        <v>95</v>
      </c>
      <c r="D537">
        <v>605483</v>
      </c>
      <c r="E537">
        <v>680718</v>
      </c>
      <c r="F537">
        <v>2</v>
      </c>
      <c r="G537">
        <v>2</v>
      </c>
      <c r="H537">
        <v>9</v>
      </c>
      <c r="I537" t="s">
        <v>163</v>
      </c>
      <c r="J537">
        <v>79</v>
      </c>
      <c r="K537">
        <v>8</v>
      </c>
      <c r="L537" t="s">
        <v>97</v>
      </c>
      <c r="M537" t="s">
        <v>111</v>
      </c>
      <c r="N537" t="s">
        <v>112</v>
      </c>
      <c r="O537">
        <f t="shared" si="128"/>
        <v>0</v>
      </c>
      <c r="P537">
        <f t="shared" si="129"/>
        <v>0</v>
      </c>
      <c r="Q537">
        <f t="shared" si="130"/>
        <v>0</v>
      </c>
      <c r="R537">
        <f t="shared" si="131"/>
        <v>0</v>
      </c>
      <c r="S537">
        <f t="shared" si="132"/>
        <v>0</v>
      </c>
      <c r="T537">
        <f t="shared" si="133"/>
        <v>1</v>
      </c>
      <c r="U537">
        <f t="shared" si="134"/>
        <v>0</v>
      </c>
      <c r="V537">
        <f t="shared" si="135"/>
        <v>0</v>
      </c>
      <c r="W537">
        <f t="shared" si="136"/>
        <v>0</v>
      </c>
      <c r="X537">
        <f t="shared" si="137"/>
        <v>0</v>
      </c>
      <c r="Y537">
        <f t="shared" si="138"/>
        <v>0</v>
      </c>
      <c r="Z537">
        <f t="shared" si="139"/>
        <v>0</v>
      </c>
      <c r="AA537">
        <f t="shared" si="140"/>
        <v>0</v>
      </c>
      <c r="AB537">
        <f t="shared" si="141"/>
        <v>0</v>
      </c>
      <c r="AC537">
        <f t="shared" si="142"/>
        <v>0</v>
      </c>
      <c r="AD537">
        <f t="shared" si="143"/>
        <v>0</v>
      </c>
      <c r="AE537">
        <v>80.900000000000006</v>
      </c>
      <c r="AF537">
        <v>1.98</v>
      </c>
      <c r="AG537">
        <v>6.43</v>
      </c>
      <c r="AH537" t="s">
        <v>140</v>
      </c>
      <c r="AI537" t="s">
        <v>97</v>
      </c>
      <c r="AJ537" t="s">
        <v>97</v>
      </c>
      <c r="AK537" t="s">
        <v>97</v>
      </c>
      <c r="AL537" t="s">
        <v>97</v>
      </c>
      <c r="AM537">
        <v>13</v>
      </c>
      <c r="AN537" t="s">
        <v>141</v>
      </c>
      <c r="AO537" t="s">
        <v>213</v>
      </c>
      <c r="AP537" t="s">
        <v>103</v>
      </c>
      <c r="AQ537" t="s">
        <v>103</v>
      </c>
      <c r="AR537" t="s">
        <v>214</v>
      </c>
      <c r="AS537" t="s">
        <v>104</v>
      </c>
      <c r="AT537" t="s">
        <v>106</v>
      </c>
      <c r="AU537" t="s">
        <v>97</v>
      </c>
      <c r="AV537" t="s">
        <v>97</v>
      </c>
      <c r="AW537">
        <v>-1.1499999999999999</v>
      </c>
      <c r="AX537">
        <v>-0.85</v>
      </c>
      <c r="AY537">
        <v>-0.46</v>
      </c>
      <c r="AZ537">
        <v>0.25</v>
      </c>
      <c r="BA537" t="s">
        <v>97</v>
      </c>
      <c r="BB537" t="s">
        <v>97</v>
      </c>
      <c r="BC537">
        <v>643396</v>
      </c>
      <c r="BD537">
        <v>1</v>
      </c>
      <c r="BE537" t="s">
        <v>97</v>
      </c>
      <c r="BF537" t="s">
        <v>97</v>
      </c>
      <c r="BG537" t="s">
        <v>97</v>
      </c>
      <c r="BH537" t="s">
        <v>97</v>
      </c>
      <c r="BI537">
        <v>669257</v>
      </c>
      <c r="BJ537">
        <v>669257</v>
      </c>
      <c r="BK537" t="s">
        <v>97</v>
      </c>
      <c r="BL537" t="s">
        <v>97</v>
      </c>
      <c r="BM537">
        <v>-3.2662430279999999</v>
      </c>
      <c r="BN537">
        <v>-117.61466470000001</v>
      </c>
      <c r="BO537">
        <v>-5.4177189500000003</v>
      </c>
      <c r="BP537">
        <v>-9.8624322919999994</v>
      </c>
      <c r="BQ537">
        <v>25.97421138</v>
      </c>
      <c r="BR537">
        <v>-39.028283889999997</v>
      </c>
      <c r="BS537">
        <v>3.65</v>
      </c>
      <c r="BT537">
        <v>1.85</v>
      </c>
      <c r="BU537" t="s">
        <v>97</v>
      </c>
      <c r="BV537" t="s">
        <v>97</v>
      </c>
      <c r="BW537" t="s">
        <v>97</v>
      </c>
      <c r="BX537">
        <v>80.900000000000006</v>
      </c>
      <c r="BY537">
        <v>2704</v>
      </c>
      <c r="BZ537">
        <v>6.7</v>
      </c>
      <c r="CA537">
        <v>813024</v>
      </c>
      <c r="CB537">
        <v>669257</v>
      </c>
      <c r="CC537">
        <v>669257</v>
      </c>
      <c r="CD537">
        <v>518692</v>
      </c>
      <c r="CE537">
        <v>500743</v>
      </c>
      <c r="CF537">
        <v>571970</v>
      </c>
      <c r="CG537">
        <v>605141</v>
      </c>
      <c r="CH537">
        <v>571771</v>
      </c>
      <c r="CI537">
        <v>669242</v>
      </c>
      <c r="CJ537">
        <v>606192</v>
      </c>
      <c r="CK537">
        <v>53.75</v>
      </c>
      <c r="CL537" t="s">
        <v>97</v>
      </c>
      <c r="CM537" t="s">
        <v>97</v>
      </c>
      <c r="CN537" t="s">
        <v>97</v>
      </c>
      <c r="CO537" t="s">
        <v>97</v>
      </c>
      <c r="CP537" t="s">
        <v>97</v>
      </c>
      <c r="CQ537" t="s">
        <v>97</v>
      </c>
      <c r="CR537" t="s">
        <v>97</v>
      </c>
      <c r="CS537">
        <v>4</v>
      </c>
      <c r="CT537">
        <v>4</v>
      </c>
      <c r="CU537">
        <v>4</v>
      </c>
      <c r="CV537">
        <v>4</v>
      </c>
      <c r="CW537">
        <v>4</v>
      </c>
      <c r="CX537">
        <v>4</v>
      </c>
      <c r="CY537">
        <v>4</v>
      </c>
      <c r="CZ537">
        <v>4</v>
      </c>
      <c r="DA537" t="s">
        <v>107</v>
      </c>
      <c r="DB537" t="s">
        <v>115</v>
      </c>
      <c r="DC537">
        <v>328</v>
      </c>
      <c r="DD537">
        <v>0</v>
      </c>
      <c r="DE537">
        <v>9.8000000000000004E-2</v>
      </c>
      <c r="DF537" t="s">
        <v>97</v>
      </c>
      <c r="DG537" t="s">
        <v>97</v>
      </c>
    </row>
    <row r="538" spans="1:111" x14ac:dyDescent="0.2">
      <c r="A538">
        <v>2025</v>
      </c>
      <c r="B538" s="1">
        <v>45962</v>
      </c>
      <c r="C538" t="s">
        <v>95</v>
      </c>
      <c r="D538">
        <v>605483</v>
      </c>
      <c r="E538">
        <v>680718</v>
      </c>
      <c r="F538">
        <v>3</v>
      </c>
      <c r="G538">
        <v>2</v>
      </c>
      <c r="H538">
        <v>9</v>
      </c>
      <c r="I538" t="s">
        <v>163</v>
      </c>
      <c r="J538">
        <v>79</v>
      </c>
      <c r="K538">
        <v>9</v>
      </c>
      <c r="L538" t="s">
        <v>142</v>
      </c>
      <c r="M538" t="s">
        <v>98</v>
      </c>
      <c r="N538" t="s">
        <v>99</v>
      </c>
      <c r="O538">
        <f t="shared" si="128"/>
        <v>0</v>
      </c>
      <c r="P538">
        <f t="shared" si="129"/>
        <v>0</v>
      </c>
      <c r="Q538">
        <f t="shared" si="130"/>
        <v>0</v>
      </c>
      <c r="R538">
        <f t="shared" si="131"/>
        <v>0</v>
      </c>
      <c r="S538">
        <f t="shared" si="132"/>
        <v>0</v>
      </c>
      <c r="T538">
        <f t="shared" si="133"/>
        <v>0</v>
      </c>
      <c r="U538">
        <f t="shared" si="134"/>
        <v>0</v>
      </c>
      <c r="V538">
        <f t="shared" si="135"/>
        <v>0</v>
      </c>
      <c r="W538">
        <f t="shared" si="136"/>
        <v>0</v>
      </c>
      <c r="X538">
        <f t="shared" si="137"/>
        <v>0</v>
      </c>
      <c r="Y538">
        <f t="shared" si="138"/>
        <v>0</v>
      </c>
      <c r="Z538">
        <f t="shared" si="139"/>
        <v>0</v>
      </c>
      <c r="AA538">
        <f t="shared" si="140"/>
        <v>0</v>
      </c>
      <c r="AB538">
        <f t="shared" si="141"/>
        <v>0</v>
      </c>
      <c r="AC538">
        <f t="shared" si="142"/>
        <v>0</v>
      </c>
      <c r="AD538">
        <f t="shared" si="143"/>
        <v>0</v>
      </c>
      <c r="AE538">
        <v>96.1</v>
      </c>
      <c r="AF538">
        <v>1.93</v>
      </c>
      <c r="AG538">
        <v>6.47</v>
      </c>
      <c r="AH538" t="s">
        <v>100</v>
      </c>
      <c r="AI538" t="s">
        <v>97</v>
      </c>
      <c r="AJ538" t="s">
        <v>97</v>
      </c>
      <c r="AK538" t="s">
        <v>97</v>
      </c>
      <c r="AL538" t="s">
        <v>97</v>
      </c>
      <c r="AM538">
        <v>11</v>
      </c>
      <c r="AN538" t="s">
        <v>278</v>
      </c>
      <c r="AO538" t="s">
        <v>213</v>
      </c>
      <c r="AP538" t="s">
        <v>103</v>
      </c>
      <c r="AQ538" t="s">
        <v>103</v>
      </c>
      <c r="AR538" t="s">
        <v>214</v>
      </c>
      <c r="AS538" t="s">
        <v>104</v>
      </c>
      <c r="AT538" t="s">
        <v>106</v>
      </c>
      <c r="AU538" t="s">
        <v>97</v>
      </c>
      <c r="AV538" t="s">
        <v>97</v>
      </c>
      <c r="AW538">
        <v>0.27</v>
      </c>
      <c r="AX538">
        <v>1.31</v>
      </c>
      <c r="AY538">
        <v>-0.84</v>
      </c>
      <c r="AZ538">
        <v>2.92</v>
      </c>
      <c r="BA538" t="s">
        <v>97</v>
      </c>
      <c r="BB538" t="s">
        <v>97</v>
      </c>
      <c r="BC538">
        <v>643396</v>
      </c>
      <c r="BD538">
        <v>1</v>
      </c>
      <c r="BE538" t="s">
        <v>97</v>
      </c>
      <c r="BF538" t="s">
        <v>97</v>
      </c>
      <c r="BG538" t="s">
        <v>97</v>
      </c>
      <c r="BH538" t="s">
        <v>97</v>
      </c>
      <c r="BI538">
        <v>669257</v>
      </c>
      <c r="BJ538">
        <v>669257</v>
      </c>
      <c r="BK538" t="s">
        <v>97</v>
      </c>
      <c r="BL538" t="s">
        <v>97</v>
      </c>
      <c r="BM538">
        <v>-8.0065270910000006</v>
      </c>
      <c r="BN538">
        <v>-139.66720810000001</v>
      </c>
      <c r="BO538">
        <v>-6.809108717</v>
      </c>
      <c r="BP538">
        <v>5.4456571120000001</v>
      </c>
      <c r="BQ538">
        <v>32.738702920000001</v>
      </c>
      <c r="BR538">
        <v>-13.703013889999999</v>
      </c>
      <c r="BS538">
        <v>3.79</v>
      </c>
      <c r="BT538">
        <v>1.78</v>
      </c>
      <c r="BU538" t="s">
        <v>97</v>
      </c>
      <c r="BV538" t="s">
        <v>97</v>
      </c>
      <c r="BW538" t="s">
        <v>97</v>
      </c>
      <c r="BX538">
        <v>96.7</v>
      </c>
      <c r="BY538">
        <v>2446</v>
      </c>
      <c r="BZ538">
        <v>6.8</v>
      </c>
      <c r="CA538">
        <v>813024</v>
      </c>
      <c r="CB538">
        <v>669257</v>
      </c>
      <c r="CC538">
        <v>669257</v>
      </c>
      <c r="CD538">
        <v>518692</v>
      </c>
      <c r="CE538">
        <v>500743</v>
      </c>
      <c r="CF538">
        <v>571970</v>
      </c>
      <c r="CG538">
        <v>605141</v>
      </c>
      <c r="CH538">
        <v>571771</v>
      </c>
      <c r="CI538">
        <v>669242</v>
      </c>
      <c r="CJ538">
        <v>606192</v>
      </c>
      <c r="CK538">
        <v>53.72</v>
      </c>
      <c r="CL538" t="s">
        <v>97</v>
      </c>
      <c r="CM538">
        <v>0.69149700000000003</v>
      </c>
      <c r="CN538">
        <v>0.7</v>
      </c>
      <c r="CO538">
        <v>1</v>
      </c>
      <c r="CP538">
        <v>0</v>
      </c>
      <c r="CQ538">
        <v>0</v>
      </c>
      <c r="CR538" t="s">
        <v>97</v>
      </c>
      <c r="CS538">
        <v>4</v>
      </c>
      <c r="CT538">
        <v>4</v>
      </c>
      <c r="CU538">
        <v>4</v>
      </c>
      <c r="CV538">
        <v>4</v>
      </c>
      <c r="CW538">
        <v>4</v>
      </c>
      <c r="CX538">
        <v>4</v>
      </c>
      <c r="CY538">
        <v>4</v>
      </c>
      <c r="CZ538">
        <v>4</v>
      </c>
      <c r="DA538" t="s">
        <v>107</v>
      </c>
      <c r="DB538" t="s">
        <v>115</v>
      </c>
      <c r="DC538">
        <v>158</v>
      </c>
      <c r="DD538">
        <v>7.0999999999999994E-2</v>
      </c>
      <c r="DE538">
        <v>0.26600000000000001</v>
      </c>
      <c r="DF538" t="s">
        <v>97</v>
      </c>
      <c r="DG538" t="s">
        <v>97</v>
      </c>
    </row>
    <row r="539" spans="1:111" x14ac:dyDescent="0.2">
      <c r="C539" t="s">
        <v>295</v>
      </c>
      <c r="O539">
        <f t="shared" ref="O539:P539" si="144">SUM(O2:O538)</f>
        <v>60</v>
      </c>
      <c r="P539">
        <f t="shared" si="144"/>
        <v>29</v>
      </c>
      <c r="Q539">
        <f t="shared" ref="Q539" si="145">SUM(Q2:Q538)</f>
        <v>46</v>
      </c>
      <c r="R539">
        <f t="shared" ref="R539" si="146">SUM(R2:R538)</f>
        <v>26</v>
      </c>
      <c r="S539">
        <f t="shared" ref="S539" si="147">SUM(S2:S538)</f>
        <v>25</v>
      </c>
      <c r="T539">
        <f t="shared" ref="T539" si="148">SUM(T2:T538)</f>
        <v>34</v>
      </c>
      <c r="U539">
        <f t="shared" ref="U539" si="149">SUM(U2:U538)</f>
        <v>32</v>
      </c>
      <c r="V539">
        <f t="shared" ref="V539" si="150">SUM(V2:V538)</f>
        <v>22</v>
      </c>
      <c r="W539">
        <f t="shared" ref="W539" si="151">SUM(W2:W538)</f>
        <v>66</v>
      </c>
      <c r="X539">
        <f t="shared" ref="X539" si="152">SUM(X2:X538)</f>
        <v>43</v>
      </c>
      <c r="Y539">
        <f t="shared" ref="Y539:AB539" si="153">SUM(Y2:Y538)</f>
        <v>32</v>
      </c>
      <c r="Z539">
        <f t="shared" si="153"/>
        <v>23</v>
      </c>
      <c r="AA539">
        <f t="shared" si="153"/>
        <v>27</v>
      </c>
      <c r="AB539">
        <f t="shared" si="153"/>
        <v>24</v>
      </c>
      <c r="AC539">
        <f>SUM(AC2:AC538)</f>
        <v>27</v>
      </c>
      <c r="AD539">
        <f>SUM(AD2:AD538)</f>
        <v>20</v>
      </c>
      <c r="AE539">
        <f>SUM(O539:AD539)</f>
        <v>536</v>
      </c>
    </row>
    <row r="540" spans="1:111" x14ac:dyDescent="0.2">
      <c r="C540" t="s">
        <v>296</v>
      </c>
      <c r="O540">
        <f>O539/536</f>
        <v>0.11194029850746269</v>
      </c>
      <c r="P540">
        <f t="shared" ref="P540:AB540" si="154">P539/536</f>
        <v>5.4104477611940295E-2</v>
      </c>
      <c r="Q540">
        <f t="shared" si="154"/>
        <v>8.5820895522388058E-2</v>
      </c>
      <c r="R540">
        <f t="shared" si="154"/>
        <v>4.8507462686567165E-2</v>
      </c>
      <c r="S540">
        <f t="shared" si="154"/>
        <v>4.6641791044776122E-2</v>
      </c>
      <c r="T540">
        <f t="shared" si="154"/>
        <v>6.3432835820895525E-2</v>
      </c>
      <c r="U540">
        <f t="shared" si="154"/>
        <v>5.9701492537313432E-2</v>
      </c>
      <c r="V540">
        <f t="shared" si="154"/>
        <v>4.1044776119402986E-2</v>
      </c>
      <c r="W540">
        <f t="shared" si="154"/>
        <v>0.12313432835820895</v>
      </c>
      <c r="X540">
        <f t="shared" si="154"/>
        <v>8.0223880597014921E-2</v>
      </c>
      <c r="Y540">
        <f t="shared" si="154"/>
        <v>5.9701492537313432E-2</v>
      </c>
      <c r="Z540">
        <f t="shared" si="154"/>
        <v>4.2910447761194029E-2</v>
      </c>
      <c r="AA540">
        <f t="shared" si="154"/>
        <v>5.0373134328358209E-2</v>
      </c>
      <c r="AB540">
        <f t="shared" si="154"/>
        <v>4.4776119402985072E-2</v>
      </c>
      <c r="AC540">
        <f>AC539/536</f>
        <v>5.0373134328358209E-2</v>
      </c>
      <c r="AD540">
        <f t="shared" ref="AD540" si="155">AD539/536</f>
        <v>3.7313432835820892E-2</v>
      </c>
      <c r="AE540">
        <f>SUM(O540:AD540)</f>
        <v>0.99999999999999989</v>
      </c>
    </row>
    <row r="541" spans="1:111" x14ac:dyDescent="0.2">
      <c r="O541" t="s">
        <v>298</v>
      </c>
      <c r="P541" t="s">
        <v>298</v>
      </c>
      <c r="Q541" t="s">
        <v>298</v>
      </c>
      <c r="R541" t="s">
        <v>298</v>
      </c>
      <c r="S541" t="s">
        <v>133</v>
      </c>
      <c r="T541" t="s">
        <v>133</v>
      </c>
      <c r="U541" t="s">
        <v>133</v>
      </c>
      <c r="V541" t="s">
        <v>133</v>
      </c>
      <c r="W541" t="s">
        <v>297</v>
      </c>
      <c r="X541" t="s">
        <v>297</v>
      </c>
      <c r="Y541" t="s">
        <v>297</v>
      </c>
      <c r="Z541" t="s">
        <v>297</v>
      </c>
      <c r="AA541" t="s">
        <v>139</v>
      </c>
      <c r="AB541" t="s">
        <v>139</v>
      </c>
      <c r="AC541" t="s">
        <v>139</v>
      </c>
      <c r="AD541" t="s">
        <v>139</v>
      </c>
    </row>
    <row r="542" spans="1:111" x14ac:dyDescent="0.2">
      <c r="O542">
        <v>0.111940298507463</v>
      </c>
      <c r="P542">
        <v>5.4104477611940302E-2</v>
      </c>
      <c r="Q542">
        <v>8.5820895522388099E-2</v>
      </c>
      <c r="R542">
        <v>4.85074626865672E-2</v>
      </c>
      <c r="S542">
        <v>4.6641791044776101E-2</v>
      </c>
      <c r="T542">
        <v>6.3432835820895497E-2</v>
      </c>
      <c r="U542">
        <v>5.9701492537313397E-2</v>
      </c>
      <c r="V542">
        <v>4.1044776119402999E-2</v>
      </c>
      <c r="W542">
        <v>0.12313432835820901</v>
      </c>
      <c r="X542">
        <v>8.0223880597014893E-2</v>
      </c>
      <c r="Y542">
        <v>5.9701492537313397E-2</v>
      </c>
      <c r="Z542">
        <v>4.2910447761194001E-2</v>
      </c>
      <c r="AA542">
        <v>5.0373134328358202E-2</v>
      </c>
      <c r="AB542">
        <v>4.47761194029851E-2</v>
      </c>
      <c r="AC542">
        <v>5.0373134328358202E-2</v>
      </c>
      <c r="AD542">
        <v>3.7313432835820899E-2</v>
      </c>
    </row>
    <row r="543" spans="1:111" x14ac:dyDescent="0.2">
      <c r="O543">
        <f>SUM(O2:R538)</f>
        <v>161</v>
      </c>
      <c r="S543">
        <f>SUM(S2:V538)</f>
        <v>113</v>
      </c>
      <c r="W543">
        <f>SUM(W2:Z538)</f>
        <v>164</v>
      </c>
      <c r="AA543">
        <f>SUM(AA2:AD538)</f>
        <v>98</v>
      </c>
      <c r="AE543">
        <f>SUM(O543,S543,W543,AA543)</f>
        <v>536</v>
      </c>
    </row>
    <row r="544" spans="1:111" x14ac:dyDescent="0.2">
      <c r="O544">
        <f>O539/161</f>
        <v>0.37267080745341613</v>
      </c>
      <c r="P544">
        <f t="shared" ref="P544:R544" si="156">P539/161</f>
        <v>0.18012422360248448</v>
      </c>
      <c r="Q544">
        <f t="shared" si="156"/>
        <v>0.2857142857142857</v>
      </c>
      <c r="R544">
        <f t="shared" si="156"/>
        <v>0.16149068322981366</v>
      </c>
      <c r="S544">
        <f>S539/113</f>
        <v>0.22123893805309736</v>
      </c>
      <c r="T544">
        <f t="shared" ref="T544:V544" si="157">T539/113</f>
        <v>0.30088495575221241</v>
      </c>
      <c r="U544">
        <f t="shared" si="157"/>
        <v>0.2831858407079646</v>
      </c>
      <c r="V544">
        <f t="shared" si="157"/>
        <v>0.19469026548672566</v>
      </c>
      <c r="W544">
        <f>W539/164</f>
        <v>0.40243902439024393</v>
      </c>
      <c r="X544">
        <f t="shared" ref="X544:Z544" si="158">X539/164</f>
        <v>0.26219512195121952</v>
      </c>
      <c r="Y544">
        <f t="shared" si="158"/>
        <v>0.1951219512195122</v>
      </c>
      <c r="Z544">
        <f t="shared" si="158"/>
        <v>0.1402439024390244</v>
      </c>
      <c r="AA544">
        <f>AA539/98</f>
        <v>0.27551020408163263</v>
      </c>
      <c r="AB544">
        <f t="shared" ref="AB544:AD544" si="159">AB539/98</f>
        <v>0.24489795918367346</v>
      </c>
      <c r="AC544">
        <f t="shared" si="159"/>
        <v>0.27551020408163263</v>
      </c>
      <c r="AD544">
        <f t="shared" si="159"/>
        <v>0.20408163265306123</v>
      </c>
    </row>
    <row r="545" spans="15:30" x14ac:dyDescent="0.2">
      <c r="O545">
        <f>SUM(O544:R544)</f>
        <v>1</v>
      </c>
      <c r="S545">
        <f>SUM(S544:V544)</f>
        <v>1</v>
      </c>
      <c r="W545">
        <f>SUM(W544:Z544)</f>
        <v>1</v>
      </c>
      <c r="AA545">
        <f>SUM(AA544:AD544)</f>
        <v>1</v>
      </c>
    </row>
    <row r="546" spans="15:30" x14ac:dyDescent="0.2">
      <c r="O546">
        <v>0.37267080745341602</v>
      </c>
      <c r="P546">
        <v>0.18012422360248401</v>
      </c>
      <c r="Q546">
        <v>0.28571428571428598</v>
      </c>
      <c r="R546">
        <v>0.161490683229814</v>
      </c>
      <c r="S546">
        <v>0.221238938053097</v>
      </c>
      <c r="T546">
        <v>0.30088495575221202</v>
      </c>
      <c r="U546">
        <v>0.28318584070796499</v>
      </c>
      <c r="V546">
        <v>0.19469026548672599</v>
      </c>
      <c r="W546">
        <v>0.40243902439024393</v>
      </c>
      <c r="X546">
        <v>0.26219512195122002</v>
      </c>
      <c r="Y546">
        <v>0.19512195121951201</v>
      </c>
      <c r="Z546">
        <v>0.14024390243902399</v>
      </c>
      <c r="AA546">
        <v>0.27551020408163263</v>
      </c>
      <c r="AB546">
        <v>0.24489795918367299</v>
      </c>
      <c r="AC546">
        <v>0.27551020408163301</v>
      </c>
      <c r="AD546">
        <v>0.20408163265306101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Jaffe</cp:lastModifiedBy>
  <dcterms:created xsi:type="dcterms:W3CDTF">2026-05-03T17:22:44Z</dcterms:created>
  <dcterms:modified xsi:type="dcterms:W3CDTF">2026-06-10T19:35:54Z</dcterms:modified>
</cp:coreProperties>
</file>